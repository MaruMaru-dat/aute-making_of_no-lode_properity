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EFC2026のDigest作成に向けたデータ\3. ABH法とsin B and Blong法の汎用性の検討\3. K model_custome1_無負荷特性 今\"/>
    </mc:Choice>
  </mc:AlternateContent>
  <xr:revisionPtr revIDLastSave="0" documentId="13_ncr:1_{E07C0C43-751A-41BE-A0AA-A1B9B8651CF4}" xr6:coauthVersionLast="47" xr6:coauthVersionMax="47" xr10:uidLastSave="{00000000-0000-0000-0000-000000000000}"/>
  <bookViews>
    <workbookView xWindow="330" yWindow="2715" windowWidth="21600" windowHeight="11400" firstSheet="1" activeTab="5" xr2:uid="{00000000-000D-0000-FFFF-FFFF00000000}"/>
  </bookViews>
  <sheets>
    <sheet name="jw1" sheetId="12" r:id="rId1"/>
    <sheet name="jw2" sheetId="10" r:id="rId2"/>
    <sheet name="jw3" sheetId="15" r:id="rId3"/>
    <sheet name="過渡(V3+V6)" sheetId="9" r:id="rId4"/>
    <sheet name="過渡(V3+V6) (2)" sheetId="16" r:id="rId5"/>
    <sheet name="過渡(V3+V6) (3)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7" l="1"/>
  <c r="E17" i="17" s="1"/>
  <c r="B17" i="17"/>
  <c r="D16" i="17"/>
  <c r="E16" i="17" s="1"/>
  <c r="B16" i="17"/>
  <c r="E15" i="17"/>
  <c r="D15" i="17"/>
  <c r="B15" i="17"/>
  <c r="D14" i="17"/>
  <c r="E14" i="17" s="1"/>
  <c r="B14" i="17"/>
  <c r="D13" i="17"/>
  <c r="E13" i="17" s="1"/>
  <c r="B13" i="17"/>
  <c r="D12" i="17"/>
  <c r="E12" i="17" s="1"/>
  <c r="B12" i="17"/>
  <c r="D11" i="17"/>
  <c r="E11" i="17" s="1"/>
  <c r="B11" i="17"/>
  <c r="D10" i="17"/>
  <c r="E10" i="17" s="1"/>
  <c r="B10" i="17"/>
  <c r="D9" i="17"/>
  <c r="E9" i="17" s="1"/>
  <c r="B9" i="17"/>
  <c r="D8" i="17"/>
  <c r="E8" i="17" s="1"/>
  <c r="B8" i="17"/>
  <c r="D7" i="17"/>
  <c r="E7" i="17" s="1"/>
  <c r="B7" i="17"/>
  <c r="D6" i="17"/>
  <c r="E6" i="17" s="1"/>
  <c r="B6" i="17"/>
  <c r="D5" i="17"/>
  <c r="E5" i="17" s="1"/>
  <c r="B5" i="17"/>
  <c r="D4" i="17"/>
  <c r="E4" i="17" s="1"/>
  <c r="B4" i="17"/>
  <c r="D3" i="17"/>
  <c r="E3" i="17" s="1"/>
  <c r="B3" i="17"/>
  <c r="D2" i="17"/>
  <c r="E2" i="17" s="1"/>
  <c r="B2" i="17"/>
  <c r="D17" i="16"/>
  <c r="E17" i="16" s="1"/>
  <c r="B17" i="16"/>
  <c r="D16" i="16"/>
  <c r="E16" i="16" s="1"/>
  <c r="B16" i="16"/>
  <c r="D15" i="16"/>
  <c r="E15" i="16" s="1"/>
  <c r="B15" i="16"/>
  <c r="D14" i="16"/>
  <c r="E14" i="16" s="1"/>
  <c r="B14" i="16"/>
  <c r="D13" i="16"/>
  <c r="E13" i="16" s="1"/>
  <c r="B13" i="16"/>
  <c r="D12" i="16"/>
  <c r="E12" i="16" s="1"/>
  <c r="B12" i="16"/>
  <c r="D11" i="16"/>
  <c r="E11" i="16" s="1"/>
  <c r="B11" i="16"/>
  <c r="D10" i="16"/>
  <c r="E10" i="16" s="1"/>
  <c r="B10" i="16"/>
  <c r="D9" i="16"/>
  <c r="E9" i="16" s="1"/>
  <c r="B9" i="16"/>
  <c r="D8" i="16"/>
  <c r="E8" i="16" s="1"/>
  <c r="B8" i="16"/>
  <c r="D7" i="16"/>
  <c r="E7" i="16" s="1"/>
  <c r="B7" i="16"/>
  <c r="D6" i="16"/>
  <c r="E6" i="16" s="1"/>
  <c r="B6" i="16"/>
  <c r="D5" i="16"/>
  <c r="E5" i="16" s="1"/>
  <c r="B5" i="16"/>
  <c r="D4" i="16"/>
  <c r="E4" i="16" s="1"/>
  <c r="B4" i="16"/>
  <c r="D3" i="16"/>
  <c r="E3" i="16" s="1"/>
  <c r="B3" i="16"/>
  <c r="D2" i="16"/>
  <c r="E2" i="16" s="1"/>
  <c r="B2" i="16"/>
  <c r="I18" i="12"/>
  <c r="J18" i="12" s="1"/>
  <c r="I17" i="12"/>
  <c r="J17" i="12" s="1"/>
  <c r="I16" i="12"/>
  <c r="J16" i="12" s="1"/>
  <c r="I15" i="12"/>
  <c r="J15" i="12" s="1"/>
  <c r="I14" i="12"/>
  <c r="J14" i="12" s="1"/>
  <c r="I13" i="12"/>
  <c r="J13" i="12" s="1"/>
  <c r="I12" i="12"/>
  <c r="J12" i="12" s="1"/>
  <c r="I11" i="12"/>
  <c r="J11" i="12" s="1"/>
  <c r="I10" i="12"/>
  <c r="J10" i="12" s="1"/>
  <c r="I9" i="12"/>
  <c r="J9" i="12" s="1"/>
  <c r="I8" i="12"/>
  <c r="J8" i="12" s="1"/>
  <c r="I7" i="12"/>
  <c r="J7" i="12" s="1"/>
  <c r="I6" i="12"/>
  <c r="J6" i="12" s="1"/>
  <c r="I5" i="12"/>
  <c r="J5" i="12" s="1"/>
  <c r="I4" i="12"/>
  <c r="J4" i="12" s="1"/>
  <c r="I3" i="12"/>
  <c r="J3" i="12" s="1"/>
  <c r="I2" i="12"/>
  <c r="J2" i="12" s="1"/>
  <c r="I18" i="10"/>
  <c r="J18" i="10" s="1"/>
  <c r="I17" i="10"/>
  <c r="J17" i="10" s="1"/>
  <c r="I16" i="10"/>
  <c r="J16" i="10" s="1"/>
  <c r="I15" i="10"/>
  <c r="J15" i="10" s="1"/>
  <c r="I14" i="10"/>
  <c r="J14" i="10" s="1"/>
  <c r="I13" i="10"/>
  <c r="J13" i="10" s="1"/>
  <c r="I12" i="10"/>
  <c r="J12" i="10" s="1"/>
  <c r="I11" i="10"/>
  <c r="J11" i="10" s="1"/>
  <c r="I10" i="10"/>
  <c r="J10" i="10" s="1"/>
  <c r="I9" i="10"/>
  <c r="J9" i="10" s="1"/>
  <c r="I8" i="10"/>
  <c r="J8" i="10" s="1"/>
  <c r="I7" i="10"/>
  <c r="J7" i="10" s="1"/>
  <c r="J6" i="10"/>
  <c r="I6" i="10"/>
  <c r="J5" i="10"/>
  <c r="I5" i="10"/>
  <c r="J4" i="10"/>
  <c r="I4" i="10"/>
  <c r="I3" i="10"/>
  <c r="J3" i="10" s="1"/>
  <c r="I2" i="10"/>
  <c r="J2" i="10" s="1"/>
  <c r="B17" i="9"/>
  <c r="E17" i="9"/>
  <c r="D17" i="9"/>
  <c r="D16" i="9"/>
  <c r="B10" i="9"/>
  <c r="B11" i="9"/>
  <c r="B12" i="9"/>
  <c r="D12" i="9"/>
  <c r="I18" i="15"/>
  <c r="J18" i="15" s="1"/>
  <c r="E21" i="15"/>
  <c r="C21" i="15"/>
  <c r="E20" i="15"/>
  <c r="C20" i="15"/>
  <c r="E19" i="15"/>
  <c r="C19" i="15"/>
  <c r="E18" i="15"/>
  <c r="C18" i="15"/>
  <c r="I17" i="15"/>
  <c r="J17" i="15" s="1"/>
  <c r="E17" i="15"/>
  <c r="C17" i="15"/>
  <c r="I16" i="15"/>
  <c r="J16" i="15" s="1"/>
  <c r="E16" i="15"/>
  <c r="C16" i="15"/>
  <c r="I15" i="15"/>
  <c r="J15" i="15" s="1"/>
  <c r="E15" i="15"/>
  <c r="C15" i="15"/>
  <c r="I14" i="15"/>
  <c r="J14" i="15" s="1"/>
  <c r="E14" i="15"/>
  <c r="C14" i="15"/>
  <c r="I13" i="15"/>
  <c r="J13" i="15" s="1"/>
  <c r="E13" i="15"/>
  <c r="C13" i="15"/>
  <c r="I12" i="15"/>
  <c r="J12" i="15" s="1"/>
  <c r="E12" i="15"/>
  <c r="C12" i="15"/>
  <c r="I11" i="15"/>
  <c r="J11" i="15" s="1"/>
  <c r="E11" i="15"/>
  <c r="C11" i="15"/>
  <c r="I10" i="15"/>
  <c r="J10" i="15" s="1"/>
  <c r="E10" i="15"/>
  <c r="C10" i="15"/>
  <c r="I9" i="15"/>
  <c r="J9" i="15" s="1"/>
  <c r="E9" i="15"/>
  <c r="C9" i="15"/>
  <c r="I8" i="15"/>
  <c r="J8" i="15" s="1"/>
  <c r="E8" i="15"/>
  <c r="C8" i="15"/>
  <c r="I7" i="15"/>
  <c r="J7" i="15" s="1"/>
  <c r="E7" i="15"/>
  <c r="C7" i="15"/>
  <c r="I6" i="15"/>
  <c r="J6" i="15" s="1"/>
  <c r="E6" i="15"/>
  <c r="C6" i="15"/>
  <c r="I5" i="15"/>
  <c r="J5" i="15" s="1"/>
  <c r="E5" i="15"/>
  <c r="C5" i="15"/>
  <c r="I4" i="15"/>
  <c r="J4" i="15" s="1"/>
  <c r="E4" i="15"/>
  <c r="C4" i="15"/>
  <c r="I3" i="15"/>
  <c r="J3" i="15" s="1"/>
  <c r="E3" i="15"/>
  <c r="C3" i="15"/>
  <c r="I2" i="15"/>
  <c r="J2" i="15" s="1"/>
  <c r="E2" i="15"/>
  <c r="C2" i="15"/>
  <c r="E6" i="12"/>
  <c r="E7" i="12"/>
  <c r="E8" i="12"/>
  <c r="E9" i="12"/>
  <c r="E10" i="12"/>
  <c r="E11" i="12"/>
  <c r="E12" i="12"/>
  <c r="E13" i="12"/>
  <c r="E14" i="12"/>
  <c r="E15" i="12"/>
  <c r="E16" i="12"/>
  <c r="E17" i="12"/>
  <c r="E5" i="12"/>
  <c r="C6" i="12"/>
  <c r="C7" i="12"/>
  <c r="C8" i="12"/>
  <c r="C9" i="12"/>
  <c r="C10" i="12"/>
  <c r="C11" i="12"/>
  <c r="C12" i="12"/>
  <c r="C13" i="12"/>
  <c r="C14" i="12"/>
  <c r="C15" i="12"/>
  <c r="C16" i="12"/>
  <c r="C5" i="12"/>
  <c r="E34" i="12" l="1"/>
  <c r="C34" i="12"/>
  <c r="E33" i="12"/>
  <c r="C33" i="12"/>
  <c r="E32" i="12"/>
  <c r="C32" i="12"/>
  <c r="E31" i="12"/>
  <c r="C31" i="12"/>
  <c r="E30" i="12"/>
  <c r="C30" i="12"/>
  <c r="E29" i="12"/>
  <c r="C29" i="12"/>
  <c r="E28" i="12"/>
  <c r="C28" i="12"/>
  <c r="E27" i="12"/>
  <c r="C27" i="12"/>
  <c r="E21" i="12"/>
  <c r="C21" i="12"/>
  <c r="E20" i="12"/>
  <c r="C20" i="12"/>
  <c r="E19" i="12"/>
  <c r="C19" i="12"/>
  <c r="E18" i="12"/>
  <c r="C18" i="12"/>
  <c r="C17" i="12"/>
  <c r="E4" i="12"/>
  <c r="C4" i="12"/>
  <c r="E3" i="12"/>
  <c r="C3" i="12"/>
  <c r="E2" i="12"/>
  <c r="C2" i="12"/>
  <c r="C2" i="10"/>
  <c r="C17" i="10"/>
  <c r="E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E3" i="10"/>
  <c r="C3" i="10"/>
  <c r="E2" i="10"/>
  <c r="B2" i="9"/>
  <c r="D13" i="9"/>
  <c r="E13" i="9" s="1"/>
  <c r="E16" i="9"/>
  <c r="B16" i="9"/>
  <c r="B15" i="9"/>
  <c r="D15" i="9"/>
  <c r="E15" i="9" s="1"/>
  <c r="D14" i="9"/>
  <c r="E14" i="9" s="1"/>
  <c r="B14" i="9"/>
  <c r="B13" i="9"/>
  <c r="E12" i="9"/>
  <c r="D11" i="9"/>
  <c r="E11" i="9" s="1"/>
  <c r="D10" i="9"/>
  <c r="E10" i="9" s="1"/>
  <c r="D9" i="9"/>
  <c r="E9" i="9" s="1"/>
  <c r="B9" i="9"/>
  <c r="D8" i="9"/>
  <c r="E8" i="9" s="1"/>
  <c r="B8" i="9"/>
  <c r="D7" i="9"/>
  <c r="E7" i="9" s="1"/>
  <c r="B7" i="9"/>
  <c r="D6" i="9"/>
  <c r="E6" i="9" s="1"/>
  <c r="B6" i="9"/>
  <c r="D5" i="9"/>
  <c r="E5" i="9" s="1"/>
  <c r="B5" i="9"/>
  <c r="D4" i="9"/>
  <c r="E4" i="9" s="1"/>
  <c r="B4" i="9"/>
  <c r="D3" i="9"/>
  <c r="E3" i="9" s="1"/>
  <c r="B3" i="9"/>
  <c r="D2" i="9"/>
  <c r="E2" i="9" s="1"/>
</calcChain>
</file>

<file path=xl/sharedStrings.xml><?xml version="1.0" encoding="utf-8"?>
<sst xmlns="http://schemas.openxmlformats.org/spreadsheetml/2006/main" count="107" uniqueCount="18">
  <si>
    <t>U相電源電圧(6)</t>
    <rPh sb="1" eb="2">
      <t>ソウ</t>
    </rPh>
    <rPh sb="2" eb="4">
      <t>デンゲン</t>
    </rPh>
    <rPh sb="4" eb="6">
      <t>デンアツ</t>
    </rPh>
    <phoneticPr fontId="1"/>
  </si>
  <si>
    <t>Vabs</t>
    <phoneticPr fontId="1"/>
  </si>
  <si>
    <t>Vの線間電圧(実効値)</t>
    <rPh sb="2" eb="4">
      <t>センカン</t>
    </rPh>
    <rPh sb="4" eb="6">
      <t>デンアツ</t>
    </rPh>
    <rPh sb="7" eb="10">
      <t>ジッコウチ</t>
    </rPh>
    <phoneticPr fontId="1"/>
  </si>
  <si>
    <t>Iabs</t>
    <phoneticPr fontId="1"/>
  </si>
  <si>
    <t>v</t>
    <phoneticPr fontId="1"/>
  </si>
  <si>
    <t>i</t>
    <phoneticPr fontId="1"/>
  </si>
  <si>
    <t>Iの相電流(実効値)</t>
    <rPh sb="2" eb="3">
      <t>ソウ</t>
    </rPh>
    <rPh sb="3" eb="5">
      <t>デンリュウ</t>
    </rPh>
    <rPh sb="6" eb="9">
      <t>ジッコウチ</t>
    </rPh>
    <phoneticPr fontId="1"/>
  </si>
  <si>
    <t>Iの実効値</t>
    <rPh sb="2" eb="5">
      <t>ジッコウチ</t>
    </rPh>
    <phoneticPr fontId="1"/>
  </si>
  <si>
    <t>Vの実効値</t>
    <rPh sb="2" eb="5">
      <t>ジッコウチ</t>
    </rPh>
    <phoneticPr fontId="1"/>
  </si>
  <si>
    <t>Vの線間電圧</t>
    <rPh sb="2" eb="6">
      <t>センカンデンアツ</t>
    </rPh>
    <phoneticPr fontId="1"/>
  </si>
  <si>
    <t>電圧</t>
    <rPh sb="0" eb="2">
      <t>デンアツ</t>
    </rPh>
    <phoneticPr fontId="1"/>
  </si>
  <si>
    <t>I</t>
    <phoneticPr fontId="1"/>
  </si>
  <si>
    <t>最大値</t>
    <rPh sb="0" eb="3">
      <t>サイダイチ</t>
    </rPh>
    <phoneticPr fontId="1"/>
  </si>
  <si>
    <t>滑り同じ</t>
    <phoneticPr fontId="1"/>
  </si>
  <si>
    <t>振幅7.5Aは実効値では、7.5A/√2＝5.3A</t>
    <rPh sb="0" eb="2">
      <t>シンプク</t>
    </rPh>
    <rPh sb="7" eb="10">
      <t>ジッコウチ</t>
    </rPh>
    <phoneticPr fontId="1"/>
  </si>
  <si>
    <t>Vabs(3+6)</t>
    <phoneticPr fontId="1"/>
  </si>
  <si>
    <t>V3</t>
    <phoneticPr fontId="1"/>
  </si>
  <si>
    <t>V6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</si>
</sst>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94E9-45F9-48A9-8105-034DB5656043}">
  <dimension ref="A1:J34"/>
  <sheetViews>
    <sheetView zoomScale="85" zoomScaleNormal="85" workbookViewId="0">
      <selection activeCell="A17" sqref="A2:A17"/>
    </sheetView>
  </sheetViews>
  <sheetFormatPr defaultRowHeight="18.75"/>
  <cols>
    <col min="3" max="3" width="22.5" customWidth="1"/>
    <col min="5" max="5" width="22.375" customWidth="1"/>
    <col min="6" max="6" width="12" customWidth="1"/>
    <col min="9" max="9" width="15.5" customWidth="1"/>
    <col min="10" max="10" width="9.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</v>
      </c>
      <c r="I1" t="s">
        <v>15</v>
      </c>
      <c r="J1" t="s">
        <v>2</v>
      </c>
    </row>
    <row r="2" spans="1:10">
      <c r="B2" s="1"/>
      <c r="C2">
        <f>B2/SQRT(2)*SQRT(3)</f>
        <v>0</v>
      </c>
      <c r="D2" s="2"/>
      <c r="E2">
        <f>D2/SQRT(2)</f>
        <v>0</v>
      </c>
      <c r="I2">
        <f>B2+G2</f>
        <v>0</v>
      </c>
      <c r="J2">
        <f>I2/SQRT(2)*SQRT(3)</f>
        <v>0</v>
      </c>
    </row>
    <row r="3" spans="1:10">
      <c r="C3">
        <f>B3/SQRT(2)*SQRT(3)</f>
        <v>0</v>
      </c>
      <c r="D3" s="2"/>
      <c r="E3">
        <f>D3/SQRT(2)</f>
        <v>0</v>
      </c>
      <c r="I3">
        <f t="shared" ref="I3:I18" si="0">B3+G3</f>
        <v>0</v>
      </c>
      <c r="J3">
        <f>I3/SQRT(2)*SQRT(3)</f>
        <v>0</v>
      </c>
    </row>
    <row r="4" spans="1:10">
      <c r="B4" s="1"/>
      <c r="C4">
        <f t="shared" ref="C4:C19" si="1">B4/SQRT(2)*SQRT(3)</f>
        <v>0</v>
      </c>
      <c r="D4" s="2"/>
      <c r="E4">
        <f t="shared" ref="E4:E21" si="2">D4/SQRT(2)</f>
        <v>0</v>
      </c>
      <c r="I4">
        <f t="shared" si="0"/>
        <v>0</v>
      </c>
      <c r="J4">
        <f t="shared" ref="J4:J18" si="3">I4/SQRT(2)*SQRT(3)</f>
        <v>0</v>
      </c>
    </row>
    <row r="5" spans="1:10">
      <c r="C5">
        <f>B5/SQRT(2)*SQRT(3)</f>
        <v>0</v>
      </c>
      <c r="E5">
        <f>D5/SQRT(2)</f>
        <v>0</v>
      </c>
      <c r="I5">
        <f>B5+G5</f>
        <v>0</v>
      </c>
      <c r="J5">
        <f>I5/SQRT(2)*SQRT(3)</f>
        <v>0</v>
      </c>
    </row>
    <row r="6" spans="1:10">
      <c r="B6" s="2"/>
      <c r="C6">
        <f t="shared" ref="C6:C16" si="4">B6/SQRT(2)*SQRT(3)</f>
        <v>0</v>
      </c>
      <c r="D6" s="2"/>
      <c r="E6">
        <f t="shared" ref="E6:E17" si="5">D6/SQRT(2)</f>
        <v>0</v>
      </c>
      <c r="I6">
        <f t="shared" si="0"/>
        <v>0</v>
      </c>
      <c r="J6">
        <f>I6/SQRT(2)*SQRT(3)</f>
        <v>0</v>
      </c>
    </row>
    <row r="7" spans="1:10">
      <c r="B7" s="2"/>
      <c r="C7">
        <f t="shared" si="4"/>
        <v>0</v>
      </c>
      <c r="D7" s="2"/>
      <c r="E7">
        <f t="shared" si="5"/>
        <v>0</v>
      </c>
      <c r="I7">
        <f t="shared" si="0"/>
        <v>0</v>
      </c>
      <c r="J7">
        <f>I7/SQRT(2)*SQRT(3)</f>
        <v>0</v>
      </c>
    </row>
    <row r="8" spans="1:10">
      <c r="C8">
        <f t="shared" si="4"/>
        <v>0</v>
      </c>
      <c r="D8" s="2"/>
      <c r="E8">
        <f t="shared" si="5"/>
        <v>0</v>
      </c>
      <c r="I8">
        <f t="shared" si="0"/>
        <v>0</v>
      </c>
      <c r="J8">
        <f>I8/SQRT(2)*SQRT(3)</f>
        <v>0</v>
      </c>
    </row>
    <row r="9" spans="1:10">
      <c r="B9" s="2"/>
      <c r="C9">
        <f t="shared" si="4"/>
        <v>0</v>
      </c>
      <c r="D9" s="2"/>
      <c r="E9">
        <f t="shared" si="5"/>
        <v>0</v>
      </c>
      <c r="I9">
        <f t="shared" si="0"/>
        <v>0</v>
      </c>
      <c r="J9">
        <f>I9/SQRT(2)*SQRT(3)</f>
        <v>0</v>
      </c>
    </row>
    <row r="10" spans="1:10">
      <c r="C10">
        <f t="shared" si="4"/>
        <v>0</v>
      </c>
      <c r="E10">
        <f t="shared" si="5"/>
        <v>0</v>
      </c>
      <c r="I10">
        <f t="shared" si="0"/>
        <v>0</v>
      </c>
      <c r="J10">
        <f t="shared" si="3"/>
        <v>0</v>
      </c>
    </row>
    <row r="11" spans="1:10">
      <c r="C11">
        <f t="shared" si="4"/>
        <v>0</v>
      </c>
      <c r="E11">
        <f t="shared" si="5"/>
        <v>0</v>
      </c>
      <c r="I11">
        <f t="shared" si="0"/>
        <v>0</v>
      </c>
      <c r="J11">
        <f t="shared" si="3"/>
        <v>0</v>
      </c>
    </row>
    <row r="12" spans="1:10">
      <c r="B12" s="2"/>
      <c r="C12">
        <f t="shared" si="4"/>
        <v>0</v>
      </c>
      <c r="E12">
        <f t="shared" si="5"/>
        <v>0</v>
      </c>
      <c r="I12">
        <f t="shared" si="0"/>
        <v>0</v>
      </c>
      <c r="J12">
        <f t="shared" si="3"/>
        <v>0</v>
      </c>
    </row>
    <row r="13" spans="1:10">
      <c r="C13">
        <f t="shared" si="4"/>
        <v>0</v>
      </c>
      <c r="E13">
        <f t="shared" si="5"/>
        <v>0</v>
      </c>
      <c r="I13">
        <f t="shared" si="0"/>
        <v>0</v>
      </c>
      <c r="J13">
        <f t="shared" si="3"/>
        <v>0</v>
      </c>
    </row>
    <row r="14" spans="1:10">
      <c r="B14" s="2"/>
      <c r="C14">
        <f t="shared" si="4"/>
        <v>0</v>
      </c>
      <c r="E14">
        <f t="shared" si="5"/>
        <v>0</v>
      </c>
      <c r="I14">
        <f t="shared" si="0"/>
        <v>0</v>
      </c>
      <c r="J14">
        <f t="shared" si="3"/>
        <v>0</v>
      </c>
    </row>
    <row r="15" spans="1:10">
      <c r="C15">
        <f t="shared" si="4"/>
        <v>0</v>
      </c>
      <c r="E15">
        <f t="shared" si="5"/>
        <v>0</v>
      </c>
      <c r="I15">
        <f t="shared" si="0"/>
        <v>0</v>
      </c>
      <c r="J15">
        <f t="shared" si="3"/>
        <v>0</v>
      </c>
    </row>
    <row r="16" spans="1:10">
      <c r="C16">
        <f t="shared" si="4"/>
        <v>0</v>
      </c>
      <c r="E16">
        <f t="shared" si="5"/>
        <v>0</v>
      </c>
      <c r="I16">
        <f t="shared" si="0"/>
        <v>0</v>
      </c>
      <c r="J16">
        <f t="shared" si="3"/>
        <v>0</v>
      </c>
    </row>
    <row r="17" spans="1:10">
      <c r="B17" s="1"/>
      <c r="C17">
        <f t="shared" si="1"/>
        <v>0</v>
      </c>
      <c r="D17" s="1"/>
      <c r="E17">
        <f t="shared" si="5"/>
        <v>0</v>
      </c>
      <c r="I17">
        <f t="shared" si="0"/>
        <v>0</v>
      </c>
      <c r="J17">
        <f t="shared" si="3"/>
        <v>0</v>
      </c>
    </row>
    <row r="18" spans="1:10">
      <c r="C18">
        <f t="shared" si="1"/>
        <v>0</v>
      </c>
      <c r="E18">
        <f t="shared" si="2"/>
        <v>0</v>
      </c>
      <c r="I18">
        <f t="shared" si="0"/>
        <v>0</v>
      </c>
      <c r="J18">
        <f t="shared" si="3"/>
        <v>0</v>
      </c>
    </row>
    <row r="19" spans="1:10">
      <c r="C19">
        <f t="shared" si="1"/>
        <v>0</v>
      </c>
      <c r="E19">
        <f t="shared" si="2"/>
        <v>0</v>
      </c>
    </row>
    <row r="20" spans="1:10">
      <c r="C20">
        <f>B20/SQRT(2)*SQRT(3)</f>
        <v>0</v>
      </c>
      <c r="E20">
        <f t="shared" si="2"/>
        <v>0</v>
      </c>
    </row>
    <row r="21" spans="1:10">
      <c r="C21">
        <f>B21/SQRT(2)*SQRT(3)</f>
        <v>0</v>
      </c>
      <c r="E21">
        <f t="shared" si="2"/>
        <v>0</v>
      </c>
    </row>
    <row r="26" spans="1:10">
      <c r="A26" t="s">
        <v>13</v>
      </c>
      <c r="B26" t="s">
        <v>5</v>
      </c>
      <c r="C26" t="s">
        <v>6</v>
      </c>
      <c r="D26" t="s">
        <v>4</v>
      </c>
      <c r="E26" t="s">
        <v>2</v>
      </c>
    </row>
    <row r="27" spans="1:10">
      <c r="A27">
        <v>30</v>
      </c>
      <c r="B27" s="2">
        <v>2.07898708195594</v>
      </c>
      <c r="C27">
        <f>B27/SQRT(2)</f>
        <v>1.4700658636502777</v>
      </c>
      <c r="D27" s="2">
        <v>16.484297270929599</v>
      </c>
      <c r="E27">
        <f>D27/SQRT(2)*SQRT(3)</f>
        <v>20.189058541065389</v>
      </c>
    </row>
    <row r="28" spans="1:10">
      <c r="A28">
        <v>40</v>
      </c>
      <c r="B28">
        <v>2.0589125770150698</v>
      </c>
      <c r="C28">
        <f>B28/SQRT(2)</f>
        <v>1.4558710450776255</v>
      </c>
      <c r="D28">
        <v>22.8772891425964</v>
      </c>
      <c r="E28">
        <f t="shared" ref="E28:E34" si="6">D28/SQRT(2)*SQRT(3)</f>
        <v>28.018842548737418</v>
      </c>
    </row>
    <row r="29" spans="1:10">
      <c r="A29">
        <v>50</v>
      </c>
      <c r="B29">
        <v>2.5362519056477302</v>
      </c>
      <c r="C29">
        <f>B29/SQRT(2)</f>
        <v>1.7934009212808135</v>
      </c>
      <c r="D29">
        <v>28.715286731202301</v>
      </c>
      <c r="E29">
        <f t="shared" si="6"/>
        <v>35.168900154578957</v>
      </c>
    </row>
    <row r="30" spans="1:10">
      <c r="A30">
        <v>60</v>
      </c>
      <c r="B30">
        <v>3.2171077041037499</v>
      </c>
      <c r="C30">
        <f>B30/SQRT(2)</f>
        <v>2.2748386733792465</v>
      </c>
      <c r="D30">
        <v>34.495697109667702</v>
      </c>
      <c r="E30">
        <f t="shared" si="6"/>
        <v>42.248428120143174</v>
      </c>
    </row>
    <row r="31" spans="1:10">
      <c r="A31">
        <v>70</v>
      </c>
      <c r="B31">
        <v>4.8842642671775804</v>
      </c>
      <c r="C31">
        <f>B31/SQRT(2)</f>
        <v>3.4536963844284099</v>
      </c>
      <c r="D31">
        <v>40.198791229633301</v>
      </c>
      <c r="E31">
        <f t="shared" si="6"/>
        <v>49.233263394634569</v>
      </c>
    </row>
    <row r="32" spans="1:10">
      <c r="C32">
        <f t="shared" ref="C32:C34" si="7">B32/SQRT(2)</f>
        <v>0</v>
      </c>
      <c r="E32">
        <f t="shared" si="6"/>
        <v>0</v>
      </c>
    </row>
    <row r="33" spans="1:5">
      <c r="A33">
        <v>80</v>
      </c>
      <c r="B33">
        <v>7.27075026804141</v>
      </c>
      <c r="C33">
        <f t="shared" si="7"/>
        <v>5.1411968188459891</v>
      </c>
      <c r="D33" s="2">
        <v>46.268491062149401</v>
      </c>
      <c r="E33">
        <f t="shared" si="6"/>
        <v>56.667097135395046</v>
      </c>
    </row>
    <row r="34" spans="1:5">
      <c r="A34">
        <v>90</v>
      </c>
      <c r="B34">
        <v>7.7820858385042602</v>
      </c>
      <c r="C34">
        <f t="shared" si="7"/>
        <v>5.5027656681821622</v>
      </c>
      <c r="D34">
        <v>52.173230650597297</v>
      </c>
      <c r="E34">
        <f t="shared" si="6"/>
        <v>63.898896663249488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6482-13B8-4B3F-897A-09707FCCA2E4}">
  <dimension ref="A1:J28"/>
  <sheetViews>
    <sheetView zoomScale="85" zoomScaleNormal="85" workbookViewId="0">
      <selection activeCell="Q4" sqref="Q4:R2563"/>
    </sheetView>
  </sheetViews>
  <sheetFormatPr defaultRowHeight="18.75"/>
  <cols>
    <col min="2" max="2" width="9.625" bestFit="1" customWidth="1"/>
    <col min="3" max="3" width="19" customWidth="1"/>
    <col min="5" max="5" width="18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</v>
      </c>
      <c r="I1" t="s">
        <v>15</v>
      </c>
      <c r="J1" t="s">
        <v>2</v>
      </c>
    </row>
    <row r="2" spans="1:10">
      <c r="C2">
        <f>B2/SQRT(2)*SQRT(3)</f>
        <v>0</v>
      </c>
      <c r="E2">
        <f>D2/SQRT(2)</f>
        <v>0</v>
      </c>
      <c r="I2">
        <f>B2+G2</f>
        <v>0</v>
      </c>
      <c r="J2">
        <f>I2/SQRT(2)*SQRT(3)</f>
        <v>0</v>
      </c>
    </row>
    <row r="3" spans="1:10">
      <c r="B3" s="2"/>
      <c r="C3">
        <f t="shared" ref="C3:C17" si="0">B3/SQRT(2)*SQRT(3)</f>
        <v>0</v>
      </c>
      <c r="D3" s="2"/>
      <c r="E3">
        <f t="shared" ref="E3:E17" si="1">D3/SQRT(2)</f>
        <v>0</v>
      </c>
      <c r="I3">
        <f t="shared" ref="I3:I18" si="2">B3+G3</f>
        <v>0</v>
      </c>
      <c r="J3">
        <f>I3/SQRT(2)*SQRT(3)</f>
        <v>0</v>
      </c>
    </row>
    <row r="4" spans="1:10">
      <c r="C4">
        <f t="shared" si="0"/>
        <v>0</v>
      </c>
      <c r="E4">
        <f t="shared" si="1"/>
        <v>0</v>
      </c>
      <c r="I4">
        <f t="shared" si="2"/>
        <v>0</v>
      </c>
      <c r="J4">
        <f t="shared" ref="J4:J18" si="3">I4/SQRT(2)*SQRT(3)</f>
        <v>0</v>
      </c>
    </row>
    <row r="5" spans="1:10">
      <c r="B5" s="1"/>
      <c r="C5">
        <f>B5/SQRT(2)*SQRT(3)</f>
        <v>0</v>
      </c>
      <c r="D5" s="1"/>
      <c r="E5">
        <f t="shared" si="1"/>
        <v>0</v>
      </c>
      <c r="I5">
        <f>B5+G5</f>
        <v>0</v>
      </c>
      <c r="J5">
        <f>I5/SQRT(2)*SQRT(3)</f>
        <v>0</v>
      </c>
    </row>
    <row r="6" spans="1:10">
      <c r="B6" s="2"/>
      <c r="C6">
        <f>B6/SQRT(2)*SQRT(3)</f>
        <v>0</v>
      </c>
      <c r="D6" s="2"/>
      <c r="E6">
        <f t="shared" si="1"/>
        <v>0</v>
      </c>
      <c r="I6">
        <f t="shared" si="2"/>
        <v>0</v>
      </c>
      <c r="J6">
        <f>I6/SQRT(2)*SQRT(3)</f>
        <v>0</v>
      </c>
    </row>
    <row r="7" spans="1:10">
      <c r="C7">
        <f t="shared" si="0"/>
        <v>0</v>
      </c>
      <c r="E7">
        <f t="shared" si="1"/>
        <v>0</v>
      </c>
      <c r="I7">
        <f t="shared" si="2"/>
        <v>0</v>
      </c>
      <c r="J7">
        <f>I7/SQRT(2)*SQRT(3)</f>
        <v>0</v>
      </c>
    </row>
    <row r="8" spans="1:10">
      <c r="C8">
        <f t="shared" si="0"/>
        <v>0</v>
      </c>
      <c r="E8">
        <f t="shared" si="1"/>
        <v>0</v>
      </c>
      <c r="I8">
        <f t="shared" si="2"/>
        <v>0</v>
      </c>
      <c r="J8">
        <f>I8/SQRT(2)*SQRT(3)</f>
        <v>0</v>
      </c>
    </row>
    <row r="9" spans="1:10">
      <c r="C9">
        <f t="shared" si="0"/>
        <v>0</v>
      </c>
      <c r="E9">
        <f t="shared" si="1"/>
        <v>0</v>
      </c>
      <c r="I9">
        <f t="shared" si="2"/>
        <v>0</v>
      </c>
      <c r="J9">
        <f>I9/SQRT(2)*SQRT(3)</f>
        <v>0</v>
      </c>
    </row>
    <row r="10" spans="1:10">
      <c r="B10" s="2"/>
      <c r="C10">
        <f t="shared" si="0"/>
        <v>0</v>
      </c>
      <c r="D10" s="2"/>
      <c r="E10">
        <f t="shared" si="1"/>
        <v>0</v>
      </c>
      <c r="I10">
        <f t="shared" si="2"/>
        <v>0</v>
      </c>
      <c r="J10">
        <f t="shared" si="3"/>
        <v>0</v>
      </c>
    </row>
    <row r="11" spans="1:10">
      <c r="B11" s="2"/>
      <c r="C11">
        <f t="shared" si="0"/>
        <v>0</v>
      </c>
      <c r="D11" s="2"/>
      <c r="E11">
        <f t="shared" si="1"/>
        <v>0</v>
      </c>
      <c r="I11">
        <f t="shared" si="2"/>
        <v>0</v>
      </c>
      <c r="J11">
        <f t="shared" si="3"/>
        <v>0</v>
      </c>
    </row>
    <row r="12" spans="1:10">
      <c r="B12" s="2"/>
      <c r="C12">
        <f t="shared" si="0"/>
        <v>0</v>
      </c>
      <c r="D12" s="2"/>
      <c r="E12">
        <f t="shared" si="1"/>
        <v>0</v>
      </c>
      <c r="I12">
        <f t="shared" si="2"/>
        <v>0</v>
      </c>
      <c r="J12">
        <f t="shared" si="3"/>
        <v>0</v>
      </c>
    </row>
    <row r="13" spans="1:10">
      <c r="B13" s="2"/>
      <c r="C13">
        <f t="shared" si="0"/>
        <v>0</v>
      </c>
      <c r="D13" s="2"/>
      <c r="E13">
        <f t="shared" si="1"/>
        <v>0</v>
      </c>
      <c r="I13">
        <f t="shared" si="2"/>
        <v>0</v>
      </c>
      <c r="J13">
        <f t="shared" si="3"/>
        <v>0</v>
      </c>
    </row>
    <row r="14" spans="1:10">
      <c r="C14">
        <f t="shared" si="0"/>
        <v>0</v>
      </c>
      <c r="E14">
        <f t="shared" si="1"/>
        <v>0</v>
      </c>
      <c r="I14">
        <f t="shared" si="2"/>
        <v>0</v>
      </c>
      <c r="J14">
        <f t="shared" si="3"/>
        <v>0</v>
      </c>
    </row>
    <row r="15" spans="1:10">
      <c r="C15">
        <f t="shared" si="0"/>
        <v>0</v>
      </c>
      <c r="E15">
        <f t="shared" si="1"/>
        <v>0</v>
      </c>
      <c r="I15">
        <f t="shared" si="2"/>
        <v>0</v>
      </c>
      <c r="J15">
        <f t="shared" si="3"/>
        <v>0</v>
      </c>
    </row>
    <row r="16" spans="1:10">
      <c r="C16">
        <f t="shared" si="0"/>
        <v>0</v>
      </c>
      <c r="E16">
        <f t="shared" si="1"/>
        <v>0</v>
      </c>
      <c r="I16">
        <f t="shared" si="2"/>
        <v>0</v>
      </c>
      <c r="J16">
        <f t="shared" si="3"/>
        <v>0</v>
      </c>
    </row>
    <row r="17" spans="2:10">
      <c r="C17">
        <f t="shared" si="0"/>
        <v>0</v>
      </c>
      <c r="E17">
        <f t="shared" si="1"/>
        <v>0</v>
      </c>
      <c r="I17">
        <f t="shared" si="2"/>
        <v>0</v>
      </c>
      <c r="J17">
        <f t="shared" si="3"/>
        <v>0</v>
      </c>
    </row>
    <row r="18" spans="2:10">
      <c r="I18">
        <f t="shared" si="2"/>
        <v>0</v>
      </c>
      <c r="J18">
        <f t="shared" si="3"/>
        <v>0</v>
      </c>
    </row>
    <row r="22" spans="2:10">
      <c r="B22" s="2"/>
      <c r="D22" s="2"/>
    </row>
    <row r="28" spans="2:10">
      <c r="D28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D6FE-453C-4F85-8D3A-BA6B7AA4BC12}">
  <dimension ref="A1:J33"/>
  <sheetViews>
    <sheetView zoomScale="85" zoomScaleNormal="85" workbookViewId="0">
      <selection activeCell="A26" sqref="A26:E34"/>
    </sheetView>
  </sheetViews>
  <sheetFormatPr defaultRowHeight="18.75"/>
  <cols>
    <col min="3" max="3" width="22.5" customWidth="1"/>
    <col min="5" max="5" width="22.375" customWidth="1"/>
    <col min="6" max="6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</v>
      </c>
      <c r="I1" t="s">
        <v>15</v>
      </c>
      <c r="J1" t="s">
        <v>2</v>
      </c>
    </row>
    <row r="2" spans="1:10">
      <c r="C2">
        <f>B2/SQRT(2)*SQRT(3)</f>
        <v>0</v>
      </c>
      <c r="D2" s="2"/>
      <c r="E2">
        <f>D2/SQRT(2)</f>
        <v>0</v>
      </c>
      <c r="I2">
        <f>B2+G2</f>
        <v>0</v>
      </c>
      <c r="J2">
        <f>I2/SQRT(2)*SQRT(3)</f>
        <v>0</v>
      </c>
    </row>
    <row r="3" spans="1:10">
      <c r="C3">
        <f>B3/SQRT(2)*SQRT(3)</f>
        <v>0</v>
      </c>
      <c r="D3" s="2"/>
      <c r="E3">
        <f>D3/SQRT(2)</f>
        <v>0</v>
      </c>
      <c r="I3">
        <f t="shared" ref="I3:I17" si="0">B3+G3</f>
        <v>0</v>
      </c>
      <c r="J3">
        <f>I3/SQRT(2)*SQRT(3)</f>
        <v>0</v>
      </c>
    </row>
    <row r="4" spans="1:10">
      <c r="B4" s="1"/>
      <c r="C4">
        <f t="shared" ref="C4:C21" si="1">B4/SQRT(2)*SQRT(3)</f>
        <v>0</v>
      </c>
      <c r="D4" s="2"/>
      <c r="E4">
        <f t="shared" ref="E4:E21" si="2">D4/SQRT(2)</f>
        <v>0</v>
      </c>
      <c r="I4">
        <f t="shared" si="0"/>
        <v>0</v>
      </c>
      <c r="J4">
        <f t="shared" ref="J4:J17" si="3">I4/SQRT(2)*SQRT(3)</f>
        <v>0</v>
      </c>
    </row>
    <row r="5" spans="1:10">
      <c r="C5">
        <f>B5/SQRT(2)*SQRT(3)</f>
        <v>0</v>
      </c>
      <c r="E5">
        <f>D5/SQRT(2)</f>
        <v>0</v>
      </c>
      <c r="I5">
        <f>B5+G5</f>
        <v>0</v>
      </c>
      <c r="J5">
        <f>I5/SQRT(2)*SQRT(3)</f>
        <v>0</v>
      </c>
    </row>
    <row r="6" spans="1:10">
      <c r="B6" s="2"/>
      <c r="C6">
        <f>B6/SQRT(2)*SQRT(3)</f>
        <v>0</v>
      </c>
      <c r="D6" s="2"/>
      <c r="E6">
        <f t="shared" si="2"/>
        <v>0</v>
      </c>
      <c r="I6">
        <f t="shared" si="0"/>
        <v>0</v>
      </c>
      <c r="J6">
        <f>I6/SQRT(2)*SQRT(3)</f>
        <v>0</v>
      </c>
    </row>
    <row r="7" spans="1:10">
      <c r="B7" s="2"/>
      <c r="C7">
        <f>B7/SQRT(2)*SQRT(3)</f>
        <v>0</v>
      </c>
      <c r="D7" s="2"/>
      <c r="E7">
        <f t="shared" si="2"/>
        <v>0</v>
      </c>
      <c r="I7">
        <f t="shared" si="0"/>
        <v>0</v>
      </c>
      <c r="J7">
        <f>I7/SQRT(2)*SQRT(3)</f>
        <v>0</v>
      </c>
    </row>
    <row r="8" spans="1:10">
      <c r="B8" s="2"/>
      <c r="C8">
        <f>B8/SQRT(2)*SQRT(3)</f>
        <v>0</v>
      </c>
      <c r="D8" s="2"/>
      <c r="E8">
        <f t="shared" si="2"/>
        <v>0</v>
      </c>
      <c r="I8">
        <f t="shared" si="0"/>
        <v>0</v>
      </c>
      <c r="J8">
        <f>I8/SQRT(2)*SQRT(3)</f>
        <v>0</v>
      </c>
    </row>
    <row r="9" spans="1:10">
      <c r="B9" s="2"/>
      <c r="C9">
        <f>B9/SQRT(2)*SQRT(3)</f>
        <v>0</v>
      </c>
      <c r="D9" s="2"/>
      <c r="E9">
        <f t="shared" si="2"/>
        <v>0</v>
      </c>
      <c r="I9">
        <f t="shared" si="0"/>
        <v>0</v>
      </c>
      <c r="J9">
        <f>I9/SQRT(2)*SQRT(3)</f>
        <v>0</v>
      </c>
    </row>
    <row r="10" spans="1:10">
      <c r="C10">
        <f t="shared" si="1"/>
        <v>0</v>
      </c>
      <c r="E10">
        <f t="shared" si="2"/>
        <v>0</v>
      </c>
      <c r="I10">
        <f t="shared" si="0"/>
        <v>0</v>
      </c>
      <c r="J10">
        <f t="shared" si="3"/>
        <v>0</v>
      </c>
    </row>
    <row r="11" spans="1:10">
      <c r="C11">
        <f t="shared" si="1"/>
        <v>0</v>
      </c>
      <c r="E11">
        <f t="shared" si="2"/>
        <v>0</v>
      </c>
      <c r="I11">
        <f t="shared" si="0"/>
        <v>0</v>
      </c>
      <c r="J11">
        <f t="shared" si="3"/>
        <v>0</v>
      </c>
    </row>
    <row r="12" spans="1:10">
      <c r="C12">
        <f t="shared" si="1"/>
        <v>0</v>
      </c>
      <c r="D12" s="2"/>
      <c r="E12">
        <f t="shared" si="2"/>
        <v>0</v>
      </c>
      <c r="I12">
        <f t="shared" si="0"/>
        <v>0</v>
      </c>
      <c r="J12">
        <f t="shared" si="3"/>
        <v>0</v>
      </c>
    </row>
    <row r="13" spans="1:10">
      <c r="C13">
        <f t="shared" si="1"/>
        <v>0</v>
      </c>
      <c r="E13">
        <f t="shared" si="2"/>
        <v>0</v>
      </c>
      <c r="I13">
        <f t="shared" si="0"/>
        <v>0</v>
      </c>
      <c r="J13">
        <f t="shared" si="3"/>
        <v>0</v>
      </c>
    </row>
    <row r="14" spans="1:10">
      <c r="C14">
        <f t="shared" si="1"/>
        <v>0</v>
      </c>
      <c r="D14" s="2"/>
      <c r="E14">
        <f t="shared" si="2"/>
        <v>0</v>
      </c>
      <c r="I14">
        <f t="shared" si="0"/>
        <v>0</v>
      </c>
      <c r="J14">
        <f t="shared" si="3"/>
        <v>0</v>
      </c>
    </row>
    <row r="15" spans="1:10">
      <c r="C15">
        <f t="shared" si="1"/>
        <v>0</v>
      </c>
      <c r="E15">
        <f t="shared" si="2"/>
        <v>0</v>
      </c>
      <c r="I15">
        <f t="shared" si="0"/>
        <v>0</v>
      </c>
      <c r="J15">
        <f t="shared" si="3"/>
        <v>0</v>
      </c>
    </row>
    <row r="16" spans="1:10">
      <c r="C16">
        <f t="shared" si="1"/>
        <v>0</v>
      </c>
      <c r="E16">
        <f t="shared" si="2"/>
        <v>0</v>
      </c>
      <c r="I16">
        <f t="shared" si="0"/>
        <v>0</v>
      </c>
      <c r="J16">
        <f t="shared" si="3"/>
        <v>0</v>
      </c>
    </row>
    <row r="17" spans="2:10">
      <c r="C17">
        <f t="shared" si="1"/>
        <v>0</v>
      </c>
      <c r="E17">
        <f t="shared" si="2"/>
        <v>0</v>
      </c>
      <c r="I17">
        <f t="shared" si="0"/>
        <v>0</v>
      </c>
      <c r="J17">
        <f t="shared" si="3"/>
        <v>0</v>
      </c>
    </row>
    <row r="18" spans="2:10">
      <c r="C18">
        <f t="shared" si="1"/>
        <v>0</v>
      </c>
      <c r="E18">
        <f t="shared" si="2"/>
        <v>0</v>
      </c>
      <c r="I18">
        <f t="shared" ref="I18" si="4">B18+G18</f>
        <v>0</v>
      </c>
      <c r="J18">
        <f t="shared" ref="J18" si="5">I18/SQRT(2)*SQRT(3)</f>
        <v>0</v>
      </c>
    </row>
    <row r="19" spans="2:10">
      <c r="C19">
        <f t="shared" si="1"/>
        <v>0</v>
      </c>
      <c r="E19">
        <f t="shared" si="2"/>
        <v>0</v>
      </c>
    </row>
    <row r="20" spans="2:10">
      <c r="C20">
        <f t="shared" si="1"/>
        <v>0</v>
      </c>
      <c r="E20">
        <f t="shared" si="2"/>
        <v>0</v>
      </c>
    </row>
    <row r="21" spans="2:10">
      <c r="C21">
        <f t="shared" si="1"/>
        <v>0</v>
      </c>
      <c r="E21">
        <f t="shared" si="2"/>
        <v>0</v>
      </c>
    </row>
    <row r="27" spans="2:10">
      <c r="B27" s="2"/>
      <c r="D27" s="2"/>
    </row>
    <row r="33" spans="4:4">
      <c r="D33" s="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3CB5-8EB4-4B1D-B9F4-81528F2AD173}">
  <dimension ref="A1:CC2563"/>
  <sheetViews>
    <sheetView zoomScale="85" zoomScaleNormal="85" workbookViewId="0">
      <selection activeCell="S9" activeCellId="1" sqref="P1 S9"/>
    </sheetView>
  </sheetViews>
  <sheetFormatPr defaultRowHeight="18.75"/>
  <cols>
    <col min="2" max="2" width="10.25" bestFit="1" customWidth="1"/>
    <col min="4" max="4" width="10.25" bestFit="1" customWidth="1"/>
    <col min="39" max="39" width="10.375" bestFit="1" customWidth="1"/>
  </cols>
  <sheetData>
    <row r="1" spans="1:59">
      <c r="A1" t="s">
        <v>0</v>
      </c>
      <c r="B1" t="s">
        <v>7</v>
      </c>
      <c r="D1" t="s">
        <v>8</v>
      </c>
      <c r="E1" t="s">
        <v>9</v>
      </c>
      <c r="L1" t="s">
        <v>10</v>
      </c>
      <c r="M1">
        <v>10</v>
      </c>
      <c r="P1">
        <v>30</v>
      </c>
    </row>
    <row r="2" spans="1:59">
      <c r="A2">
        <v>10</v>
      </c>
      <c r="B2">
        <f>SQRT(SUMSQ($M$1283:$M$1538)/256)+SQRT(SUMSQ($AV$1283:$AV$1538)/256)</f>
        <v>0</v>
      </c>
      <c r="D2">
        <f>SQRT(SUMSQ($N$1283:$N$1538)/256)+SQRT(SUMSQ($AW$1283:$AW$1538)/256)</f>
        <v>0</v>
      </c>
      <c r="E2">
        <f>D2*SQRT(3)</f>
        <v>0</v>
      </c>
      <c r="M2" t="s">
        <v>11</v>
      </c>
      <c r="N2" t="s">
        <v>16</v>
      </c>
      <c r="O2" t="s">
        <v>17</v>
      </c>
      <c r="P2" t="s">
        <v>11</v>
      </c>
      <c r="Q2" t="s">
        <v>16</v>
      </c>
      <c r="R2" t="s">
        <v>17</v>
      </c>
    </row>
    <row r="3" spans="1:59">
      <c r="A3">
        <v>30</v>
      </c>
      <c r="B3" s="3">
        <f>SQRT(SUMSQ($O$1283:$O$1538)/256)+SQRT(SUMSQ($AX$1283:$AX$1538)/256)</f>
        <v>0</v>
      </c>
      <c r="D3">
        <f>SQRT(SUMSQ($P$1283:$P$1538)/256)+SQRT(SUMSQ($AY$1283:$AY$1538)/256)</f>
        <v>0</v>
      </c>
      <c r="E3">
        <f>D3*SQRT(3)</f>
        <v>0</v>
      </c>
      <c r="L3" t="s">
        <v>12</v>
      </c>
      <c r="M3" s="3"/>
      <c r="N3" s="3"/>
      <c r="O3" s="3"/>
      <c r="P3" s="3"/>
      <c r="S3" s="3"/>
      <c r="T3" s="3"/>
      <c r="AN3" s="1"/>
      <c r="BG3" s="1"/>
    </row>
    <row r="4" spans="1:59">
      <c r="A4">
        <v>45</v>
      </c>
      <c r="B4">
        <f>SQRT(SUMSQ($Q$1283:$Q$1538)/256)+SQRT(SUMSQ($AZ$1283:$AZ$1538)/256)</f>
        <v>0</v>
      </c>
      <c r="D4">
        <f>SQRT(SUMSQ($R$1283:$R$1538)/256)+SQRT(SUMSQ($BA$1283:$BA$1538)/256)</f>
        <v>0</v>
      </c>
      <c r="E4">
        <f t="shared" ref="E4:E17" si="0">D4*SQRT(3)</f>
        <v>0</v>
      </c>
      <c r="L4">
        <v>1</v>
      </c>
      <c r="M4" s="1"/>
      <c r="N4" s="1"/>
      <c r="O4" s="1"/>
      <c r="P4" s="1"/>
      <c r="S4" s="2"/>
      <c r="T4" s="2"/>
      <c r="AA4" s="1"/>
      <c r="AB4" s="1"/>
      <c r="AF4" s="2"/>
      <c r="AG4" s="1"/>
      <c r="AH4" s="1"/>
      <c r="AK4" s="1"/>
      <c r="AL4" s="1"/>
      <c r="AM4" s="2"/>
      <c r="AN4" s="2"/>
      <c r="AQ4" s="1"/>
      <c r="AS4" s="2"/>
      <c r="AT4" s="2"/>
      <c r="BG4" s="1"/>
    </row>
    <row r="5" spans="1:59">
      <c r="A5">
        <v>50</v>
      </c>
      <c r="B5">
        <f>SQRT(SUMSQ($S$1283:$S$1538)/256)+SQRT(SUMSQ($BB$1283:$BB$1538)/256)</f>
        <v>0</v>
      </c>
      <c r="D5">
        <f>SQRT(SUMSQ($T$1283:$T$1538)/256)+SQRT(SUMSQ($BC$1283:$BC$1538)/256)</f>
        <v>0</v>
      </c>
      <c r="E5">
        <f t="shared" si="0"/>
        <v>0</v>
      </c>
      <c r="L5">
        <v>2</v>
      </c>
      <c r="M5" s="1"/>
      <c r="N5" s="1"/>
      <c r="O5" s="1"/>
      <c r="P5" s="1"/>
      <c r="S5" s="2"/>
      <c r="T5" s="2"/>
      <c r="AA5" s="1"/>
      <c r="AB5" s="1"/>
      <c r="AE5" s="2"/>
      <c r="AF5" s="2"/>
      <c r="AG5" s="1"/>
      <c r="AH5" s="1"/>
      <c r="AK5" s="1"/>
      <c r="AL5" s="1"/>
      <c r="AM5" s="2"/>
      <c r="AN5" s="2"/>
      <c r="AQ5" s="1"/>
      <c r="AS5" s="2"/>
      <c r="AT5" s="2"/>
      <c r="BG5" s="1"/>
    </row>
    <row r="6" spans="1:59">
      <c r="A6">
        <v>55</v>
      </c>
      <c r="B6">
        <f>SQRT(SUMSQ($U$1283:$U$1538)/256)+SQRT(SUMSQ($BD$1283:$BD$1538)/256)</f>
        <v>0</v>
      </c>
      <c r="D6">
        <f>SQRT(SUMSQ($V$1283:$V$1538)/256)+SQRT(SUMSQ($BE$1283:$BE$1538)/256)</f>
        <v>0</v>
      </c>
      <c r="E6">
        <f t="shared" si="0"/>
        <v>0</v>
      </c>
      <c r="M6" s="1"/>
      <c r="N6" s="1"/>
      <c r="O6" s="1"/>
      <c r="P6" s="1"/>
      <c r="S6" s="2"/>
      <c r="T6" s="2"/>
      <c r="AA6" s="1"/>
      <c r="AB6" s="1"/>
      <c r="AE6" s="2"/>
      <c r="AF6" s="2"/>
      <c r="AG6" s="1"/>
      <c r="AH6" s="1"/>
      <c r="AK6" s="1"/>
      <c r="AL6" s="1"/>
      <c r="AM6" s="2"/>
      <c r="AN6" s="2"/>
      <c r="AQ6" s="1"/>
      <c r="AS6" s="2"/>
      <c r="AT6" s="2"/>
      <c r="BG6" s="1"/>
    </row>
    <row r="7" spans="1:59">
      <c r="A7">
        <v>60</v>
      </c>
      <c r="B7">
        <f>SQRT(SUMSQ($W$1283:$W$1538)/256)+SQRT(SUMSQ($BF$1283:$BF$1538)/256)</f>
        <v>0</v>
      </c>
      <c r="D7">
        <f>SQRT(SUMSQ($X$1283:$X$1538)/256)+SQRT(SUMSQ($BG$1283:$BG$1538)/256)</f>
        <v>0</v>
      </c>
      <c r="E7">
        <f t="shared" si="0"/>
        <v>0</v>
      </c>
      <c r="M7" s="1"/>
      <c r="N7" s="1"/>
      <c r="O7" s="1"/>
      <c r="P7" s="1"/>
      <c r="S7" s="2"/>
      <c r="T7" s="2"/>
      <c r="AA7" s="1"/>
      <c r="AB7" s="1"/>
      <c r="AE7" s="2"/>
      <c r="AF7" s="2"/>
      <c r="AG7" s="1"/>
      <c r="AH7" s="1"/>
      <c r="AK7" s="1"/>
      <c r="AL7" s="1"/>
      <c r="AM7" s="2"/>
      <c r="AN7" s="2"/>
      <c r="AQ7" s="1"/>
      <c r="AS7" s="2"/>
      <c r="AT7" s="2"/>
      <c r="BG7" s="1"/>
    </row>
    <row r="8" spans="1:59" ht="19.5" thickBot="1">
      <c r="A8">
        <v>65</v>
      </c>
      <c r="B8">
        <f>SQRT(SUMSQ($Y$1283:$Y$1538)/256)+SQRT(SUMSQ($BH$1283:$BH$1538)/256)</f>
        <v>0</v>
      </c>
      <c r="D8">
        <f>SQRT(SUMSQ($Z$1283:$Z$1538)/256)+SQRT(SUMSQ($BI$1283:$BI$1538)/256)</f>
        <v>0</v>
      </c>
      <c r="E8">
        <f>D8*SQRT(3)</f>
        <v>0</v>
      </c>
      <c r="M8" s="1"/>
      <c r="N8" s="1"/>
      <c r="O8" s="1"/>
      <c r="P8" s="1"/>
      <c r="S8" s="2"/>
      <c r="T8" s="2"/>
      <c r="AA8" s="1"/>
      <c r="AB8" s="1"/>
      <c r="AE8" s="2"/>
      <c r="AF8" s="2"/>
      <c r="AG8" s="1"/>
      <c r="AH8" s="1"/>
      <c r="AK8" s="1"/>
      <c r="AL8" s="1"/>
      <c r="AM8" s="2"/>
      <c r="AN8" s="2"/>
      <c r="AQ8" s="1"/>
      <c r="AS8" s="2"/>
      <c r="AT8" s="2"/>
      <c r="BG8" s="1"/>
    </row>
    <row r="9" spans="1:59" ht="19.5" thickBot="1">
      <c r="A9">
        <v>67.5</v>
      </c>
      <c r="B9" s="3">
        <f>SQRT(SUMSQ($AA$1283:$AA$1538)/256)+SQRT(SUMSQ($BJ$1283:$BJ$1538)/256)</f>
        <v>0</v>
      </c>
      <c r="D9">
        <f>SQRT(SUMSQ($AB$1283:$AB$1538)/256)+SQRT(SUMSQ($BK$1283:$BK$1538)/256)</f>
        <v>0</v>
      </c>
      <c r="E9">
        <f t="shared" si="0"/>
        <v>0</v>
      </c>
      <c r="G9" s="4" t="s">
        <v>14</v>
      </c>
      <c r="H9" s="5"/>
      <c r="I9" s="5"/>
      <c r="J9" s="6"/>
      <c r="M9" s="1"/>
      <c r="N9" s="1"/>
      <c r="O9" s="1"/>
      <c r="P9" s="1"/>
      <c r="S9" s="2"/>
      <c r="T9" s="2"/>
      <c r="AA9" s="1"/>
      <c r="AB9" s="1"/>
      <c r="AE9" s="2"/>
      <c r="AF9" s="2"/>
      <c r="AG9" s="1"/>
      <c r="AH9" s="1"/>
      <c r="AK9" s="1"/>
      <c r="AL9" s="1"/>
      <c r="AM9" s="2"/>
      <c r="AN9" s="2"/>
      <c r="AQ9" s="1"/>
      <c r="AS9" s="2"/>
      <c r="AT9" s="2"/>
      <c r="BG9" s="1"/>
    </row>
    <row r="10" spans="1:59">
      <c r="A10">
        <v>100</v>
      </c>
      <c r="B10">
        <f>SQRT(SUMSQ($AC$1283:$AC$1538)/256)</f>
        <v>0</v>
      </c>
      <c r="D10">
        <f>SQRT(SUMSQ($AD$1283:$AD$1538)/256)+SQRT(SUMSQ($BM$1283:$BM$1538)/256)</f>
        <v>0</v>
      </c>
      <c r="E10">
        <f t="shared" si="0"/>
        <v>0</v>
      </c>
      <c r="M10" s="1"/>
      <c r="N10" s="1"/>
      <c r="O10" s="1"/>
      <c r="P10" s="1"/>
      <c r="S10" s="2"/>
      <c r="T10" s="2"/>
      <c r="AA10" s="1"/>
      <c r="AB10" s="1"/>
      <c r="AE10" s="2"/>
      <c r="AF10" s="2"/>
      <c r="AG10" s="1"/>
      <c r="AH10" s="1"/>
      <c r="AK10" s="1"/>
      <c r="AL10" s="1"/>
      <c r="AM10" s="2"/>
      <c r="AN10" s="2"/>
      <c r="AQ10" s="1"/>
      <c r="AS10" s="2"/>
      <c r="AT10" s="2"/>
      <c r="BG10" s="1"/>
    </row>
    <row r="11" spans="1:59">
      <c r="A11">
        <v>120</v>
      </c>
      <c r="B11">
        <f>SQRT(SUMSQ($AE$1283:$AE$1538)/256)</f>
        <v>0</v>
      </c>
      <c r="D11">
        <f>SQRT(SUMSQ($AF1283:$AF$1538)/256)+SQRT(SUMSQ($BO$1283:$BO$1538)/256)</f>
        <v>0</v>
      </c>
      <c r="E11">
        <f t="shared" si="0"/>
        <v>0</v>
      </c>
      <c r="M11" s="1"/>
      <c r="N11" s="1"/>
      <c r="O11" s="1"/>
      <c r="P11" s="1"/>
      <c r="S11" s="2"/>
      <c r="T11" s="2"/>
      <c r="AA11" s="1"/>
      <c r="AB11" s="1"/>
      <c r="AE11" s="2"/>
      <c r="AF11" s="2"/>
      <c r="AG11" s="1"/>
      <c r="AH11" s="1"/>
      <c r="AK11" s="1"/>
      <c r="AL11" s="1"/>
      <c r="AM11" s="2"/>
      <c r="AN11" s="2"/>
      <c r="AQ11" s="1"/>
      <c r="AS11" s="2"/>
      <c r="AT11" s="2"/>
      <c r="BG11" s="1"/>
    </row>
    <row r="12" spans="1:59">
      <c r="A12">
        <v>140</v>
      </c>
      <c r="B12" s="3">
        <f>SQRT(SUMSQ($AG$1283:$AG$1538)/256)</f>
        <v>0</v>
      </c>
      <c r="D12">
        <f>SQRT(SUMSQ($AH$1283:$AH$1538)/256)+SQRT(SUMSQ($BQ$1283:$BQ$1538)/256)</f>
        <v>0</v>
      </c>
      <c r="E12">
        <f t="shared" si="0"/>
        <v>0</v>
      </c>
      <c r="M12" s="1"/>
      <c r="N12" s="1"/>
      <c r="O12" s="1"/>
      <c r="P12" s="1"/>
      <c r="S12" s="2"/>
      <c r="T12" s="2"/>
      <c r="AA12" s="1"/>
      <c r="AB12" s="1"/>
      <c r="AE12" s="2"/>
      <c r="AF12" s="2"/>
      <c r="AG12" s="1"/>
      <c r="AH12" s="1"/>
      <c r="AK12" s="1"/>
      <c r="AL12" s="1"/>
      <c r="AM12" s="2"/>
      <c r="AN12" s="2"/>
      <c r="AQ12" s="1"/>
      <c r="AS12" s="2"/>
      <c r="AT12" s="2"/>
      <c r="BG12" s="1"/>
    </row>
    <row r="13" spans="1:59">
      <c r="A13">
        <v>160</v>
      </c>
      <c r="B13">
        <f>SQRT(SUMSQ($AI$1283:$AI$1538)/256)+SQRT(SUMSQ($BR$1283:$BR$1538)/256)</f>
        <v>0</v>
      </c>
      <c r="D13">
        <f>SQRT(SUMSQ($AJ$1283:$AJ$1538)/256)+SQRT(SUMSQ($BS$1283:$BS$1538)/256)</f>
        <v>0</v>
      </c>
      <c r="E13">
        <f t="shared" si="0"/>
        <v>0</v>
      </c>
      <c r="O13" s="1"/>
      <c r="P13" s="1"/>
      <c r="AA13" s="1"/>
      <c r="AB13" s="1"/>
      <c r="AG13" s="1"/>
      <c r="AH13" s="1"/>
      <c r="AK13" s="1"/>
      <c r="AL13" s="1"/>
      <c r="AM13" s="2"/>
      <c r="AN13" s="2"/>
      <c r="AQ13" s="1"/>
      <c r="BG13" s="1"/>
    </row>
    <row r="14" spans="1:59">
      <c r="A14">
        <v>180</v>
      </c>
      <c r="B14" s="3">
        <f>SQRT(SUMSQ($AK$1283:$AK$1538)/256)+SQRT(SUMSQ($BT$1283:$BT$1538)/256)</f>
        <v>0</v>
      </c>
      <c r="D14">
        <f>SQRT(SUMSQ($AL$1283:$AL$1538)/256)+SQRT(SUMSQ($BU$1283:$BU$1538)/256)</f>
        <v>0</v>
      </c>
      <c r="E14">
        <f t="shared" si="0"/>
        <v>0</v>
      </c>
      <c r="O14" s="1"/>
      <c r="P14" s="1"/>
      <c r="AA14" s="1"/>
      <c r="AB14" s="1"/>
      <c r="AG14" s="1"/>
      <c r="AH14" s="1"/>
      <c r="AK14" s="1"/>
      <c r="AL14" s="1"/>
      <c r="AM14" s="2"/>
      <c r="AN14" s="2"/>
      <c r="AQ14" s="1"/>
      <c r="BG14" s="1"/>
    </row>
    <row r="15" spans="1:59">
      <c r="A15">
        <v>200</v>
      </c>
      <c r="B15">
        <f>SQRT(SUMSQ($AM$1283:$AM$1538)/256)+SQRT(SUMSQ($BV$1283:$BV$1538)/256)</f>
        <v>0</v>
      </c>
      <c r="D15">
        <f>SQRT(SUMSQ($AN$1283:$AN$1538)/256)+SQRT(SUMSQ($BW$1283:$BW$1538)/256)</f>
        <v>0</v>
      </c>
      <c r="E15">
        <f t="shared" si="0"/>
        <v>0</v>
      </c>
      <c r="O15" s="1"/>
      <c r="P15" s="1"/>
      <c r="AA15" s="1"/>
      <c r="AB15" s="1"/>
      <c r="AG15" s="1"/>
      <c r="AH15" s="1"/>
      <c r="AK15" s="1"/>
      <c r="AL15" s="1"/>
      <c r="AM15" s="2"/>
      <c r="AN15" s="2"/>
      <c r="AQ15" s="1"/>
      <c r="BG15" s="1"/>
    </row>
    <row r="16" spans="1:59">
      <c r="A16">
        <v>220</v>
      </c>
      <c r="B16">
        <f>SQRT(SUMSQ($AO$1283:$AO$1538)/256)+SQRT(SUMSQ($BX$1283:$BX$1538)/256)</f>
        <v>0</v>
      </c>
      <c r="D16">
        <f>SQRT(SUMSQ($AP$1283:$AP$1538)/256)+SQRT(SUMSQ($BY$1283:$BY$1538)/256)</f>
        <v>0</v>
      </c>
      <c r="E16">
        <f t="shared" si="0"/>
        <v>0</v>
      </c>
      <c r="O16" s="1"/>
      <c r="P16" s="1"/>
      <c r="AA16" s="1"/>
      <c r="AB16" s="1"/>
      <c r="AG16" s="1"/>
      <c r="AH16" s="1"/>
      <c r="AK16" s="1"/>
      <c r="AL16" s="1"/>
      <c r="AM16" s="2"/>
      <c r="AN16" s="2"/>
      <c r="AQ16" s="1"/>
      <c r="BG16" s="1"/>
    </row>
    <row r="17" spans="1:59">
      <c r="A17">
        <v>230</v>
      </c>
      <c r="B17">
        <f>SQRT(SUMSQ($AQ$1283:$AQ$1538)/256)</f>
        <v>0</v>
      </c>
      <c r="D17">
        <f>SQRT(SUMSQ($AR$1283:$AR$1538)/256)+SQRT(SUMSQ($CA$1283:$CA$1538)/256)</f>
        <v>0</v>
      </c>
      <c r="E17">
        <f t="shared" si="0"/>
        <v>0</v>
      </c>
      <c r="O17" s="1"/>
      <c r="P17" s="1"/>
      <c r="AA17" s="1"/>
      <c r="AB17" s="1"/>
      <c r="AG17" s="1"/>
      <c r="AH17" s="1"/>
      <c r="AK17" s="1"/>
      <c r="AL17" s="1"/>
      <c r="AM17" s="2"/>
      <c r="AN17" s="2"/>
      <c r="AQ17" s="1"/>
      <c r="BG17" s="1"/>
    </row>
    <row r="18" spans="1:59">
      <c r="O18" s="1"/>
      <c r="P18" s="1"/>
      <c r="AA18" s="1"/>
      <c r="AB18" s="1"/>
      <c r="AG18" s="1"/>
      <c r="AH18" s="1"/>
      <c r="AK18" s="1"/>
      <c r="AL18" s="1"/>
      <c r="AM18" s="2"/>
      <c r="AN18" s="2"/>
      <c r="AQ18" s="1"/>
      <c r="BG18" s="1"/>
    </row>
    <row r="19" spans="1:59">
      <c r="O19" s="1"/>
      <c r="P19" s="1"/>
      <c r="AA19" s="1"/>
      <c r="AB19" s="1"/>
      <c r="AG19" s="1"/>
      <c r="AH19" s="1"/>
      <c r="AK19" s="1"/>
      <c r="AL19" s="1"/>
      <c r="AM19" s="2"/>
      <c r="AN19" s="2"/>
      <c r="AQ19" s="1"/>
      <c r="BG19" s="1"/>
    </row>
    <row r="20" spans="1:59">
      <c r="O20" s="1"/>
      <c r="P20" s="1"/>
      <c r="AA20" s="1"/>
      <c r="AB20" s="1"/>
      <c r="AG20" s="1"/>
      <c r="AH20" s="1"/>
      <c r="AK20" s="1"/>
      <c r="AL20" s="1"/>
      <c r="AM20" s="2"/>
      <c r="AN20" s="2"/>
      <c r="AQ20" s="1"/>
      <c r="BG20" s="1"/>
    </row>
    <row r="21" spans="1:59">
      <c r="O21" s="1"/>
      <c r="P21" s="1"/>
      <c r="AA21" s="1"/>
      <c r="AB21" s="1"/>
      <c r="AG21" s="1"/>
      <c r="AH21" s="1"/>
      <c r="AK21" s="1"/>
      <c r="AL21" s="1"/>
      <c r="AM21" s="2"/>
      <c r="AN21" s="2"/>
      <c r="AQ21" s="1"/>
      <c r="BG21" s="1"/>
    </row>
    <row r="22" spans="1:59">
      <c r="O22" s="1"/>
      <c r="P22" s="1"/>
      <c r="AA22" s="1"/>
      <c r="AB22" s="1"/>
      <c r="AG22" s="1"/>
      <c r="AH22" s="1"/>
      <c r="AK22" s="1"/>
      <c r="AL22" s="1"/>
      <c r="AM22" s="2"/>
      <c r="AN22" s="2"/>
      <c r="AQ22" s="1"/>
      <c r="BG22" s="1"/>
    </row>
    <row r="23" spans="1:59">
      <c r="O23" s="1"/>
      <c r="P23" s="1"/>
      <c r="AA23" s="1"/>
      <c r="AB23" s="1"/>
      <c r="AG23" s="1"/>
      <c r="AH23" s="1"/>
      <c r="AK23" s="1"/>
      <c r="AL23" s="1"/>
      <c r="AM23" s="2"/>
      <c r="AN23" s="2"/>
      <c r="AQ23" s="1"/>
      <c r="BG23" s="1"/>
    </row>
    <row r="24" spans="1:59">
      <c r="B24" s="3"/>
      <c r="D24" s="3"/>
      <c r="O24" s="1"/>
      <c r="P24" s="1"/>
      <c r="AA24" s="1"/>
      <c r="AB24" s="1"/>
      <c r="AG24" s="1"/>
      <c r="AH24" s="1"/>
      <c r="AK24" s="1"/>
      <c r="AL24" s="1"/>
      <c r="AM24" s="2"/>
      <c r="AN24" s="2"/>
      <c r="AQ24" s="1"/>
      <c r="BG24" s="1"/>
    </row>
    <row r="25" spans="1:59">
      <c r="O25" s="1"/>
      <c r="P25" s="1"/>
      <c r="AA25" s="1"/>
      <c r="AB25" s="1"/>
      <c r="AG25" s="1"/>
      <c r="AH25" s="1"/>
      <c r="AK25" s="1"/>
      <c r="AL25" s="1"/>
      <c r="AM25" s="2"/>
      <c r="AN25" s="2"/>
      <c r="AQ25" s="1"/>
      <c r="BG25" s="1"/>
    </row>
    <row r="26" spans="1:59">
      <c r="O26" s="1"/>
      <c r="P26" s="1"/>
      <c r="AA26" s="1"/>
      <c r="AB26" s="1"/>
      <c r="AG26" s="1"/>
      <c r="AH26" s="1"/>
      <c r="AK26" s="1"/>
      <c r="AL26" s="1"/>
      <c r="AM26" s="2"/>
      <c r="AN26" s="2"/>
      <c r="AQ26" s="1"/>
      <c r="BG26" s="1"/>
    </row>
    <row r="27" spans="1:59">
      <c r="O27" s="1"/>
      <c r="P27" s="1"/>
      <c r="AA27" s="1"/>
      <c r="AB27" s="1"/>
      <c r="AG27" s="1"/>
      <c r="AH27" s="1"/>
      <c r="AK27" s="1"/>
      <c r="AL27" s="1"/>
      <c r="AM27" s="2"/>
      <c r="AN27" s="2"/>
      <c r="AQ27" s="1"/>
      <c r="BG27" s="1"/>
    </row>
    <row r="28" spans="1:59">
      <c r="O28" s="1"/>
      <c r="P28" s="1"/>
      <c r="AA28" s="1"/>
      <c r="AB28" s="1"/>
      <c r="AG28" s="1"/>
      <c r="AH28" s="1"/>
      <c r="AK28" s="1"/>
      <c r="AL28" s="1"/>
      <c r="AM28" s="2"/>
      <c r="AN28" s="2"/>
      <c r="AQ28" s="1"/>
      <c r="BG28" s="1"/>
    </row>
    <row r="29" spans="1:59">
      <c r="O29" s="1"/>
      <c r="P29" s="1"/>
      <c r="AA29" s="1"/>
      <c r="AB29" s="1"/>
      <c r="AG29" s="1"/>
      <c r="AH29" s="1"/>
      <c r="AK29" s="1"/>
      <c r="AL29" s="1"/>
      <c r="AM29" s="2"/>
      <c r="AN29" s="2"/>
      <c r="AQ29" s="1"/>
      <c r="BG29" s="1"/>
    </row>
    <row r="30" spans="1:59">
      <c r="B30" s="3"/>
      <c r="D30" s="3"/>
      <c r="O30" s="1"/>
      <c r="P30" s="1"/>
      <c r="AA30" s="1"/>
      <c r="AB30" s="1"/>
      <c r="AG30" s="1"/>
      <c r="AH30" s="1"/>
      <c r="AK30" s="1"/>
      <c r="AL30" s="1"/>
      <c r="AM30" s="2"/>
      <c r="AN30" s="2"/>
      <c r="AQ30" s="1"/>
      <c r="BG30" s="1"/>
    </row>
    <row r="31" spans="1:59">
      <c r="O31" s="1"/>
      <c r="P31" s="1"/>
      <c r="AA31" s="1"/>
      <c r="AB31" s="1"/>
      <c r="AG31" s="1"/>
      <c r="AH31" s="1"/>
      <c r="AK31" s="1"/>
      <c r="AL31" s="1"/>
      <c r="AM31" s="2"/>
      <c r="AN31" s="2"/>
      <c r="AQ31" s="1"/>
      <c r="BG31" s="1"/>
    </row>
    <row r="32" spans="1:59">
      <c r="O32" s="1"/>
      <c r="P32" s="1"/>
      <c r="AA32" s="1"/>
      <c r="AB32" s="1"/>
      <c r="AG32" s="1"/>
      <c r="AH32" s="1"/>
      <c r="AK32" s="1"/>
      <c r="AL32" s="1"/>
      <c r="AM32" s="2"/>
      <c r="AN32" s="2"/>
      <c r="AQ32" s="1"/>
      <c r="BG32" s="1"/>
    </row>
    <row r="33" spans="2:59">
      <c r="B33" s="3"/>
      <c r="D33" s="3"/>
      <c r="O33" s="1"/>
      <c r="P33" s="1"/>
      <c r="AA33" s="1"/>
      <c r="AB33" s="1"/>
      <c r="AG33" s="1"/>
      <c r="AH33" s="1"/>
      <c r="AK33" s="1"/>
      <c r="AL33" s="1"/>
      <c r="AM33" s="2"/>
      <c r="AN33" s="2"/>
      <c r="AQ33" s="1"/>
      <c r="BG33" s="1"/>
    </row>
    <row r="34" spans="2:59">
      <c r="O34" s="1"/>
      <c r="P34" s="1"/>
      <c r="AA34" s="1"/>
      <c r="AB34" s="1"/>
      <c r="AG34" s="1"/>
      <c r="AH34" s="1"/>
      <c r="AK34" s="1"/>
      <c r="AL34" s="1"/>
      <c r="AM34" s="2"/>
      <c r="AN34" s="2"/>
      <c r="AQ34" s="1"/>
      <c r="BG34" s="1"/>
    </row>
    <row r="35" spans="2:59">
      <c r="B35" s="3"/>
      <c r="D35" s="3"/>
      <c r="O35" s="1"/>
      <c r="P35" s="1"/>
      <c r="AA35" s="1"/>
      <c r="AB35" s="1"/>
      <c r="AG35" s="1"/>
      <c r="AH35" s="1"/>
      <c r="AK35" s="1"/>
      <c r="AL35" s="1"/>
      <c r="AM35" s="2"/>
      <c r="AN35" s="2"/>
      <c r="AQ35" s="1"/>
      <c r="BG35" s="1"/>
    </row>
    <row r="36" spans="2:59">
      <c r="O36" s="1"/>
      <c r="P36" s="1"/>
      <c r="AA36" s="1"/>
      <c r="AB36" s="1"/>
      <c r="AG36" s="1"/>
      <c r="AH36" s="1"/>
      <c r="AK36" s="1"/>
      <c r="AL36" s="1"/>
      <c r="AM36" s="2"/>
      <c r="AN36" s="2"/>
      <c r="AQ36" s="1"/>
      <c r="BG36" s="1"/>
    </row>
    <row r="37" spans="2:59">
      <c r="O37" s="1"/>
      <c r="P37" s="1"/>
      <c r="AA37" s="1"/>
      <c r="AB37" s="1"/>
      <c r="AG37" s="1"/>
      <c r="AH37" s="1"/>
      <c r="AK37" s="1"/>
      <c r="AL37" s="1"/>
      <c r="AM37" s="2"/>
      <c r="AN37" s="2"/>
      <c r="AQ37" s="1"/>
      <c r="BG37" s="1"/>
    </row>
    <row r="38" spans="2:59">
      <c r="O38" s="1"/>
      <c r="P38" s="1"/>
      <c r="AA38" s="1"/>
      <c r="AB38" s="1"/>
      <c r="AG38" s="1"/>
      <c r="AH38" s="1"/>
      <c r="AK38" s="1"/>
      <c r="AL38" s="1"/>
      <c r="AM38" s="2"/>
      <c r="AN38" s="2"/>
      <c r="AQ38" s="1"/>
      <c r="BG38" s="1"/>
    </row>
    <row r="39" spans="2:59">
      <c r="O39" s="1"/>
      <c r="P39" s="1"/>
      <c r="AA39" s="1"/>
      <c r="AB39" s="1"/>
      <c r="AG39" s="1"/>
      <c r="AH39" s="1"/>
      <c r="AK39" s="1"/>
      <c r="AL39" s="1"/>
      <c r="AM39" s="2"/>
      <c r="AN39" s="2"/>
      <c r="AQ39" s="1"/>
      <c r="BG39" s="1"/>
    </row>
    <row r="40" spans="2:59">
      <c r="O40" s="1"/>
      <c r="P40" s="1"/>
      <c r="AA40" s="1"/>
      <c r="AB40" s="1"/>
      <c r="AG40" s="1"/>
      <c r="AH40" s="1"/>
      <c r="AK40" s="1"/>
      <c r="AL40" s="1"/>
      <c r="AM40" s="2"/>
      <c r="AN40" s="2"/>
      <c r="AQ40" s="1"/>
      <c r="BG40" s="1"/>
    </row>
    <row r="41" spans="2:59">
      <c r="O41" s="1"/>
      <c r="P41" s="1"/>
      <c r="AA41" s="1"/>
      <c r="AB41" s="1"/>
      <c r="AG41" s="1"/>
      <c r="AH41" s="1"/>
      <c r="AK41" s="1"/>
      <c r="AL41" s="1"/>
      <c r="AM41" s="2"/>
      <c r="AN41" s="2"/>
      <c r="AQ41" s="1"/>
      <c r="BG41" s="1"/>
    </row>
    <row r="42" spans="2:59">
      <c r="O42" s="1"/>
      <c r="P42" s="1"/>
      <c r="AA42" s="1"/>
      <c r="AB42" s="1"/>
      <c r="AG42" s="1"/>
      <c r="AH42" s="1"/>
      <c r="AK42" s="1"/>
      <c r="AL42" s="1"/>
      <c r="AM42" s="2"/>
      <c r="AN42" s="2"/>
      <c r="AQ42" s="1"/>
      <c r="BG42" s="1"/>
    </row>
    <row r="43" spans="2:59">
      <c r="O43" s="1"/>
      <c r="P43" s="1"/>
      <c r="AA43" s="1"/>
      <c r="AB43" s="1"/>
      <c r="AG43" s="1"/>
      <c r="AH43" s="1"/>
      <c r="AK43" s="1"/>
      <c r="AL43" s="1"/>
      <c r="AM43" s="2"/>
      <c r="AN43" s="2"/>
      <c r="AQ43" s="1"/>
      <c r="BG43" s="1"/>
    </row>
    <row r="44" spans="2:59">
      <c r="O44" s="1"/>
      <c r="P44" s="1"/>
      <c r="AA44" s="1"/>
      <c r="AB44" s="1"/>
      <c r="AG44" s="1"/>
      <c r="AH44" s="1"/>
      <c r="AK44" s="1"/>
      <c r="AL44" s="1"/>
      <c r="AM44" s="2"/>
      <c r="AN44" s="2"/>
      <c r="AQ44" s="1"/>
      <c r="BG44" s="1"/>
    </row>
    <row r="45" spans="2:59">
      <c r="O45" s="1"/>
      <c r="P45" s="1"/>
      <c r="AA45" s="1"/>
      <c r="AB45" s="1"/>
      <c r="AG45" s="1"/>
      <c r="AH45" s="1"/>
      <c r="AK45" s="1"/>
      <c r="AL45" s="1"/>
      <c r="AM45" s="2"/>
      <c r="AN45" s="2"/>
      <c r="AQ45" s="1"/>
      <c r="BG45" s="1"/>
    </row>
    <row r="46" spans="2:59">
      <c r="O46" s="1"/>
      <c r="P46" s="1"/>
      <c r="AA46" s="1"/>
      <c r="AB46" s="1"/>
      <c r="AG46" s="1"/>
      <c r="AH46" s="1"/>
      <c r="AK46" s="1"/>
      <c r="AL46" s="1"/>
      <c r="AM46" s="2"/>
      <c r="AN46" s="2"/>
      <c r="AQ46" s="1"/>
      <c r="BG46" s="1"/>
    </row>
    <row r="47" spans="2:59">
      <c r="O47" s="1"/>
      <c r="P47" s="1"/>
      <c r="AA47" s="1"/>
      <c r="AB47" s="1"/>
      <c r="AG47" s="1"/>
      <c r="AH47" s="1"/>
      <c r="AK47" s="1"/>
      <c r="AL47" s="1"/>
      <c r="AM47" s="2"/>
      <c r="AN47" s="2"/>
      <c r="AQ47" s="1"/>
      <c r="BG47" s="1"/>
    </row>
    <row r="48" spans="2:59">
      <c r="O48" s="1"/>
      <c r="P48" s="1"/>
      <c r="AA48" s="1"/>
      <c r="AB48" s="1"/>
      <c r="AG48" s="1"/>
      <c r="AH48" s="1"/>
      <c r="AK48" s="1"/>
      <c r="AL48" s="1"/>
      <c r="AM48" s="2"/>
      <c r="AN48" s="2"/>
      <c r="AQ48" s="1"/>
      <c r="BG48" s="1"/>
    </row>
    <row r="49" spans="15:59">
      <c r="O49" s="1"/>
      <c r="P49" s="1"/>
      <c r="AA49" s="1"/>
      <c r="AB49" s="1"/>
      <c r="AG49" s="1"/>
      <c r="AH49" s="1"/>
      <c r="AK49" s="1"/>
      <c r="AL49" s="1"/>
      <c r="AM49" s="2"/>
      <c r="AN49" s="2"/>
      <c r="AQ49" s="1"/>
      <c r="BG49" s="1"/>
    </row>
    <row r="50" spans="15:59">
      <c r="O50" s="1"/>
      <c r="P50" s="1"/>
      <c r="AA50" s="1"/>
      <c r="AB50" s="1"/>
      <c r="AG50" s="1"/>
      <c r="AH50" s="1"/>
      <c r="AK50" s="1"/>
      <c r="AL50" s="1"/>
      <c r="AM50" s="2"/>
      <c r="AN50" s="2"/>
      <c r="AQ50" s="1"/>
      <c r="BG50" s="1"/>
    </row>
    <row r="51" spans="15:59">
      <c r="O51" s="1"/>
      <c r="P51" s="1"/>
      <c r="AA51" s="1"/>
      <c r="AB51" s="1"/>
      <c r="AG51" s="1"/>
      <c r="AH51" s="1"/>
      <c r="AK51" s="1"/>
      <c r="AL51" s="1"/>
      <c r="AM51" s="2"/>
      <c r="AN51" s="2"/>
      <c r="AQ51" s="1"/>
      <c r="BG51" s="1"/>
    </row>
    <row r="52" spans="15:59">
      <c r="O52" s="1"/>
      <c r="P52" s="1"/>
      <c r="AA52" s="1"/>
      <c r="AB52" s="1"/>
      <c r="AG52" s="1"/>
      <c r="AH52" s="1"/>
      <c r="AK52" s="1"/>
      <c r="AL52" s="1"/>
      <c r="AM52" s="2"/>
      <c r="AN52" s="2"/>
      <c r="AQ52" s="1"/>
      <c r="BG52" s="1"/>
    </row>
    <row r="53" spans="15:59">
      <c r="O53" s="1"/>
      <c r="P53" s="1"/>
      <c r="AA53" s="1"/>
      <c r="AB53" s="1"/>
      <c r="AG53" s="1"/>
      <c r="AH53" s="1"/>
      <c r="AK53" s="1"/>
      <c r="AL53" s="1"/>
      <c r="AM53" s="2"/>
      <c r="AN53" s="2"/>
      <c r="AQ53" s="1"/>
      <c r="BG53" s="1"/>
    </row>
    <row r="54" spans="15:59">
      <c r="O54" s="1"/>
      <c r="P54" s="1"/>
      <c r="AA54" s="1"/>
      <c r="AB54" s="1"/>
      <c r="AG54" s="1"/>
      <c r="AH54" s="1"/>
      <c r="AK54" s="1"/>
      <c r="AL54" s="1"/>
      <c r="AM54" s="2"/>
      <c r="AN54" s="2"/>
      <c r="AQ54" s="1"/>
      <c r="BG54" s="1"/>
    </row>
    <row r="55" spans="15:59">
      <c r="O55" s="1"/>
      <c r="P55" s="1"/>
      <c r="AA55" s="1"/>
      <c r="AB55" s="1"/>
      <c r="AG55" s="1"/>
      <c r="AH55" s="1"/>
      <c r="AK55" s="1"/>
      <c r="AL55" s="1"/>
      <c r="AM55" s="2"/>
      <c r="AN55" s="2"/>
      <c r="AQ55" s="1"/>
      <c r="BG55" s="1"/>
    </row>
    <row r="56" spans="15:59">
      <c r="O56" s="1"/>
      <c r="P56" s="1"/>
      <c r="AA56" s="1"/>
      <c r="AB56" s="1"/>
      <c r="AG56" s="1"/>
      <c r="AH56" s="1"/>
      <c r="AK56" s="1"/>
      <c r="AL56" s="1"/>
      <c r="AM56" s="2"/>
      <c r="AN56" s="2"/>
      <c r="AQ56" s="1"/>
      <c r="BG56" s="1"/>
    </row>
    <row r="57" spans="15:59">
      <c r="O57" s="1"/>
      <c r="P57" s="1"/>
      <c r="AA57" s="1"/>
      <c r="AB57" s="1"/>
      <c r="AG57" s="1"/>
      <c r="AH57" s="1"/>
      <c r="AK57" s="1"/>
      <c r="AL57" s="1"/>
      <c r="AM57" s="2"/>
      <c r="AN57" s="2"/>
      <c r="AQ57" s="1"/>
      <c r="BG57" s="1"/>
    </row>
    <row r="58" spans="15:59">
      <c r="O58" s="1"/>
      <c r="P58" s="1"/>
      <c r="AA58" s="1"/>
      <c r="AB58" s="1"/>
      <c r="AG58" s="1"/>
      <c r="AH58" s="1"/>
      <c r="AK58" s="1"/>
      <c r="AL58" s="1"/>
      <c r="AM58" s="2"/>
      <c r="AN58" s="2"/>
      <c r="AQ58" s="1"/>
      <c r="BG58" s="1"/>
    </row>
    <row r="59" spans="15:59">
      <c r="O59" s="1"/>
      <c r="P59" s="1"/>
      <c r="AA59" s="1"/>
      <c r="AB59" s="1"/>
      <c r="AG59" s="1"/>
      <c r="AH59" s="1"/>
      <c r="AK59" s="1"/>
      <c r="AL59" s="1"/>
      <c r="AM59" s="2"/>
      <c r="AN59" s="2"/>
      <c r="AQ59" s="1"/>
      <c r="BG59" s="1"/>
    </row>
    <row r="60" spans="15:59">
      <c r="O60" s="1"/>
      <c r="P60" s="1"/>
      <c r="AA60" s="1"/>
      <c r="AB60" s="1"/>
      <c r="AG60" s="1"/>
      <c r="AH60" s="1"/>
      <c r="AK60" s="1"/>
      <c r="AL60" s="1"/>
      <c r="AM60" s="2"/>
      <c r="AN60" s="2"/>
      <c r="AQ60" s="1"/>
      <c r="BG60" s="1"/>
    </row>
    <row r="61" spans="15:59">
      <c r="O61" s="1"/>
      <c r="P61" s="1"/>
      <c r="AA61" s="1"/>
      <c r="AB61" s="1"/>
      <c r="AG61" s="1"/>
      <c r="AH61" s="1"/>
      <c r="AK61" s="1"/>
      <c r="AL61" s="1"/>
      <c r="AM61" s="2"/>
      <c r="AN61" s="2"/>
      <c r="AQ61" s="1"/>
      <c r="BG61" s="1"/>
    </row>
    <row r="62" spans="15:59">
      <c r="O62" s="1"/>
      <c r="P62" s="1"/>
      <c r="AA62" s="1"/>
      <c r="AB62" s="1"/>
      <c r="AG62" s="1"/>
      <c r="AH62" s="1"/>
      <c r="AK62" s="1"/>
      <c r="AL62" s="1"/>
      <c r="AM62" s="2"/>
      <c r="AN62" s="2"/>
      <c r="AQ62" s="1"/>
      <c r="BG62" s="1"/>
    </row>
    <row r="63" spans="15:59">
      <c r="O63" s="1"/>
      <c r="P63" s="1"/>
      <c r="AA63" s="1"/>
      <c r="AB63" s="1"/>
      <c r="AG63" s="1"/>
      <c r="AH63" s="1"/>
      <c r="AK63" s="1"/>
      <c r="AL63" s="1"/>
      <c r="AM63" s="2"/>
      <c r="AN63" s="2"/>
      <c r="AQ63" s="1"/>
      <c r="BG63" s="1"/>
    </row>
    <row r="64" spans="15:59">
      <c r="O64" s="1"/>
      <c r="P64" s="1"/>
      <c r="AA64" s="1"/>
      <c r="AB64" s="1"/>
      <c r="AG64" s="1"/>
      <c r="AH64" s="1"/>
      <c r="AK64" s="1"/>
      <c r="AL64" s="1"/>
      <c r="AM64" s="2"/>
      <c r="AN64" s="2"/>
      <c r="AQ64" s="1"/>
      <c r="BG64" s="1"/>
    </row>
    <row r="65" spans="15:59">
      <c r="O65" s="1"/>
      <c r="P65" s="1"/>
      <c r="AA65" s="1"/>
      <c r="AB65" s="1"/>
      <c r="AG65" s="1"/>
      <c r="AH65" s="1"/>
      <c r="AK65" s="1"/>
      <c r="AL65" s="1"/>
      <c r="AM65" s="2"/>
      <c r="AN65" s="2"/>
      <c r="AQ65" s="1"/>
      <c r="BG65" s="1"/>
    </row>
    <row r="66" spans="15:59">
      <c r="O66" s="1"/>
      <c r="P66" s="1"/>
      <c r="AA66" s="1"/>
      <c r="AB66" s="1"/>
      <c r="AG66" s="1"/>
      <c r="AH66" s="1"/>
      <c r="AK66" s="1"/>
      <c r="AL66" s="1"/>
      <c r="AM66" s="2"/>
      <c r="AN66" s="2"/>
      <c r="AQ66" s="1"/>
      <c r="BG66" s="1"/>
    </row>
    <row r="67" spans="15:59">
      <c r="O67" s="1"/>
      <c r="P67" s="1"/>
      <c r="AA67" s="1"/>
      <c r="AB67" s="1"/>
      <c r="AG67" s="1"/>
      <c r="AH67" s="1"/>
      <c r="AK67" s="1"/>
      <c r="AL67" s="1"/>
      <c r="AM67" s="2"/>
      <c r="AN67" s="2"/>
      <c r="AQ67" s="1"/>
      <c r="BG67" s="1"/>
    </row>
    <row r="68" spans="15:59">
      <c r="O68" s="1"/>
      <c r="P68" s="1"/>
      <c r="AA68" s="1"/>
      <c r="AB68" s="1"/>
      <c r="AG68" s="1"/>
      <c r="AH68" s="1"/>
      <c r="AK68" s="1"/>
      <c r="AL68" s="1"/>
      <c r="AM68" s="2"/>
      <c r="AN68" s="2"/>
      <c r="AQ68" s="1"/>
      <c r="BG68" s="1"/>
    </row>
    <row r="69" spans="15:59">
      <c r="O69" s="1"/>
      <c r="P69" s="1"/>
      <c r="AA69" s="1"/>
      <c r="AB69" s="1"/>
      <c r="AG69" s="1"/>
      <c r="AH69" s="1"/>
      <c r="AK69" s="1"/>
      <c r="AL69" s="1"/>
      <c r="AM69" s="2"/>
      <c r="AN69" s="2"/>
      <c r="AQ69" s="1"/>
      <c r="BG69" s="1"/>
    </row>
    <row r="70" spans="15:59">
      <c r="O70" s="1"/>
      <c r="P70" s="1"/>
      <c r="AA70" s="1"/>
      <c r="AB70" s="1"/>
      <c r="AG70" s="1"/>
      <c r="AH70" s="1"/>
      <c r="AK70" s="1"/>
      <c r="AL70" s="1"/>
      <c r="AM70" s="2"/>
      <c r="AN70" s="2"/>
      <c r="AQ70" s="1"/>
      <c r="BG70" s="1"/>
    </row>
    <row r="71" spans="15:59">
      <c r="O71" s="1"/>
      <c r="P71" s="1"/>
      <c r="AA71" s="1"/>
      <c r="AB71" s="1"/>
      <c r="AG71" s="1"/>
      <c r="AH71" s="1"/>
      <c r="AK71" s="1"/>
      <c r="AL71" s="1"/>
      <c r="AM71" s="2"/>
      <c r="AN71" s="2"/>
      <c r="AQ71" s="1"/>
      <c r="BG71" s="1"/>
    </row>
    <row r="72" spans="15:59">
      <c r="O72" s="1"/>
      <c r="P72" s="1"/>
      <c r="AA72" s="1"/>
      <c r="AB72" s="1"/>
      <c r="AG72" s="1"/>
      <c r="AH72" s="1"/>
      <c r="AK72" s="1"/>
      <c r="AL72" s="1"/>
      <c r="AM72" s="2"/>
      <c r="AN72" s="2"/>
      <c r="AQ72" s="1"/>
      <c r="BG72" s="1"/>
    </row>
    <row r="73" spans="15:59">
      <c r="O73" s="1"/>
      <c r="P73" s="1"/>
      <c r="AA73" s="1"/>
      <c r="AB73" s="1"/>
      <c r="AG73" s="1"/>
      <c r="AH73" s="1"/>
      <c r="AK73" s="1"/>
      <c r="AL73" s="1"/>
      <c r="AM73" s="2"/>
      <c r="AN73" s="2"/>
      <c r="AQ73" s="1"/>
      <c r="BG73" s="1"/>
    </row>
    <row r="74" spans="15:59">
      <c r="O74" s="1"/>
      <c r="P74" s="1"/>
      <c r="AA74" s="1"/>
      <c r="AB74" s="1"/>
      <c r="AG74" s="1"/>
      <c r="AH74" s="1"/>
      <c r="AK74" s="1"/>
      <c r="AL74" s="1"/>
      <c r="AM74" s="2"/>
      <c r="AN74" s="2"/>
      <c r="AQ74" s="1"/>
      <c r="BG74" s="1"/>
    </row>
    <row r="75" spans="15:59">
      <c r="O75" s="1"/>
      <c r="P75" s="1"/>
      <c r="AA75" s="1"/>
      <c r="AB75" s="1"/>
      <c r="AG75" s="1"/>
      <c r="AH75" s="1"/>
      <c r="AK75" s="1"/>
      <c r="AL75" s="1"/>
      <c r="AM75" s="2"/>
      <c r="AN75" s="2"/>
      <c r="AQ75" s="1"/>
      <c r="BG75" s="1"/>
    </row>
    <row r="76" spans="15:59">
      <c r="O76" s="1"/>
      <c r="P76" s="1"/>
      <c r="AA76" s="1"/>
      <c r="AB76" s="1"/>
      <c r="AG76" s="1"/>
      <c r="AH76" s="1"/>
      <c r="AK76" s="1"/>
      <c r="AL76" s="1"/>
      <c r="AM76" s="2"/>
      <c r="AN76" s="2"/>
      <c r="AQ76" s="1"/>
      <c r="BG76" s="1"/>
    </row>
    <row r="77" spans="15:59">
      <c r="O77" s="1"/>
      <c r="P77" s="1"/>
      <c r="AA77" s="1"/>
      <c r="AB77" s="1"/>
      <c r="AG77" s="1"/>
      <c r="AH77" s="1"/>
      <c r="AK77" s="1"/>
      <c r="AL77" s="1"/>
      <c r="AM77" s="2"/>
      <c r="AN77" s="2"/>
      <c r="AQ77" s="1"/>
      <c r="BG77" s="1"/>
    </row>
    <row r="78" spans="15:59">
      <c r="O78" s="1"/>
      <c r="P78" s="1"/>
      <c r="AA78" s="1"/>
      <c r="AB78" s="1"/>
      <c r="AG78" s="1"/>
      <c r="AH78" s="1"/>
      <c r="AK78" s="1"/>
      <c r="AL78" s="1"/>
      <c r="AM78" s="2"/>
      <c r="AN78" s="2"/>
      <c r="AQ78" s="1"/>
      <c r="BG78" s="1"/>
    </row>
    <row r="79" spans="15:59">
      <c r="O79" s="1"/>
      <c r="P79" s="1"/>
      <c r="AA79" s="1"/>
      <c r="AB79" s="1"/>
      <c r="AG79" s="1"/>
      <c r="AH79" s="1"/>
      <c r="AK79" s="1"/>
      <c r="AL79" s="1"/>
      <c r="AM79" s="2"/>
      <c r="AN79" s="2"/>
      <c r="AQ79" s="1"/>
      <c r="BG79" s="1"/>
    </row>
    <row r="80" spans="15:59">
      <c r="O80" s="1"/>
      <c r="P80" s="1"/>
      <c r="AA80" s="1"/>
      <c r="AB80" s="1"/>
      <c r="AG80" s="1"/>
      <c r="AH80" s="1"/>
      <c r="AK80" s="1"/>
      <c r="AL80" s="1"/>
      <c r="AM80" s="2"/>
      <c r="AN80" s="2"/>
      <c r="AQ80" s="1"/>
      <c r="BG80" s="1"/>
    </row>
    <row r="81" spans="15:59">
      <c r="O81" s="1"/>
      <c r="P81" s="1"/>
      <c r="AA81" s="1"/>
      <c r="AB81" s="1"/>
      <c r="AG81" s="1"/>
      <c r="AH81" s="1"/>
      <c r="AK81" s="1"/>
      <c r="AL81" s="1"/>
      <c r="AM81" s="2"/>
      <c r="AN81" s="2"/>
      <c r="AQ81" s="1"/>
      <c r="BG81" s="1"/>
    </row>
    <row r="82" spans="15:59">
      <c r="O82" s="1"/>
      <c r="P82" s="1"/>
      <c r="AA82" s="1"/>
      <c r="AB82" s="1"/>
      <c r="AG82" s="1"/>
      <c r="AH82" s="1"/>
      <c r="AK82" s="1"/>
      <c r="AL82" s="1"/>
      <c r="AM82" s="2"/>
      <c r="AN82" s="2"/>
      <c r="AQ82" s="1"/>
      <c r="BG82" s="1"/>
    </row>
    <row r="83" spans="15:59">
      <c r="O83" s="1"/>
      <c r="P83" s="1"/>
      <c r="AA83" s="1"/>
      <c r="AB83" s="1"/>
      <c r="AG83" s="1"/>
      <c r="AH83" s="1"/>
      <c r="AK83" s="1"/>
      <c r="AL83" s="1"/>
      <c r="AM83" s="2"/>
      <c r="AN83" s="2"/>
      <c r="AQ83" s="1"/>
      <c r="BG83" s="1"/>
    </row>
    <row r="84" spans="15:59">
      <c r="O84" s="1"/>
      <c r="P84" s="1"/>
      <c r="AA84" s="1"/>
      <c r="AB84" s="1"/>
      <c r="AG84" s="1"/>
      <c r="AH84" s="1"/>
      <c r="AK84" s="1"/>
      <c r="AL84" s="1"/>
      <c r="AM84" s="2"/>
      <c r="AN84" s="2"/>
      <c r="AQ84" s="1"/>
      <c r="BG84" s="1"/>
    </row>
    <row r="85" spans="15:59">
      <c r="O85" s="1"/>
      <c r="P85" s="1"/>
      <c r="AA85" s="1"/>
      <c r="AB85" s="1"/>
      <c r="AG85" s="1"/>
      <c r="AH85" s="1"/>
      <c r="AK85" s="1"/>
      <c r="AL85" s="1"/>
      <c r="AM85" s="2"/>
      <c r="AN85" s="2"/>
      <c r="AQ85" s="1"/>
      <c r="BG85" s="1"/>
    </row>
    <row r="86" spans="15:59">
      <c r="O86" s="1"/>
      <c r="P86" s="1"/>
      <c r="AA86" s="1"/>
      <c r="AB86" s="1"/>
      <c r="AG86" s="1"/>
      <c r="AH86" s="1"/>
      <c r="AK86" s="1"/>
      <c r="AL86" s="1"/>
      <c r="AM86" s="2"/>
      <c r="AN86" s="2"/>
      <c r="AQ86" s="1"/>
      <c r="BG86" s="1"/>
    </row>
    <row r="87" spans="15:59">
      <c r="O87" s="1"/>
      <c r="P87" s="1"/>
      <c r="AA87" s="1"/>
      <c r="AB87" s="1"/>
      <c r="AG87" s="1"/>
      <c r="AH87" s="1"/>
      <c r="AK87" s="1"/>
      <c r="AL87" s="1"/>
      <c r="AM87" s="2"/>
      <c r="AN87" s="2"/>
      <c r="AQ87" s="1"/>
      <c r="BG87" s="1"/>
    </row>
    <row r="88" spans="15:59">
      <c r="O88" s="1"/>
      <c r="P88" s="1"/>
      <c r="AA88" s="1"/>
      <c r="AB88" s="1"/>
      <c r="AG88" s="1"/>
      <c r="AH88" s="1"/>
      <c r="AK88" s="1"/>
      <c r="AL88" s="1"/>
      <c r="AM88" s="2"/>
      <c r="AN88" s="2"/>
      <c r="AQ88" s="1"/>
      <c r="BG88" s="1"/>
    </row>
    <row r="89" spans="15:59">
      <c r="O89" s="1"/>
      <c r="P89" s="1"/>
      <c r="AA89" s="1"/>
      <c r="AB89" s="1"/>
      <c r="AG89" s="1"/>
      <c r="AH89" s="1"/>
      <c r="AK89" s="1"/>
      <c r="AL89" s="1"/>
      <c r="AM89" s="2"/>
      <c r="AN89" s="2"/>
      <c r="AQ89" s="1"/>
      <c r="BG89" s="1"/>
    </row>
    <row r="90" spans="15:59">
      <c r="O90" s="1"/>
      <c r="P90" s="1"/>
      <c r="AA90" s="1"/>
      <c r="AB90" s="1"/>
      <c r="AG90" s="1"/>
      <c r="AH90" s="1"/>
      <c r="AK90" s="1"/>
      <c r="AL90" s="1"/>
      <c r="AM90" s="2"/>
      <c r="AN90" s="2"/>
      <c r="AQ90" s="1"/>
      <c r="BG90" s="1"/>
    </row>
    <row r="91" spans="15:59">
      <c r="O91" s="1"/>
      <c r="P91" s="1"/>
      <c r="AA91" s="1"/>
      <c r="AB91" s="1"/>
      <c r="AG91" s="1"/>
      <c r="AH91" s="1"/>
      <c r="AK91" s="1"/>
      <c r="AL91" s="1"/>
      <c r="AM91" s="2"/>
      <c r="AN91" s="2"/>
      <c r="AQ91" s="1"/>
      <c r="BG91" s="1"/>
    </row>
    <row r="92" spans="15:59">
      <c r="O92" s="1"/>
      <c r="P92" s="1"/>
      <c r="AA92" s="1"/>
      <c r="AB92" s="1"/>
      <c r="AG92" s="1"/>
      <c r="AH92" s="1"/>
      <c r="AK92" s="1"/>
      <c r="AL92" s="1"/>
      <c r="AM92" s="2"/>
      <c r="AN92" s="2"/>
      <c r="AQ92" s="1"/>
      <c r="BG92" s="1"/>
    </row>
    <row r="93" spans="15:59">
      <c r="O93" s="1"/>
      <c r="P93" s="1"/>
      <c r="AA93" s="1"/>
      <c r="AB93" s="1"/>
      <c r="AG93" s="1"/>
      <c r="AH93" s="1"/>
      <c r="AK93" s="1"/>
      <c r="AL93" s="1"/>
      <c r="AM93" s="2"/>
      <c r="AN93" s="2"/>
      <c r="AQ93" s="1"/>
      <c r="BG93" s="1"/>
    </row>
    <row r="94" spans="15:59">
      <c r="O94" s="1"/>
      <c r="P94" s="1"/>
      <c r="AA94" s="1"/>
      <c r="AB94" s="1"/>
      <c r="AG94" s="1"/>
      <c r="AH94" s="1"/>
      <c r="AK94" s="1"/>
      <c r="AL94" s="1"/>
      <c r="AM94" s="2"/>
      <c r="AN94" s="2"/>
      <c r="AQ94" s="1"/>
      <c r="BG94" s="1"/>
    </row>
    <row r="95" spans="15:59">
      <c r="O95" s="1"/>
      <c r="P95" s="1"/>
      <c r="AA95" s="1"/>
      <c r="AB95" s="1"/>
      <c r="AG95" s="1"/>
      <c r="AH95" s="1"/>
      <c r="AK95" s="1"/>
      <c r="AL95" s="1"/>
      <c r="AM95" s="2"/>
      <c r="AN95" s="2"/>
      <c r="AQ95" s="1"/>
      <c r="BG95" s="1"/>
    </row>
    <row r="96" spans="15:59">
      <c r="O96" s="1"/>
      <c r="P96" s="1"/>
      <c r="AA96" s="1"/>
      <c r="AB96" s="1"/>
      <c r="AG96" s="1"/>
      <c r="AH96" s="1"/>
      <c r="AK96" s="1"/>
      <c r="AL96" s="1"/>
      <c r="AM96" s="2"/>
      <c r="AN96" s="2"/>
      <c r="AQ96" s="1"/>
      <c r="BG96" s="1"/>
    </row>
    <row r="97" spans="15:59">
      <c r="O97" s="1"/>
      <c r="P97" s="1"/>
      <c r="AA97" s="1"/>
      <c r="AB97" s="1"/>
      <c r="AG97" s="1"/>
      <c r="AH97" s="1"/>
      <c r="AK97" s="1"/>
      <c r="AL97" s="1"/>
      <c r="AM97" s="2"/>
      <c r="AN97" s="2"/>
      <c r="AQ97" s="1"/>
      <c r="BG97" s="1"/>
    </row>
    <row r="98" spans="15:59">
      <c r="O98" s="1"/>
      <c r="P98" s="1"/>
      <c r="AA98" s="1"/>
      <c r="AB98" s="1"/>
      <c r="AG98" s="1"/>
      <c r="AH98" s="1"/>
      <c r="AK98" s="1"/>
      <c r="AL98" s="1"/>
      <c r="AM98" s="2"/>
      <c r="AN98" s="2"/>
      <c r="AQ98" s="1"/>
      <c r="BG98" s="1"/>
    </row>
    <row r="99" spans="15:59">
      <c r="O99" s="1"/>
      <c r="P99" s="1"/>
      <c r="AA99" s="1"/>
      <c r="AB99" s="1"/>
      <c r="AG99" s="1"/>
      <c r="AH99" s="1"/>
      <c r="AK99" s="1"/>
      <c r="AL99" s="1"/>
      <c r="AM99" s="2"/>
      <c r="AN99" s="2"/>
      <c r="AQ99" s="1"/>
      <c r="BG99" s="1"/>
    </row>
    <row r="100" spans="15:59">
      <c r="O100" s="1"/>
      <c r="P100" s="1"/>
      <c r="AA100" s="1"/>
      <c r="AB100" s="1"/>
      <c r="AG100" s="1"/>
      <c r="AH100" s="1"/>
      <c r="AK100" s="1"/>
      <c r="AL100" s="1"/>
      <c r="AM100" s="2"/>
      <c r="AN100" s="2"/>
      <c r="AQ100" s="1"/>
      <c r="BG100" s="1"/>
    </row>
    <row r="101" spans="15:59">
      <c r="O101" s="1"/>
      <c r="P101" s="1"/>
      <c r="AA101" s="1"/>
      <c r="AB101" s="1"/>
      <c r="AG101" s="1"/>
      <c r="AH101" s="1"/>
      <c r="AK101" s="1"/>
      <c r="AL101" s="1"/>
      <c r="AM101" s="2"/>
      <c r="AN101" s="2"/>
      <c r="AQ101" s="1"/>
      <c r="BG101" s="1"/>
    </row>
    <row r="102" spans="15:59">
      <c r="O102" s="1"/>
      <c r="P102" s="1"/>
      <c r="AA102" s="1"/>
      <c r="AB102" s="1"/>
      <c r="AG102" s="1"/>
      <c r="AH102" s="1"/>
      <c r="AK102" s="1"/>
      <c r="AL102" s="1"/>
      <c r="AM102" s="2"/>
      <c r="AN102" s="2"/>
      <c r="AQ102" s="1"/>
      <c r="BG102" s="1"/>
    </row>
    <row r="103" spans="15:59">
      <c r="O103" s="1"/>
      <c r="P103" s="1"/>
      <c r="AA103" s="1"/>
      <c r="AB103" s="1"/>
      <c r="AG103" s="1"/>
      <c r="AH103" s="1"/>
      <c r="AK103" s="1"/>
      <c r="AL103" s="1"/>
      <c r="AM103" s="2"/>
      <c r="AN103" s="2"/>
      <c r="AQ103" s="1"/>
      <c r="BG103" s="1"/>
    </row>
    <row r="104" spans="15:59">
      <c r="O104" s="1"/>
      <c r="P104" s="1"/>
      <c r="AA104" s="1"/>
      <c r="AB104" s="1"/>
      <c r="AG104" s="1"/>
      <c r="AH104" s="1"/>
      <c r="AK104" s="1"/>
      <c r="AL104" s="1"/>
      <c r="AM104" s="2"/>
      <c r="AN104" s="2"/>
      <c r="AQ104" s="1"/>
      <c r="BG104" s="1"/>
    </row>
    <row r="105" spans="15:59">
      <c r="O105" s="1"/>
      <c r="P105" s="1"/>
      <c r="AA105" s="1"/>
      <c r="AB105" s="1"/>
      <c r="AG105" s="1"/>
      <c r="AH105" s="1"/>
      <c r="AK105" s="1"/>
      <c r="AL105" s="1"/>
      <c r="AM105" s="2"/>
      <c r="AN105" s="2"/>
      <c r="AQ105" s="1"/>
      <c r="BG105" s="1"/>
    </row>
    <row r="106" spans="15:59">
      <c r="O106" s="1"/>
      <c r="P106" s="1"/>
      <c r="AA106" s="1"/>
      <c r="AB106" s="1"/>
      <c r="AG106" s="1"/>
      <c r="AH106" s="1"/>
      <c r="AK106" s="1"/>
      <c r="AL106" s="1"/>
      <c r="AM106" s="2"/>
      <c r="AN106" s="2"/>
      <c r="AQ106" s="1"/>
      <c r="BG106" s="1"/>
    </row>
    <row r="107" spans="15:59">
      <c r="O107" s="1"/>
      <c r="P107" s="1"/>
      <c r="AA107" s="1"/>
      <c r="AB107" s="1"/>
      <c r="AG107" s="1"/>
      <c r="AH107" s="1"/>
      <c r="AK107" s="1"/>
      <c r="AL107" s="1"/>
      <c r="AM107" s="2"/>
      <c r="AN107" s="2"/>
      <c r="AQ107" s="1"/>
      <c r="BG107" s="1"/>
    </row>
    <row r="108" spans="15:59">
      <c r="O108" s="1"/>
      <c r="P108" s="1"/>
      <c r="AA108" s="1"/>
      <c r="AB108" s="1"/>
      <c r="AG108" s="1"/>
      <c r="AH108" s="1"/>
      <c r="AK108" s="1"/>
      <c r="AL108" s="1"/>
      <c r="AM108" s="2"/>
      <c r="AN108" s="2"/>
      <c r="AQ108" s="1"/>
      <c r="BG108" s="1"/>
    </row>
    <row r="109" spans="15:59">
      <c r="O109" s="1"/>
      <c r="P109" s="1"/>
      <c r="AA109" s="1"/>
      <c r="AB109" s="1"/>
      <c r="AG109" s="1"/>
      <c r="AH109" s="1"/>
      <c r="AK109" s="1"/>
      <c r="AL109" s="1"/>
      <c r="AM109" s="2"/>
      <c r="AN109" s="2"/>
      <c r="AQ109" s="1"/>
      <c r="BG109" s="1"/>
    </row>
    <row r="110" spans="15:59">
      <c r="O110" s="1"/>
      <c r="P110" s="1"/>
      <c r="AA110" s="1"/>
      <c r="AB110" s="1"/>
      <c r="AG110" s="1"/>
      <c r="AH110" s="1"/>
      <c r="AK110" s="1"/>
      <c r="AL110" s="1"/>
      <c r="AM110" s="2"/>
      <c r="AN110" s="2"/>
      <c r="AQ110" s="1"/>
      <c r="BG110" s="1"/>
    </row>
    <row r="111" spans="15:59">
      <c r="O111" s="1"/>
      <c r="P111" s="1"/>
      <c r="AA111" s="1"/>
      <c r="AB111" s="1"/>
      <c r="AG111" s="1"/>
      <c r="AH111" s="1"/>
      <c r="AK111" s="1"/>
      <c r="AL111" s="1"/>
      <c r="AM111" s="2"/>
      <c r="AN111" s="2"/>
      <c r="AQ111" s="1"/>
      <c r="BG111" s="1"/>
    </row>
    <row r="112" spans="15:59">
      <c r="O112" s="1"/>
      <c r="P112" s="1"/>
      <c r="AA112" s="1"/>
      <c r="AB112" s="1"/>
      <c r="AG112" s="1"/>
      <c r="AH112" s="1"/>
      <c r="AK112" s="1"/>
      <c r="AL112" s="1"/>
      <c r="AM112" s="2"/>
      <c r="AN112" s="2"/>
      <c r="AQ112" s="1"/>
      <c r="BG112" s="1"/>
    </row>
    <row r="113" spans="15:59">
      <c r="O113" s="1"/>
      <c r="P113" s="1"/>
      <c r="AA113" s="1"/>
      <c r="AB113" s="1"/>
      <c r="AG113" s="1"/>
      <c r="AH113" s="1"/>
      <c r="AK113" s="1"/>
      <c r="AL113" s="1"/>
      <c r="AM113" s="2"/>
      <c r="AN113" s="2"/>
      <c r="AQ113" s="1"/>
      <c r="BG113" s="1"/>
    </row>
    <row r="114" spans="15:59">
      <c r="O114" s="1"/>
      <c r="P114" s="1"/>
      <c r="AA114" s="1"/>
      <c r="AB114" s="1"/>
      <c r="AG114" s="1"/>
      <c r="AH114" s="1"/>
      <c r="AK114" s="1"/>
      <c r="AL114" s="1"/>
      <c r="AM114" s="2"/>
      <c r="AN114" s="2"/>
      <c r="AQ114" s="1"/>
      <c r="BG114" s="1"/>
    </row>
    <row r="115" spans="15:59">
      <c r="O115" s="1"/>
      <c r="P115" s="1"/>
      <c r="AA115" s="1"/>
      <c r="AB115" s="1"/>
      <c r="AG115" s="1"/>
      <c r="AH115" s="1"/>
      <c r="AK115" s="1"/>
      <c r="AL115" s="1"/>
      <c r="AM115" s="2"/>
      <c r="AN115" s="2"/>
      <c r="AQ115" s="1"/>
      <c r="BG115" s="1"/>
    </row>
    <row r="116" spans="15:59">
      <c r="O116" s="1"/>
      <c r="P116" s="1"/>
      <c r="AA116" s="1"/>
      <c r="AB116" s="1"/>
      <c r="AG116" s="1"/>
      <c r="AH116" s="1"/>
      <c r="AK116" s="1"/>
      <c r="AL116" s="1"/>
      <c r="AM116" s="2"/>
      <c r="AN116" s="2"/>
      <c r="AQ116" s="1"/>
      <c r="BG116" s="1"/>
    </row>
    <row r="117" spans="15:59">
      <c r="O117" s="1"/>
      <c r="P117" s="1"/>
      <c r="AA117" s="1"/>
      <c r="AB117" s="1"/>
      <c r="AG117" s="1"/>
      <c r="AH117" s="1"/>
      <c r="AK117" s="1"/>
      <c r="AL117" s="1"/>
      <c r="AM117" s="2"/>
      <c r="AN117" s="2"/>
      <c r="AQ117" s="1"/>
      <c r="BG117" s="1"/>
    </row>
    <row r="118" spans="15:59">
      <c r="O118" s="1"/>
      <c r="P118" s="1"/>
      <c r="AA118" s="1"/>
      <c r="AB118" s="1"/>
      <c r="AG118" s="1"/>
      <c r="AH118" s="1"/>
      <c r="AK118" s="1"/>
      <c r="AL118" s="1"/>
      <c r="AM118" s="2"/>
      <c r="AN118" s="2"/>
      <c r="AQ118" s="1"/>
      <c r="BG118" s="1"/>
    </row>
    <row r="119" spans="15:59">
      <c r="O119" s="1"/>
      <c r="P119" s="1"/>
      <c r="AA119" s="1"/>
      <c r="AB119" s="1"/>
      <c r="AG119" s="1"/>
      <c r="AH119" s="1"/>
      <c r="AK119" s="1"/>
      <c r="AL119" s="1"/>
      <c r="AM119" s="2"/>
      <c r="AN119" s="2"/>
      <c r="AQ119" s="1"/>
      <c r="BG119" s="1"/>
    </row>
    <row r="120" spans="15:59">
      <c r="O120" s="1"/>
      <c r="P120" s="1"/>
      <c r="AA120" s="1"/>
      <c r="AB120" s="1"/>
      <c r="AG120" s="1"/>
      <c r="AH120" s="1"/>
      <c r="AK120" s="1"/>
      <c r="AL120" s="1"/>
      <c r="AM120" s="2"/>
      <c r="AN120" s="2"/>
      <c r="AQ120" s="1"/>
      <c r="BG120" s="1"/>
    </row>
    <row r="121" spans="15:59">
      <c r="O121" s="1"/>
      <c r="P121" s="1"/>
      <c r="AA121" s="1"/>
      <c r="AB121" s="1"/>
      <c r="AG121" s="1"/>
      <c r="AH121" s="1"/>
      <c r="AK121" s="1"/>
      <c r="AL121" s="1"/>
      <c r="AM121" s="2"/>
      <c r="AN121" s="2"/>
      <c r="AQ121" s="1"/>
      <c r="BG121" s="1"/>
    </row>
    <row r="122" spans="15:59">
      <c r="O122" s="1"/>
      <c r="P122" s="1"/>
      <c r="AA122" s="1"/>
      <c r="AB122" s="1"/>
      <c r="AG122" s="1"/>
      <c r="AH122" s="1"/>
      <c r="AK122" s="1"/>
      <c r="AL122" s="1"/>
      <c r="AM122" s="2"/>
      <c r="AN122" s="2"/>
      <c r="AQ122" s="1"/>
      <c r="BG122" s="1"/>
    </row>
    <row r="123" spans="15:59">
      <c r="O123" s="1"/>
      <c r="P123" s="1"/>
      <c r="AA123" s="1"/>
      <c r="AB123" s="1"/>
      <c r="AG123" s="1"/>
      <c r="AH123" s="1"/>
      <c r="AK123" s="1"/>
      <c r="AL123" s="1"/>
      <c r="AM123" s="2"/>
      <c r="AN123" s="2"/>
      <c r="AQ123" s="1"/>
      <c r="BG123" s="1"/>
    </row>
    <row r="124" spans="15:59">
      <c r="O124" s="1"/>
      <c r="P124" s="1"/>
      <c r="AA124" s="1"/>
      <c r="AB124" s="1"/>
      <c r="AG124" s="1"/>
      <c r="AH124" s="1"/>
      <c r="AK124" s="1"/>
      <c r="AL124" s="1"/>
      <c r="AM124" s="2"/>
      <c r="AN124" s="2"/>
      <c r="AQ124" s="1"/>
      <c r="BG124" s="1"/>
    </row>
    <row r="125" spans="15:59">
      <c r="O125" s="1"/>
      <c r="P125" s="1"/>
      <c r="AA125" s="1"/>
      <c r="AB125" s="1"/>
      <c r="AG125" s="1"/>
      <c r="AH125" s="1"/>
      <c r="AK125" s="1"/>
      <c r="AL125" s="1"/>
      <c r="AM125" s="2"/>
      <c r="AN125" s="2"/>
      <c r="AQ125" s="1"/>
      <c r="BG125" s="1"/>
    </row>
    <row r="126" spans="15:59">
      <c r="O126" s="1"/>
      <c r="P126" s="1"/>
      <c r="AA126" s="1"/>
      <c r="AB126" s="1"/>
      <c r="AG126" s="1"/>
      <c r="AH126" s="1"/>
      <c r="AK126" s="1"/>
      <c r="AL126" s="1"/>
      <c r="AM126" s="2"/>
      <c r="AN126" s="2"/>
      <c r="AQ126" s="1"/>
      <c r="BG126" s="1"/>
    </row>
    <row r="127" spans="15:59">
      <c r="O127" s="1"/>
      <c r="P127" s="1"/>
      <c r="AA127" s="1"/>
      <c r="AB127" s="1"/>
      <c r="AG127" s="1"/>
      <c r="AH127" s="1"/>
      <c r="AK127" s="1"/>
      <c r="AL127" s="1"/>
      <c r="AM127" s="2"/>
      <c r="AN127" s="2"/>
      <c r="AQ127" s="1"/>
      <c r="BG127" s="1"/>
    </row>
    <row r="128" spans="15:59">
      <c r="O128" s="1"/>
      <c r="P128" s="1"/>
      <c r="AA128" s="1"/>
      <c r="AB128" s="1"/>
      <c r="AG128" s="1"/>
      <c r="AH128" s="1"/>
      <c r="AK128" s="1"/>
      <c r="AL128" s="1"/>
      <c r="AM128" s="2"/>
      <c r="AN128" s="2"/>
      <c r="AQ128" s="1"/>
      <c r="BG128" s="1"/>
    </row>
    <row r="129" spans="15:59">
      <c r="O129" s="1"/>
      <c r="P129" s="1"/>
      <c r="AA129" s="1"/>
      <c r="AB129" s="1"/>
      <c r="AG129" s="1"/>
      <c r="AH129" s="1"/>
      <c r="AK129" s="1"/>
      <c r="AL129" s="1"/>
      <c r="AM129" s="2"/>
      <c r="AN129" s="2"/>
      <c r="AQ129" s="1"/>
      <c r="BG129" s="1"/>
    </row>
    <row r="130" spans="15:59">
      <c r="O130" s="1"/>
      <c r="P130" s="1"/>
      <c r="AA130" s="1"/>
      <c r="AB130" s="1"/>
      <c r="AG130" s="1"/>
      <c r="AH130" s="1"/>
      <c r="AK130" s="1"/>
      <c r="AL130" s="1"/>
      <c r="AM130" s="2"/>
      <c r="AN130" s="2"/>
      <c r="AQ130" s="1"/>
      <c r="BG130" s="1"/>
    </row>
    <row r="131" spans="15:59">
      <c r="O131" s="1"/>
      <c r="P131" s="1"/>
      <c r="AA131" s="1"/>
      <c r="AB131" s="1"/>
      <c r="AG131" s="1"/>
      <c r="AH131" s="1"/>
      <c r="AK131" s="1"/>
      <c r="AL131" s="1"/>
      <c r="AM131" s="2"/>
      <c r="AN131" s="2"/>
      <c r="AQ131" s="1"/>
      <c r="BG131" s="1"/>
    </row>
    <row r="132" spans="15:59">
      <c r="O132" s="1"/>
      <c r="P132" s="1"/>
      <c r="AA132" s="1"/>
      <c r="AB132" s="1"/>
      <c r="AG132" s="1"/>
      <c r="AH132" s="1"/>
      <c r="AK132" s="1"/>
      <c r="AL132" s="1"/>
      <c r="AM132" s="2"/>
      <c r="AN132" s="2"/>
      <c r="AQ132" s="1"/>
      <c r="BG132" s="1"/>
    </row>
    <row r="133" spans="15:59">
      <c r="O133" s="1"/>
      <c r="P133" s="1"/>
      <c r="AA133" s="1"/>
      <c r="AB133" s="1"/>
      <c r="AG133" s="1"/>
      <c r="AH133" s="1"/>
      <c r="AK133" s="1"/>
      <c r="AL133" s="1"/>
      <c r="AM133" s="2"/>
      <c r="AN133" s="2"/>
      <c r="AQ133" s="1"/>
      <c r="BG133" s="1"/>
    </row>
    <row r="134" spans="15:59">
      <c r="O134" s="1"/>
      <c r="P134" s="1"/>
      <c r="AA134" s="1"/>
      <c r="AB134" s="1"/>
      <c r="AG134" s="1"/>
      <c r="AH134" s="1"/>
      <c r="AK134" s="1"/>
      <c r="AL134" s="1"/>
      <c r="AM134" s="2"/>
      <c r="AN134" s="2"/>
      <c r="AQ134" s="1"/>
      <c r="BG134" s="1"/>
    </row>
    <row r="135" spans="15:59">
      <c r="O135" s="1"/>
      <c r="P135" s="1"/>
      <c r="AA135" s="1"/>
      <c r="AB135" s="1"/>
      <c r="AG135" s="1"/>
      <c r="AH135" s="1"/>
      <c r="AK135" s="1"/>
      <c r="AL135" s="1"/>
      <c r="AM135" s="2"/>
      <c r="AN135" s="2"/>
      <c r="AQ135" s="1"/>
      <c r="BG135" s="1"/>
    </row>
    <row r="136" spans="15:59">
      <c r="O136" s="1"/>
      <c r="P136" s="1"/>
      <c r="AA136" s="1"/>
      <c r="AB136" s="1"/>
      <c r="AG136" s="1"/>
      <c r="AH136" s="1"/>
      <c r="AK136" s="1"/>
      <c r="AL136" s="1"/>
      <c r="AM136" s="2"/>
      <c r="AN136" s="2"/>
      <c r="AQ136" s="1"/>
      <c r="BG136" s="1"/>
    </row>
    <row r="137" spans="15:59">
      <c r="O137" s="1"/>
      <c r="P137" s="1"/>
      <c r="AA137" s="1"/>
      <c r="AB137" s="1"/>
      <c r="AG137" s="1"/>
      <c r="AH137" s="1"/>
      <c r="AK137" s="1"/>
      <c r="AL137" s="1"/>
      <c r="AM137" s="2"/>
      <c r="AN137" s="2"/>
      <c r="AQ137" s="1"/>
      <c r="BG137" s="1"/>
    </row>
    <row r="138" spans="15:59">
      <c r="O138" s="1"/>
      <c r="P138" s="1"/>
      <c r="AA138" s="1"/>
      <c r="AB138" s="1"/>
      <c r="AG138" s="1"/>
      <c r="AH138" s="1"/>
      <c r="AK138" s="1"/>
      <c r="AL138" s="1"/>
      <c r="AM138" s="2"/>
      <c r="AN138" s="2"/>
      <c r="AQ138" s="1"/>
      <c r="BG138" s="1"/>
    </row>
    <row r="139" spans="15:59">
      <c r="O139" s="1"/>
      <c r="P139" s="1"/>
      <c r="AA139" s="1"/>
      <c r="AB139" s="1"/>
      <c r="AG139" s="1"/>
      <c r="AH139" s="1"/>
      <c r="AK139" s="1"/>
      <c r="AL139" s="1"/>
      <c r="AM139" s="2"/>
      <c r="AN139" s="2"/>
      <c r="AQ139" s="1"/>
      <c r="BG139" s="1"/>
    </row>
    <row r="140" spans="15:59">
      <c r="O140" s="1"/>
      <c r="P140" s="1"/>
      <c r="AA140" s="1"/>
      <c r="AB140" s="1"/>
      <c r="AG140" s="1"/>
      <c r="AH140" s="1"/>
      <c r="AK140" s="1"/>
      <c r="AL140" s="1"/>
      <c r="AM140" s="2"/>
      <c r="AN140" s="2"/>
      <c r="AQ140" s="1"/>
      <c r="BG140" s="1"/>
    </row>
    <row r="141" spans="15:59">
      <c r="O141" s="1"/>
      <c r="P141" s="1"/>
      <c r="AA141" s="1"/>
      <c r="AB141" s="1"/>
      <c r="AG141" s="1"/>
      <c r="AH141" s="1"/>
      <c r="AK141" s="1"/>
      <c r="AL141" s="1"/>
      <c r="AM141" s="2"/>
      <c r="AN141" s="2"/>
      <c r="AQ141" s="1"/>
      <c r="BG141" s="1"/>
    </row>
    <row r="142" spans="15:59">
      <c r="O142" s="1"/>
      <c r="P142" s="1"/>
      <c r="AA142" s="1"/>
      <c r="AB142" s="1"/>
      <c r="AG142" s="1"/>
      <c r="AH142" s="1"/>
      <c r="AK142" s="1"/>
      <c r="AL142" s="1"/>
      <c r="AM142" s="2"/>
      <c r="AN142" s="2"/>
      <c r="AQ142" s="1"/>
      <c r="BG142" s="1"/>
    </row>
    <row r="143" spans="15:59">
      <c r="O143" s="1"/>
      <c r="P143" s="1"/>
      <c r="AA143" s="1"/>
      <c r="AB143" s="1"/>
      <c r="AG143" s="1"/>
      <c r="AH143" s="1"/>
      <c r="AK143" s="1"/>
      <c r="AL143" s="1"/>
      <c r="AM143" s="2"/>
      <c r="AN143" s="2"/>
      <c r="AQ143" s="1"/>
      <c r="BG143" s="1"/>
    </row>
    <row r="144" spans="15:59">
      <c r="O144" s="1"/>
      <c r="P144" s="1"/>
      <c r="AA144" s="1"/>
      <c r="AB144" s="1"/>
      <c r="AG144" s="1"/>
      <c r="AH144" s="1"/>
      <c r="AK144" s="1"/>
      <c r="AL144" s="1"/>
      <c r="AM144" s="2"/>
      <c r="AN144" s="2"/>
      <c r="AQ144" s="1"/>
      <c r="BG144" s="1"/>
    </row>
    <row r="145" spans="15:59">
      <c r="O145" s="1"/>
      <c r="P145" s="1"/>
      <c r="AA145" s="1"/>
      <c r="AB145" s="1"/>
      <c r="AG145" s="1"/>
      <c r="AH145" s="1"/>
      <c r="AK145" s="1"/>
      <c r="AL145" s="1"/>
      <c r="AM145" s="2"/>
      <c r="AN145" s="2"/>
      <c r="AQ145" s="1"/>
      <c r="BG145" s="1"/>
    </row>
    <row r="146" spans="15:59">
      <c r="O146" s="1"/>
      <c r="P146" s="1"/>
      <c r="AA146" s="1"/>
      <c r="AB146" s="1"/>
      <c r="AG146" s="1"/>
      <c r="AH146" s="1"/>
      <c r="AK146" s="1"/>
      <c r="AL146" s="1"/>
      <c r="AM146" s="2"/>
      <c r="AN146" s="2"/>
      <c r="AQ146" s="1"/>
      <c r="BG146" s="1"/>
    </row>
    <row r="147" spans="15:59">
      <c r="O147" s="1"/>
      <c r="P147" s="1"/>
      <c r="AA147" s="1"/>
      <c r="AB147" s="1"/>
      <c r="AG147" s="1"/>
      <c r="AH147" s="1"/>
      <c r="AK147" s="1"/>
      <c r="AL147" s="1"/>
      <c r="AM147" s="2"/>
      <c r="AN147" s="2"/>
      <c r="AQ147" s="1"/>
      <c r="BG147" s="1"/>
    </row>
    <row r="148" spans="15:59">
      <c r="O148" s="1"/>
      <c r="P148" s="1"/>
      <c r="AA148" s="1"/>
      <c r="AB148" s="1"/>
      <c r="AG148" s="1"/>
      <c r="AH148" s="1"/>
      <c r="AK148" s="1"/>
      <c r="AL148" s="1"/>
      <c r="AM148" s="2"/>
      <c r="AN148" s="2"/>
      <c r="AQ148" s="1"/>
      <c r="BG148" s="1"/>
    </row>
    <row r="149" spans="15:59">
      <c r="O149" s="1"/>
      <c r="P149" s="1"/>
      <c r="AA149" s="1"/>
      <c r="AB149" s="1"/>
      <c r="AG149" s="1"/>
      <c r="AH149" s="1"/>
      <c r="AK149" s="1"/>
      <c r="AL149" s="1"/>
      <c r="AM149" s="2"/>
      <c r="AN149" s="2"/>
      <c r="AQ149" s="1"/>
      <c r="BG149" s="1"/>
    </row>
    <row r="150" spans="15:59">
      <c r="O150" s="1"/>
      <c r="P150" s="1"/>
      <c r="AA150" s="1"/>
      <c r="AB150" s="1"/>
      <c r="AG150" s="1"/>
      <c r="AH150" s="1"/>
      <c r="AK150" s="1"/>
      <c r="AL150" s="1"/>
      <c r="AM150" s="2"/>
      <c r="AN150" s="2"/>
      <c r="AQ150" s="1"/>
      <c r="BG150" s="1"/>
    </row>
    <row r="151" spans="15:59">
      <c r="O151" s="1"/>
      <c r="P151" s="1"/>
      <c r="AA151" s="1"/>
      <c r="AB151" s="1"/>
      <c r="AG151" s="1"/>
      <c r="AH151" s="1"/>
      <c r="AK151" s="1"/>
      <c r="AL151" s="1"/>
      <c r="AM151" s="2"/>
      <c r="AN151" s="2"/>
      <c r="AQ151" s="1"/>
      <c r="BG151" s="1"/>
    </row>
    <row r="152" spans="15:59">
      <c r="O152" s="1"/>
      <c r="P152" s="1"/>
      <c r="AA152" s="1"/>
      <c r="AB152" s="1"/>
      <c r="AG152" s="1"/>
      <c r="AH152" s="1"/>
      <c r="AK152" s="1"/>
      <c r="AL152" s="1"/>
      <c r="AM152" s="2"/>
      <c r="AN152" s="2"/>
      <c r="AQ152" s="1"/>
      <c r="BG152" s="1"/>
    </row>
    <row r="153" spans="15:59">
      <c r="O153" s="1"/>
      <c r="P153" s="1"/>
      <c r="AA153" s="1"/>
      <c r="AB153" s="1"/>
      <c r="AG153" s="1"/>
      <c r="AH153" s="1"/>
      <c r="AK153" s="1"/>
      <c r="AL153" s="1"/>
      <c r="AM153" s="2"/>
      <c r="AN153" s="2"/>
      <c r="AQ153" s="1"/>
      <c r="BG153" s="1"/>
    </row>
    <row r="154" spans="15:59">
      <c r="O154" s="1"/>
      <c r="P154" s="1"/>
      <c r="AA154" s="1"/>
      <c r="AB154" s="1"/>
      <c r="AG154" s="1"/>
      <c r="AH154" s="1"/>
      <c r="AK154" s="1"/>
      <c r="AL154" s="1"/>
      <c r="AM154" s="2"/>
      <c r="AN154" s="2"/>
      <c r="AQ154" s="1"/>
      <c r="BG154" s="1"/>
    </row>
    <row r="155" spans="15:59">
      <c r="O155" s="1"/>
      <c r="P155" s="1"/>
      <c r="AA155" s="1"/>
      <c r="AB155" s="1"/>
      <c r="AG155" s="1"/>
      <c r="AH155" s="1"/>
      <c r="AK155" s="1"/>
      <c r="AL155" s="1"/>
      <c r="AM155" s="2"/>
      <c r="AN155" s="2"/>
      <c r="AQ155" s="1"/>
      <c r="BG155" s="1"/>
    </row>
    <row r="156" spans="15:59">
      <c r="O156" s="1"/>
      <c r="P156" s="1"/>
      <c r="AA156" s="1"/>
      <c r="AB156" s="1"/>
      <c r="AG156" s="1"/>
      <c r="AH156" s="1"/>
      <c r="AK156" s="1"/>
      <c r="AL156" s="1"/>
      <c r="AM156" s="2"/>
      <c r="AN156" s="2"/>
      <c r="AQ156" s="1"/>
      <c r="BG156" s="1"/>
    </row>
    <row r="157" spans="15:59">
      <c r="O157" s="1"/>
      <c r="P157" s="1"/>
      <c r="AA157" s="1"/>
      <c r="AB157" s="1"/>
      <c r="AG157" s="1"/>
      <c r="AH157" s="1"/>
      <c r="AK157" s="1"/>
      <c r="AL157" s="1"/>
      <c r="AM157" s="2"/>
      <c r="AN157" s="2"/>
      <c r="AQ157" s="1"/>
      <c r="BG157" s="1"/>
    </row>
    <row r="158" spans="15:59">
      <c r="O158" s="1"/>
      <c r="P158" s="1"/>
      <c r="AA158" s="1"/>
      <c r="AB158" s="1"/>
      <c r="AG158" s="1"/>
      <c r="AH158" s="1"/>
      <c r="AK158" s="1"/>
      <c r="AL158" s="1"/>
      <c r="AM158" s="2"/>
      <c r="AN158" s="2"/>
      <c r="AQ158" s="1"/>
      <c r="BG158" s="1"/>
    </row>
    <row r="159" spans="15:59">
      <c r="O159" s="1"/>
      <c r="P159" s="1"/>
      <c r="AA159" s="1"/>
      <c r="AB159" s="1"/>
      <c r="AG159" s="1"/>
      <c r="AH159" s="1"/>
      <c r="AK159" s="1"/>
      <c r="AL159" s="1"/>
      <c r="AM159" s="2"/>
      <c r="AN159" s="2"/>
      <c r="AQ159" s="1"/>
      <c r="BG159" s="1"/>
    </row>
    <row r="160" spans="15:59">
      <c r="O160" s="1"/>
      <c r="P160" s="1"/>
      <c r="AA160" s="1"/>
      <c r="AB160" s="1"/>
      <c r="AG160" s="1"/>
      <c r="AH160" s="1"/>
      <c r="AK160" s="1"/>
      <c r="AL160" s="1"/>
      <c r="AM160" s="2"/>
      <c r="AN160" s="2"/>
      <c r="AQ160" s="1"/>
      <c r="BG160" s="1"/>
    </row>
    <row r="161" spans="15:59">
      <c r="O161" s="1"/>
      <c r="P161" s="1"/>
      <c r="AA161" s="1"/>
      <c r="AB161" s="1"/>
      <c r="AG161" s="1"/>
      <c r="AH161" s="1"/>
      <c r="AK161" s="1"/>
      <c r="AL161" s="1"/>
      <c r="AM161" s="2"/>
      <c r="AN161" s="2"/>
      <c r="AQ161" s="1"/>
      <c r="BG161" s="1"/>
    </row>
    <row r="162" spans="15:59">
      <c r="O162" s="1"/>
      <c r="P162" s="1"/>
      <c r="AA162" s="1"/>
      <c r="AB162" s="1"/>
      <c r="AG162" s="1"/>
      <c r="AH162" s="1"/>
      <c r="AK162" s="1"/>
      <c r="AL162" s="1"/>
      <c r="AM162" s="2"/>
      <c r="AN162" s="2"/>
      <c r="AQ162" s="1"/>
      <c r="BG162" s="1"/>
    </row>
    <row r="163" spans="15:59">
      <c r="O163" s="1"/>
      <c r="P163" s="1"/>
      <c r="AA163" s="1"/>
      <c r="AB163" s="1"/>
      <c r="AG163" s="1"/>
      <c r="AH163" s="1"/>
      <c r="AK163" s="1"/>
      <c r="AL163" s="1"/>
      <c r="AM163" s="2"/>
      <c r="AN163" s="2"/>
      <c r="AQ163" s="1"/>
      <c r="BG163" s="1"/>
    </row>
    <row r="164" spans="15:59">
      <c r="O164" s="1"/>
      <c r="P164" s="1"/>
      <c r="AA164" s="1"/>
      <c r="AB164" s="1"/>
      <c r="AG164" s="1"/>
      <c r="AH164" s="1"/>
      <c r="AK164" s="1"/>
      <c r="AL164" s="1"/>
      <c r="AM164" s="2"/>
      <c r="AN164" s="2"/>
      <c r="AQ164" s="1"/>
      <c r="BG164" s="1"/>
    </row>
    <row r="165" spans="15:59">
      <c r="O165" s="1"/>
      <c r="P165" s="1"/>
      <c r="AA165" s="1"/>
      <c r="AB165" s="1"/>
      <c r="AG165" s="1"/>
      <c r="AH165" s="1"/>
      <c r="AK165" s="1"/>
      <c r="AL165" s="1"/>
      <c r="AM165" s="2"/>
      <c r="AN165" s="2"/>
      <c r="AQ165" s="1"/>
      <c r="BG165" s="1"/>
    </row>
    <row r="166" spans="15:59">
      <c r="O166" s="1"/>
      <c r="P166" s="1"/>
      <c r="AA166" s="1"/>
      <c r="AB166" s="1"/>
      <c r="AG166" s="1"/>
      <c r="AH166" s="1"/>
      <c r="AK166" s="1"/>
      <c r="AL166" s="1"/>
      <c r="AM166" s="2"/>
      <c r="AN166" s="2"/>
      <c r="AQ166" s="1"/>
      <c r="BG166" s="1"/>
    </row>
    <row r="167" spans="15:59">
      <c r="O167" s="1"/>
      <c r="P167" s="1"/>
      <c r="AA167" s="1"/>
      <c r="AB167" s="1"/>
      <c r="AG167" s="1"/>
      <c r="AH167" s="1"/>
      <c r="AK167" s="1"/>
      <c r="AL167" s="1"/>
      <c r="AM167" s="2"/>
      <c r="AN167" s="2"/>
      <c r="AQ167" s="1"/>
      <c r="BG167" s="1"/>
    </row>
    <row r="168" spans="15:59">
      <c r="O168" s="1"/>
      <c r="P168" s="1"/>
      <c r="AA168" s="1"/>
      <c r="AB168" s="1"/>
      <c r="AG168" s="1"/>
      <c r="AH168" s="1"/>
      <c r="AK168" s="1"/>
      <c r="AL168" s="1"/>
      <c r="AM168" s="2"/>
      <c r="AN168" s="2"/>
      <c r="AQ168" s="1"/>
      <c r="BG168" s="1"/>
    </row>
    <row r="169" spans="15:59">
      <c r="O169" s="1"/>
      <c r="P169" s="1"/>
      <c r="AA169" s="1"/>
      <c r="AB169" s="1"/>
      <c r="AG169" s="1"/>
      <c r="AH169" s="1"/>
      <c r="AK169" s="1"/>
      <c r="AL169" s="1"/>
      <c r="AM169" s="2"/>
      <c r="AN169" s="2"/>
      <c r="AQ169" s="1"/>
      <c r="BG169" s="1"/>
    </row>
    <row r="170" spans="15:59">
      <c r="O170" s="1"/>
      <c r="P170" s="1"/>
      <c r="AA170" s="1"/>
      <c r="AB170" s="1"/>
      <c r="AG170" s="1"/>
      <c r="AH170" s="1"/>
      <c r="AK170" s="1"/>
      <c r="AL170" s="1"/>
      <c r="AM170" s="2"/>
      <c r="AN170" s="2"/>
      <c r="AQ170" s="1"/>
      <c r="BG170" s="1"/>
    </row>
    <row r="171" spans="15:59">
      <c r="O171" s="1"/>
      <c r="P171" s="1"/>
      <c r="AA171" s="1"/>
      <c r="AB171" s="1"/>
      <c r="AG171" s="1"/>
      <c r="AH171" s="1"/>
      <c r="AK171" s="1"/>
      <c r="AL171" s="1"/>
      <c r="AM171" s="2"/>
      <c r="AN171" s="2"/>
      <c r="AQ171" s="1"/>
      <c r="BG171" s="1"/>
    </row>
    <row r="172" spans="15:59">
      <c r="O172" s="1"/>
      <c r="P172" s="1"/>
      <c r="AA172" s="1"/>
      <c r="AB172" s="1"/>
      <c r="AG172" s="1"/>
      <c r="AH172" s="1"/>
      <c r="AK172" s="1"/>
      <c r="AL172" s="1"/>
      <c r="AM172" s="2"/>
      <c r="AN172" s="2"/>
      <c r="AQ172" s="1"/>
      <c r="BG172" s="1"/>
    </row>
    <row r="173" spans="15:59">
      <c r="O173" s="1"/>
      <c r="P173" s="1"/>
      <c r="AA173" s="1"/>
      <c r="AB173" s="1"/>
      <c r="AG173" s="1"/>
      <c r="AH173" s="1"/>
      <c r="AK173" s="1"/>
      <c r="AL173" s="1"/>
      <c r="AM173" s="2"/>
      <c r="AN173" s="2"/>
      <c r="AQ173" s="1"/>
      <c r="BG173" s="1"/>
    </row>
    <row r="174" spans="15:59">
      <c r="O174" s="1"/>
      <c r="P174" s="1"/>
      <c r="AA174" s="1"/>
      <c r="AB174" s="1"/>
      <c r="AG174" s="1"/>
      <c r="AH174" s="1"/>
      <c r="AK174" s="1"/>
      <c r="AL174" s="1"/>
      <c r="AM174" s="2"/>
      <c r="AN174" s="2"/>
      <c r="AQ174" s="1"/>
      <c r="BG174" s="1"/>
    </row>
    <row r="175" spans="15:59">
      <c r="O175" s="1"/>
      <c r="P175" s="1"/>
      <c r="AA175" s="1"/>
      <c r="AB175" s="1"/>
      <c r="AG175" s="1"/>
      <c r="AH175" s="1"/>
      <c r="AK175" s="1"/>
      <c r="AL175" s="1"/>
      <c r="AM175" s="2"/>
      <c r="AN175" s="2"/>
      <c r="AQ175" s="1"/>
      <c r="BG175" s="1"/>
    </row>
    <row r="176" spans="15:59">
      <c r="O176" s="1"/>
      <c r="P176" s="1"/>
      <c r="AA176" s="1"/>
      <c r="AB176" s="1"/>
      <c r="AG176" s="1"/>
      <c r="AH176" s="1"/>
      <c r="AK176" s="1"/>
      <c r="AL176" s="1"/>
      <c r="AM176" s="2"/>
      <c r="AN176" s="2"/>
      <c r="AQ176" s="1"/>
      <c r="BG176" s="1"/>
    </row>
    <row r="177" spans="15:59">
      <c r="O177" s="1"/>
      <c r="P177" s="1"/>
      <c r="AA177" s="1"/>
      <c r="AB177" s="1"/>
      <c r="AG177" s="1"/>
      <c r="AH177" s="1"/>
      <c r="AK177" s="1"/>
      <c r="AL177" s="1"/>
      <c r="AM177" s="2"/>
      <c r="AN177" s="2"/>
      <c r="AQ177" s="1"/>
      <c r="BG177" s="1"/>
    </row>
    <row r="178" spans="15:59">
      <c r="O178" s="1"/>
      <c r="P178" s="1"/>
      <c r="AA178" s="1"/>
      <c r="AB178" s="1"/>
      <c r="AG178" s="1"/>
      <c r="AH178" s="1"/>
      <c r="AK178" s="1"/>
      <c r="AL178" s="1"/>
      <c r="AM178" s="2"/>
      <c r="AN178" s="2"/>
      <c r="AQ178" s="1"/>
      <c r="BG178" s="1"/>
    </row>
    <row r="179" spans="15:59">
      <c r="O179" s="1"/>
      <c r="P179" s="1"/>
      <c r="AA179" s="1"/>
      <c r="AB179" s="1"/>
      <c r="AG179" s="1"/>
      <c r="AH179" s="1"/>
      <c r="AK179" s="1"/>
      <c r="AL179" s="1"/>
      <c r="AM179" s="2"/>
      <c r="AN179" s="2"/>
      <c r="AQ179" s="1"/>
      <c r="BG179" s="1"/>
    </row>
    <row r="180" spans="15:59">
      <c r="O180" s="1"/>
      <c r="P180" s="1"/>
      <c r="AA180" s="1"/>
      <c r="AB180" s="1"/>
      <c r="AG180" s="1"/>
      <c r="AH180" s="1"/>
      <c r="AK180" s="1"/>
      <c r="AL180" s="1"/>
      <c r="AM180" s="2"/>
      <c r="AN180" s="2"/>
      <c r="AQ180" s="1"/>
      <c r="BG180" s="1"/>
    </row>
    <row r="181" spans="15:59">
      <c r="O181" s="1"/>
      <c r="P181" s="1"/>
      <c r="AA181" s="1"/>
      <c r="AB181" s="1"/>
      <c r="AG181" s="1"/>
      <c r="AH181" s="1"/>
      <c r="AK181" s="1"/>
      <c r="AL181" s="1"/>
      <c r="AM181" s="2"/>
      <c r="AN181" s="2"/>
      <c r="AQ181" s="1"/>
      <c r="BG181" s="1"/>
    </row>
    <row r="182" spans="15:59">
      <c r="O182" s="1"/>
      <c r="P182" s="1"/>
      <c r="AA182" s="1"/>
      <c r="AB182" s="1"/>
      <c r="AG182" s="1"/>
      <c r="AH182" s="1"/>
      <c r="AK182" s="1"/>
      <c r="AL182" s="1"/>
      <c r="AM182" s="2"/>
      <c r="AN182" s="2"/>
      <c r="AQ182" s="1"/>
      <c r="BG182" s="1"/>
    </row>
    <row r="183" spans="15:59">
      <c r="O183" s="1"/>
      <c r="P183" s="1"/>
      <c r="AA183" s="1"/>
      <c r="AB183" s="1"/>
      <c r="AG183" s="1"/>
      <c r="AH183" s="1"/>
      <c r="AK183" s="1"/>
      <c r="AL183" s="1"/>
      <c r="AM183" s="2"/>
      <c r="AN183" s="2"/>
      <c r="AQ183" s="1"/>
      <c r="BG183" s="1"/>
    </row>
    <row r="184" spans="15:59">
      <c r="O184" s="1"/>
      <c r="P184" s="1"/>
      <c r="AA184" s="1"/>
      <c r="AB184" s="1"/>
      <c r="AG184" s="1"/>
      <c r="AH184" s="1"/>
      <c r="AK184" s="1"/>
      <c r="AL184" s="1"/>
      <c r="AM184" s="2"/>
      <c r="AN184" s="2"/>
      <c r="AQ184" s="1"/>
      <c r="BG184" s="1"/>
    </row>
    <row r="185" spans="15:59">
      <c r="O185" s="1"/>
      <c r="P185" s="1"/>
      <c r="AA185" s="1"/>
      <c r="AB185" s="1"/>
      <c r="AG185" s="1"/>
      <c r="AH185" s="1"/>
      <c r="AK185" s="1"/>
      <c r="AL185" s="1"/>
      <c r="AM185" s="2"/>
      <c r="AN185" s="2"/>
      <c r="AQ185" s="1"/>
      <c r="BG185" s="1"/>
    </row>
    <row r="186" spans="15:59">
      <c r="O186" s="1"/>
      <c r="P186" s="1"/>
      <c r="AA186" s="1"/>
      <c r="AB186" s="1"/>
      <c r="AG186" s="1"/>
      <c r="AH186" s="1"/>
      <c r="AK186" s="1"/>
      <c r="AL186" s="1"/>
      <c r="AM186" s="2"/>
      <c r="AN186" s="2"/>
      <c r="AQ186" s="1"/>
      <c r="BG186" s="1"/>
    </row>
    <row r="187" spans="15:59">
      <c r="O187" s="1"/>
      <c r="P187" s="1"/>
      <c r="AA187" s="1"/>
      <c r="AB187" s="1"/>
      <c r="AG187" s="1"/>
      <c r="AH187" s="1"/>
      <c r="AK187" s="1"/>
      <c r="AL187" s="1"/>
      <c r="AM187" s="2"/>
      <c r="AN187" s="2"/>
      <c r="AQ187" s="1"/>
      <c r="BG187" s="1"/>
    </row>
    <row r="188" spans="15:59">
      <c r="O188" s="1"/>
      <c r="P188" s="1"/>
      <c r="AA188" s="1"/>
      <c r="AB188" s="1"/>
      <c r="AG188" s="1"/>
      <c r="AH188" s="1"/>
      <c r="AK188" s="1"/>
      <c r="AL188" s="1"/>
      <c r="AM188" s="2"/>
      <c r="AN188" s="2"/>
      <c r="AQ188" s="1"/>
      <c r="BG188" s="1"/>
    </row>
    <row r="189" spans="15:59">
      <c r="O189" s="1"/>
      <c r="P189" s="1"/>
      <c r="AA189" s="1"/>
      <c r="AB189" s="1"/>
      <c r="AG189" s="1"/>
      <c r="AH189" s="1"/>
      <c r="AK189" s="1"/>
      <c r="AL189" s="1"/>
      <c r="AM189" s="2"/>
      <c r="AN189" s="2"/>
      <c r="AQ189" s="1"/>
      <c r="BG189" s="1"/>
    </row>
    <row r="190" spans="15:59">
      <c r="O190" s="1"/>
      <c r="P190" s="1"/>
      <c r="AA190" s="1"/>
      <c r="AB190" s="1"/>
      <c r="AG190" s="1"/>
      <c r="AH190" s="1"/>
      <c r="AK190" s="1"/>
      <c r="AL190" s="1"/>
      <c r="AM190" s="2"/>
      <c r="AN190" s="2"/>
      <c r="AQ190" s="1"/>
      <c r="BG190" s="1"/>
    </row>
    <row r="191" spans="15:59">
      <c r="O191" s="1"/>
      <c r="P191" s="1"/>
      <c r="AA191" s="1"/>
      <c r="AB191" s="1"/>
      <c r="AG191" s="1"/>
      <c r="AH191" s="1"/>
      <c r="AK191" s="1"/>
      <c r="AL191" s="1"/>
      <c r="AM191" s="2"/>
      <c r="AN191" s="2"/>
      <c r="AQ191" s="1"/>
      <c r="BG191" s="1"/>
    </row>
    <row r="192" spans="15:59">
      <c r="O192" s="1"/>
      <c r="P192" s="1"/>
      <c r="AA192" s="1"/>
      <c r="AB192" s="1"/>
      <c r="AG192" s="1"/>
      <c r="AH192" s="1"/>
      <c r="AK192" s="1"/>
      <c r="AL192" s="1"/>
      <c r="AM192" s="2"/>
      <c r="AN192" s="2"/>
      <c r="AQ192" s="1"/>
      <c r="BG192" s="1"/>
    </row>
    <row r="193" spans="15:59">
      <c r="O193" s="1"/>
      <c r="P193" s="1"/>
      <c r="AA193" s="1"/>
      <c r="AB193" s="1"/>
      <c r="AG193" s="1"/>
      <c r="AH193" s="1"/>
      <c r="AK193" s="1"/>
      <c r="AL193" s="1"/>
      <c r="AM193" s="2"/>
      <c r="AN193" s="2"/>
      <c r="AQ193" s="1"/>
      <c r="BG193" s="1"/>
    </row>
    <row r="194" spans="15:59">
      <c r="O194" s="1"/>
      <c r="P194" s="1"/>
      <c r="AA194" s="1"/>
      <c r="AB194" s="1"/>
      <c r="AG194" s="1"/>
      <c r="AH194" s="1"/>
      <c r="AK194" s="1"/>
      <c r="AL194" s="1"/>
      <c r="AM194" s="2"/>
      <c r="AN194" s="2"/>
      <c r="AQ194" s="1"/>
      <c r="BG194" s="1"/>
    </row>
    <row r="195" spans="15:59">
      <c r="O195" s="1"/>
      <c r="P195" s="1"/>
      <c r="AA195" s="1"/>
      <c r="AB195" s="1"/>
      <c r="AG195" s="1"/>
      <c r="AH195" s="1"/>
      <c r="AK195" s="1"/>
      <c r="AL195" s="1"/>
      <c r="AM195" s="2"/>
      <c r="AN195" s="2"/>
      <c r="AQ195" s="1"/>
      <c r="BG195" s="1"/>
    </row>
    <row r="196" spans="15:59">
      <c r="O196" s="1"/>
      <c r="P196" s="1"/>
      <c r="AA196" s="1"/>
      <c r="AB196" s="1"/>
      <c r="AG196" s="1"/>
      <c r="AH196" s="1"/>
      <c r="AK196" s="1"/>
      <c r="AL196" s="1"/>
      <c r="AM196" s="2"/>
      <c r="AN196" s="2"/>
      <c r="AQ196" s="1"/>
      <c r="BG196" s="1"/>
    </row>
    <row r="197" spans="15:59">
      <c r="O197" s="1"/>
      <c r="P197" s="1"/>
      <c r="AA197" s="1"/>
      <c r="AB197" s="1"/>
      <c r="AG197" s="1"/>
      <c r="AH197" s="1"/>
      <c r="AK197" s="1"/>
      <c r="AL197" s="1"/>
      <c r="AM197" s="2"/>
      <c r="AN197" s="2"/>
      <c r="AQ197" s="1"/>
      <c r="BG197" s="1"/>
    </row>
    <row r="198" spans="15:59">
      <c r="O198" s="1"/>
      <c r="P198" s="1"/>
      <c r="AA198" s="1"/>
      <c r="AB198" s="1"/>
      <c r="AG198" s="1"/>
      <c r="AH198" s="1"/>
      <c r="AK198" s="1"/>
      <c r="AL198" s="1"/>
      <c r="AM198" s="2"/>
      <c r="AN198" s="2"/>
      <c r="AQ198" s="1"/>
      <c r="BG198" s="1"/>
    </row>
    <row r="199" spans="15:59">
      <c r="O199" s="1"/>
      <c r="P199" s="1"/>
      <c r="AA199" s="1"/>
      <c r="AB199" s="1"/>
      <c r="AG199" s="1"/>
      <c r="AH199" s="1"/>
      <c r="AK199" s="1"/>
      <c r="AL199" s="1"/>
      <c r="AM199" s="2"/>
      <c r="AN199" s="2"/>
      <c r="AQ199" s="1"/>
      <c r="BG199" s="1"/>
    </row>
    <row r="200" spans="15:59">
      <c r="O200" s="1"/>
      <c r="P200" s="1"/>
      <c r="AA200" s="1"/>
      <c r="AB200" s="1"/>
      <c r="AG200" s="1"/>
      <c r="AH200" s="1"/>
      <c r="AK200" s="1"/>
      <c r="AL200" s="1"/>
      <c r="AM200" s="2"/>
      <c r="AN200" s="2"/>
      <c r="AQ200" s="1"/>
      <c r="BG200" s="1"/>
    </row>
    <row r="201" spans="15:59">
      <c r="O201" s="1"/>
      <c r="P201" s="1"/>
      <c r="AA201" s="1"/>
      <c r="AB201" s="1"/>
      <c r="AG201" s="1"/>
      <c r="AH201" s="1"/>
      <c r="AK201" s="1"/>
      <c r="AL201" s="1"/>
      <c r="AM201" s="2"/>
      <c r="AN201" s="2"/>
      <c r="AQ201" s="1"/>
      <c r="BG201" s="1"/>
    </row>
    <row r="202" spans="15:59">
      <c r="O202" s="1"/>
      <c r="P202" s="1"/>
      <c r="AA202" s="1"/>
      <c r="AB202" s="1"/>
      <c r="AG202" s="1"/>
      <c r="AH202" s="1"/>
      <c r="AK202" s="1"/>
      <c r="AL202" s="1"/>
      <c r="AM202" s="2"/>
      <c r="AN202" s="2"/>
      <c r="AQ202" s="1"/>
      <c r="BG202" s="1"/>
    </row>
    <row r="203" spans="15:59">
      <c r="O203" s="1"/>
      <c r="P203" s="1"/>
      <c r="AA203" s="1"/>
      <c r="AB203" s="1"/>
      <c r="AG203" s="1"/>
      <c r="AH203" s="1"/>
      <c r="AK203" s="1"/>
      <c r="AL203" s="1"/>
      <c r="AM203" s="2"/>
      <c r="AN203" s="2"/>
      <c r="AQ203" s="1"/>
      <c r="BG203" s="1"/>
    </row>
    <row r="204" spans="15:59">
      <c r="O204" s="1"/>
      <c r="P204" s="1"/>
      <c r="AA204" s="1"/>
      <c r="AB204" s="1"/>
      <c r="AG204" s="1"/>
      <c r="AH204" s="1"/>
      <c r="AK204" s="1"/>
      <c r="AL204" s="1"/>
      <c r="AM204" s="2"/>
      <c r="AN204" s="2"/>
      <c r="AQ204" s="1"/>
      <c r="BG204" s="1"/>
    </row>
    <row r="205" spans="15:59">
      <c r="O205" s="1"/>
      <c r="P205" s="1"/>
      <c r="AA205" s="1"/>
      <c r="AB205" s="1"/>
      <c r="AG205" s="1"/>
      <c r="AH205" s="1"/>
      <c r="AK205" s="1"/>
      <c r="AL205" s="1"/>
      <c r="AM205" s="2"/>
      <c r="AN205" s="2"/>
      <c r="AQ205" s="1"/>
      <c r="BG205" s="1"/>
    </row>
    <row r="206" spans="15:59">
      <c r="O206" s="1"/>
      <c r="P206" s="1"/>
      <c r="AA206" s="1"/>
      <c r="AB206" s="1"/>
      <c r="AG206" s="1"/>
      <c r="AH206" s="1"/>
      <c r="AK206" s="1"/>
      <c r="AL206" s="1"/>
      <c r="AM206" s="2"/>
      <c r="AN206" s="2"/>
      <c r="AQ206" s="1"/>
      <c r="BG206" s="1"/>
    </row>
    <row r="207" spans="15:59">
      <c r="O207" s="1"/>
      <c r="P207" s="1"/>
      <c r="AA207" s="1"/>
      <c r="AB207" s="1"/>
      <c r="AG207" s="1"/>
      <c r="AH207" s="1"/>
      <c r="AK207" s="1"/>
      <c r="AL207" s="1"/>
      <c r="AM207" s="2"/>
      <c r="AN207" s="2"/>
      <c r="AQ207" s="1"/>
      <c r="BG207" s="1"/>
    </row>
    <row r="208" spans="15:59">
      <c r="O208" s="1"/>
      <c r="P208" s="1"/>
      <c r="AA208" s="1"/>
      <c r="AB208" s="1"/>
      <c r="AG208" s="1"/>
      <c r="AH208" s="1"/>
      <c r="AK208" s="1"/>
      <c r="AL208" s="1"/>
      <c r="AM208" s="2"/>
      <c r="AN208" s="2"/>
      <c r="AQ208" s="1"/>
      <c r="BG208" s="1"/>
    </row>
    <row r="209" spans="15:59">
      <c r="O209" s="1"/>
      <c r="P209" s="1"/>
      <c r="AA209" s="1"/>
      <c r="AB209" s="1"/>
      <c r="AG209" s="1"/>
      <c r="AH209" s="1"/>
      <c r="AK209" s="1"/>
      <c r="AL209" s="1"/>
      <c r="AM209" s="2"/>
      <c r="AN209" s="2"/>
      <c r="AQ209" s="1"/>
      <c r="BG209" s="1"/>
    </row>
    <row r="210" spans="15:59">
      <c r="O210" s="1"/>
      <c r="P210" s="1"/>
      <c r="AA210" s="1"/>
      <c r="AB210" s="1"/>
      <c r="AG210" s="1"/>
      <c r="AH210" s="1"/>
      <c r="AK210" s="1"/>
      <c r="AL210" s="1"/>
      <c r="AM210" s="2"/>
      <c r="AN210" s="2"/>
      <c r="AQ210" s="1"/>
      <c r="BG210" s="1"/>
    </row>
    <row r="211" spans="15:59">
      <c r="O211" s="1"/>
      <c r="P211" s="1"/>
      <c r="AA211" s="1"/>
      <c r="AB211" s="1"/>
      <c r="AG211" s="1"/>
      <c r="AH211" s="1"/>
      <c r="AK211" s="1"/>
      <c r="AL211" s="1"/>
      <c r="AM211" s="2"/>
      <c r="AN211" s="2"/>
      <c r="AQ211" s="1"/>
      <c r="BG211" s="1"/>
    </row>
    <row r="212" spans="15:59">
      <c r="O212" s="1"/>
      <c r="P212" s="1"/>
      <c r="AA212" s="1"/>
      <c r="AB212" s="1"/>
      <c r="AG212" s="1"/>
      <c r="AH212" s="1"/>
      <c r="AK212" s="1"/>
      <c r="AL212" s="1"/>
      <c r="AM212" s="2"/>
      <c r="AN212" s="2"/>
      <c r="AQ212" s="1"/>
      <c r="BG212" s="1"/>
    </row>
    <row r="213" spans="15:59">
      <c r="O213" s="1"/>
      <c r="P213" s="1"/>
      <c r="AA213" s="1"/>
      <c r="AB213" s="1"/>
      <c r="AG213" s="1"/>
      <c r="AH213" s="1"/>
      <c r="AK213" s="1"/>
      <c r="AL213" s="1"/>
      <c r="AM213" s="2"/>
      <c r="AN213" s="2"/>
      <c r="AQ213" s="1"/>
      <c r="BG213" s="1"/>
    </row>
    <row r="214" spans="15:59">
      <c r="O214" s="1"/>
      <c r="P214" s="1"/>
      <c r="AA214" s="1"/>
      <c r="AB214" s="1"/>
      <c r="AG214" s="1"/>
      <c r="AH214" s="1"/>
      <c r="AK214" s="1"/>
      <c r="AL214" s="1"/>
      <c r="AM214" s="2"/>
      <c r="AN214" s="2"/>
      <c r="AQ214" s="1"/>
      <c r="BG214" s="1"/>
    </row>
    <row r="215" spans="15:59">
      <c r="O215" s="1"/>
      <c r="P215" s="1"/>
      <c r="AA215" s="1"/>
      <c r="AB215" s="1"/>
      <c r="AG215" s="1"/>
      <c r="AH215" s="1"/>
      <c r="AK215" s="1"/>
      <c r="AL215" s="1"/>
      <c r="AM215" s="2"/>
      <c r="AN215" s="2"/>
      <c r="AQ215" s="1"/>
      <c r="BG215" s="1"/>
    </row>
    <row r="216" spans="15:59">
      <c r="O216" s="1"/>
      <c r="P216" s="1"/>
      <c r="AA216" s="1"/>
      <c r="AB216" s="1"/>
      <c r="AG216" s="1"/>
      <c r="AH216" s="1"/>
      <c r="AK216" s="1"/>
      <c r="AL216" s="1"/>
      <c r="AM216" s="2"/>
      <c r="AN216" s="2"/>
      <c r="AQ216" s="1"/>
      <c r="BG216" s="1"/>
    </row>
    <row r="217" spans="15:59">
      <c r="O217" s="1"/>
      <c r="P217" s="1"/>
      <c r="AA217" s="1"/>
      <c r="AB217" s="1"/>
      <c r="AG217" s="1"/>
      <c r="AH217" s="1"/>
      <c r="AK217" s="1"/>
      <c r="AL217" s="1"/>
      <c r="AM217" s="2"/>
      <c r="AN217" s="2"/>
      <c r="AQ217" s="1"/>
      <c r="BG217" s="1"/>
    </row>
    <row r="218" spans="15:59">
      <c r="O218" s="1"/>
      <c r="P218" s="1"/>
      <c r="AA218" s="1"/>
      <c r="AB218" s="1"/>
      <c r="AG218" s="1"/>
      <c r="AH218" s="1"/>
      <c r="AK218" s="1"/>
      <c r="AL218" s="1"/>
      <c r="AM218" s="2"/>
      <c r="AN218" s="2"/>
      <c r="AQ218" s="1"/>
      <c r="BG218" s="1"/>
    </row>
    <row r="219" spans="15:59">
      <c r="O219" s="1"/>
      <c r="P219" s="1"/>
      <c r="AA219" s="1"/>
      <c r="AB219" s="1"/>
      <c r="AG219" s="1"/>
      <c r="AH219" s="1"/>
      <c r="AK219" s="1"/>
      <c r="AL219" s="1"/>
      <c r="AM219" s="2"/>
      <c r="AN219" s="2"/>
      <c r="AQ219" s="1"/>
      <c r="BG219" s="1"/>
    </row>
    <row r="220" spans="15:59">
      <c r="O220" s="1"/>
      <c r="P220" s="1"/>
      <c r="AA220" s="1"/>
      <c r="AB220" s="1"/>
      <c r="AG220" s="1"/>
      <c r="AH220" s="1"/>
      <c r="AK220" s="1"/>
      <c r="AL220" s="1"/>
      <c r="AM220" s="2"/>
      <c r="AN220" s="2"/>
      <c r="AQ220" s="1"/>
      <c r="BG220" s="1"/>
    </row>
    <row r="221" spans="15:59">
      <c r="O221" s="1"/>
      <c r="P221" s="1"/>
      <c r="AA221" s="1"/>
      <c r="AB221" s="1"/>
      <c r="AG221" s="1"/>
      <c r="AH221" s="1"/>
      <c r="AK221" s="1"/>
      <c r="AL221" s="1"/>
      <c r="AM221" s="2"/>
      <c r="AN221" s="2"/>
      <c r="AQ221" s="1"/>
      <c r="BG221" s="1"/>
    </row>
    <row r="222" spans="15:59">
      <c r="O222" s="1"/>
      <c r="P222" s="1"/>
      <c r="AA222" s="1"/>
      <c r="AB222" s="1"/>
      <c r="AG222" s="1"/>
      <c r="AH222" s="1"/>
      <c r="AK222" s="1"/>
      <c r="AL222" s="1"/>
      <c r="AM222" s="2"/>
      <c r="AN222" s="2"/>
      <c r="AQ222" s="1"/>
      <c r="BG222" s="1"/>
    </row>
    <row r="223" spans="15:59">
      <c r="O223" s="1"/>
      <c r="P223" s="1"/>
      <c r="AA223" s="1"/>
      <c r="AB223" s="1"/>
      <c r="AG223" s="1"/>
      <c r="AH223" s="1"/>
      <c r="AK223" s="1"/>
      <c r="AL223" s="1"/>
      <c r="AM223" s="2"/>
      <c r="AN223" s="2"/>
      <c r="AQ223" s="1"/>
      <c r="BG223" s="1"/>
    </row>
    <row r="224" spans="15:59">
      <c r="O224" s="1"/>
      <c r="P224" s="1"/>
      <c r="AA224" s="1"/>
      <c r="AB224" s="1"/>
      <c r="AG224" s="1"/>
      <c r="AH224" s="1"/>
      <c r="AK224" s="1"/>
      <c r="AL224" s="1"/>
      <c r="AM224" s="2"/>
      <c r="AN224" s="2"/>
      <c r="AQ224" s="1"/>
      <c r="BG224" s="1"/>
    </row>
    <row r="225" spans="15:59">
      <c r="O225" s="1"/>
      <c r="P225" s="1"/>
      <c r="AA225" s="1"/>
      <c r="AB225" s="1"/>
      <c r="AG225" s="1"/>
      <c r="AH225" s="1"/>
      <c r="AK225" s="1"/>
      <c r="AL225" s="1"/>
      <c r="AM225" s="2"/>
      <c r="AN225" s="2"/>
      <c r="AQ225" s="1"/>
      <c r="BG225" s="1"/>
    </row>
    <row r="226" spans="15:59">
      <c r="O226" s="1"/>
      <c r="P226" s="1"/>
      <c r="AA226" s="1"/>
      <c r="AB226" s="1"/>
      <c r="AG226" s="1"/>
      <c r="AH226" s="1"/>
      <c r="AK226" s="1"/>
      <c r="AL226" s="1"/>
      <c r="AM226" s="2"/>
      <c r="AN226" s="2"/>
      <c r="AQ226" s="1"/>
      <c r="BG226" s="1"/>
    </row>
    <row r="227" spans="15:59">
      <c r="O227" s="1"/>
      <c r="P227" s="1"/>
      <c r="AA227" s="1"/>
      <c r="AB227" s="1"/>
      <c r="AG227" s="1"/>
      <c r="AH227" s="1"/>
      <c r="AK227" s="1"/>
      <c r="AL227" s="1"/>
      <c r="AM227" s="2"/>
      <c r="AN227" s="2"/>
      <c r="AQ227" s="1"/>
      <c r="BG227" s="1"/>
    </row>
    <row r="228" spans="15:59">
      <c r="O228" s="1"/>
      <c r="P228" s="1"/>
      <c r="AA228" s="1"/>
      <c r="AB228" s="1"/>
      <c r="AG228" s="1"/>
      <c r="AH228" s="1"/>
      <c r="AK228" s="1"/>
      <c r="AL228" s="1"/>
      <c r="AM228" s="2"/>
      <c r="AN228" s="2"/>
      <c r="AQ228" s="1"/>
      <c r="BG228" s="1"/>
    </row>
    <row r="229" spans="15:59">
      <c r="O229" s="1"/>
      <c r="P229" s="1"/>
      <c r="AA229" s="1"/>
      <c r="AB229" s="1"/>
      <c r="AG229" s="1"/>
      <c r="AH229" s="1"/>
      <c r="AK229" s="1"/>
      <c r="AL229" s="1"/>
      <c r="AM229" s="2"/>
      <c r="AN229" s="2"/>
      <c r="AQ229" s="1"/>
      <c r="BG229" s="1"/>
    </row>
    <row r="230" spans="15:59">
      <c r="O230" s="1"/>
      <c r="P230" s="1"/>
      <c r="AA230" s="1"/>
      <c r="AB230" s="1"/>
      <c r="AG230" s="1"/>
      <c r="AH230" s="1"/>
      <c r="AK230" s="1"/>
      <c r="AL230" s="1"/>
      <c r="AM230" s="2"/>
      <c r="AN230" s="2"/>
      <c r="AQ230" s="1"/>
      <c r="BG230" s="1"/>
    </row>
    <row r="231" spans="15:59">
      <c r="O231" s="1"/>
      <c r="P231" s="1"/>
      <c r="AA231" s="1"/>
      <c r="AB231" s="1"/>
      <c r="AG231" s="1"/>
      <c r="AH231" s="1"/>
      <c r="AK231" s="1"/>
      <c r="AL231" s="1"/>
      <c r="AM231" s="2"/>
      <c r="AN231" s="2"/>
      <c r="AQ231" s="1"/>
      <c r="BG231" s="1"/>
    </row>
    <row r="232" spans="15:59">
      <c r="O232" s="1"/>
      <c r="P232" s="1"/>
      <c r="AA232" s="1"/>
      <c r="AB232" s="1"/>
      <c r="AG232" s="1"/>
      <c r="AH232" s="1"/>
      <c r="AK232" s="1"/>
      <c r="AL232" s="1"/>
      <c r="AM232" s="2"/>
      <c r="AN232" s="2"/>
      <c r="AQ232" s="1"/>
      <c r="BG232" s="1"/>
    </row>
    <row r="233" spans="15:59">
      <c r="O233" s="1"/>
      <c r="P233" s="1"/>
      <c r="AA233" s="1"/>
      <c r="AB233" s="1"/>
      <c r="AG233" s="1"/>
      <c r="AH233" s="1"/>
      <c r="AK233" s="1"/>
      <c r="AL233" s="1"/>
      <c r="AM233" s="2"/>
      <c r="AN233" s="2"/>
      <c r="AQ233" s="1"/>
      <c r="BG233" s="1"/>
    </row>
    <row r="234" spans="15:59">
      <c r="O234" s="1"/>
      <c r="P234" s="1"/>
      <c r="AA234" s="1"/>
      <c r="AB234" s="1"/>
      <c r="AG234" s="1"/>
      <c r="AH234" s="1"/>
      <c r="AK234" s="1"/>
      <c r="AL234" s="1"/>
      <c r="AM234" s="2"/>
      <c r="AN234" s="2"/>
      <c r="AQ234" s="1"/>
      <c r="BG234" s="1"/>
    </row>
    <row r="235" spans="15:59">
      <c r="O235" s="1"/>
      <c r="P235" s="1"/>
      <c r="AA235" s="1"/>
      <c r="AB235" s="1"/>
      <c r="AG235" s="1"/>
      <c r="AH235" s="1"/>
      <c r="AK235" s="1"/>
      <c r="AL235" s="1"/>
      <c r="AM235" s="2"/>
      <c r="AN235" s="2"/>
      <c r="AQ235" s="1"/>
      <c r="BG235" s="1"/>
    </row>
    <row r="236" spans="15:59">
      <c r="O236" s="1"/>
      <c r="P236" s="1"/>
      <c r="AA236" s="1"/>
      <c r="AB236" s="1"/>
      <c r="AG236" s="1"/>
      <c r="AH236" s="1"/>
      <c r="AK236" s="1"/>
      <c r="AL236" s="1"/>
      <c r="AM236" s="2"/>
      <c r="AN236" s="2"/>
      <c r="AQ236" s="1"/>
      <c r="BG236" s="1"/>
    </row>
    <row r="237" spans="15:59">
      <c r="O237" s="1"/>
      <c r="P237" s="1"/>
      <c r="AA237" s="1"/>
      <c r="AB237" s="1"/>
      <c r="AG237" s="1"/>
      <c r="AH237" s="1"/>
      <c r="AK237" s="1"/>
      <c r="AL237" s="1"/>
      <c r="AM237" s="2"/>
      <c r="AN237" s="2"/>
      <c r="AQ237" s="1"/>
      <c r="BG237" s="1"/>
    </row>
    <row r="238" spans="15:59">
      <c r="O238" s="1"/>
      <c r="P238" s="1"/>
      <c r="AA238" s="1"/>
      <c r="AB238" s="1"/>
      <c r="AG238" s="1"/>
      <c r="AH238" s="1"/>
      <c r="AK238" s="1"/>
      <c r="AL238" s="1"/>
      <c r="AM238" s="2"/>
      <c r="AN238" s="2"/>
      <c r="AQ238" s="1"/>
      <c r="BG238" s="1"/>
    </row>
    <row r="239" spans="15:59">
      <c r="O239" s="1"/>
      <c r="P239" s="1"/>
      <c r="AA239" s="1"/>
      <c r="AB239" s="1"/>
      <c r="AG239" s="1"/>
      <c r="AH239" s="1"/>
      <c r="AK239" s="1"/>
      <c r="AL239" s="1"/>
      <c r="AM239" s="2"/>
      <c r="AN239" s="2"/>
      <c r="AQ239" s="1"/>
      <c r="BG239" s="1"/>
    </row>
    <row r="240" spans="15:59">
      <c r="O240" s="1"/>
      <c r="P240" s="1"/>
      <c r="AA240" s="1"/>
      <c r="AB240" s="1"/>
      <c r="AG240" s="1"/>
      <c r="AH240" s="1"/>
      <c r="AK240" s="1"/>
      <c r="AL240" s="1"/>
      <c r="AM240" s="2"/>
      <c r="AN240" s="2"/>
      <c r="AQ240" s="1"/>
      <c r="BG240" s="1"/>
    </row>
    <row r="241" spans="15:59">
      <c r="O241" s="1"/>
      <c r="P241" s="1"/>
      <c r="AA241" s="1"/>
      <c r="AB241" s="1"/>
      <c r="AG241" s="1"/>
      <c r="AH241" s="1"/>
      <c r="AK241" s="1"/>
      <c r="AL241" s="1"/>
      <c r="AM241" s="2"/>
      <c r="AN241" s="2"/>
      <c r="AQ241" s="1"/>
      <c r="BG241" s="1"/>
    </row>
    <row r="242" spans="15:59">
      <c r="O242" s="1"/>
      <c r="P242" s="1"/>
      <c r="AA242" s="1"/>
      <c r="AB242" s="1"/>
      <c r="AG242" s="1"/>
      <c r="AH242" s="1"/>
      <c r="AK242" s="1"/>
      <c r="AL242" s="1"/>
      <c r="AM242" s="2"/>
      <c r="AN242" s="2"/>
      <c r="AQ242" s="1"/>
      <c r="BG242" s="1"/>
    </row>
    <row r="243" spans="15:59">
      <c r="O243" s="1"/>
      <c r="P243" s="1"/>
      <c r="AA243" s="1"/>
      <c r="AB243" s="1"/>
      <c r="AG243" s="1"/>
      <c r="AH243" s="1"/>
      <c r="AK243" s="1"/>
      <c r="AL243" s="1"/>
      <c r="AM243" s="2"/>
      <c r="AN243" s="2"/>
      <c r="AQ243" s="1"/>
      <c r="BG243" s="1"/>
    </row>
    <row r="244" spans="15:59">
      <c r="O244" s="1"/>
      <c r="P244" s="1"/>
      <c r="AA244" s="1"/>
      <c r="AB244" s="1"/>
      <c r="AG244" s="1"/>
      <c r="AH244" s="1"/>
      <c r="AK244" s="1"/>
      <c r="AL244" s="1"/>
      <c r="AM244" s="2"/>
      <c r="AN244" s="2"/>
      <c r="AQ244" s="1"/>
      <c r="BG244" s="1"/>
    </row>
    <row r="245" spans="15:59">
      <c r="O245" s="1"/>
      <c r="P245" s="1"/>
      <c r="AA245" s="1"/>
      <c r="AB245" s="1"/>
      <c r="AG245" s="1"/>
      <c r="AH245" s="1"/>
      <c r="AK245" s="1"/>
      <c r="AL245" s="1"/>
      <c r="AM245" s="2"/>
      <c r="AN245" s="2"/>
      <c r="AQ245" s="1"/>
      <c r="BG245" s="1"/>
    </row>
    <row r="246" spans="15:59">
      <c r="O246" s="1"/>
      <c r="P246" s="1"/>
      <c r="AA246" s="1"/>
      <c r="AB246" s="1"/>
      <c r="AG246" s="1"/>
      <c r="AH246" s="1"/>
      <c r="AK246" s="1"/>
      <c r="AL246" s="1"/>
      <c r="AM246" s="2"/>
      <c r="AN246" s="2"/>
      <c r="AQ246" s="1"/>
      <c r="BG246" s="1"/>
    </row>
    <row r="247" spans="15:59">
      <c r="O247" s="1"/>
      <c r="P247" s="1"/>
      <c r="AA247" s="1"/>
      <c r="AB247" s="1"/>
      <c r="AG247" s="1"/>
      <c r="AH247" s="1"/>
      <c r="AK247" s="1"/>
      <c r="AL247" s="1"/>
      <c r="AM247" s="2"/>
      <c r="AN247" s="2"/>
      <c r="AQ247" s="1"/>
      <c r="BG247" s="1"/>
    </row>
    <row r="248" spans="15:59">
      <c r="O248" s="1"/>
      <c r="P248" s="1"/>
      <c r="AA248" s="1"/>
      <c r="AB248" s="1"/>
      <c r="AG248" s="1"/>
      <c r="AH248" s="1"/>
      <c r="AK248" s="1"/>
      <c r="AL248" s="1"/>
      <c r="AM248" s="2"/>
      <c r="AN248" s="2"/>
      <c r="AQ248" s="1"/>
      <c r="BG248" s="1"/>
    </row>
    <row r="249" spans="15:59">
      <c r="O249" s="1"/>
      <c r="P249" s="1"/>
      <c r="AA249" s="1"/>
      <c r="AB249" s="1"/>
      <c r="AG249" s="1"/>
      <c r="AH249" s="1"/>
      <c r="AK249" s="1"/>
      <c r="AL249" s="1"/>
      <c r="AM249" s="2"/>
      <c r="AN249" s="2"/>
      <c r="AQ249" s="1"/>
      <c r="BG249" s="1"/>
    </row>
    <row r="250" spans="15:59">
      <c r="O250" s="1"/>
      <c r="P250" s="1"/>
      <c r="AA250" s="1"/>
      <c r="AB250" s="1"/>
      <c r="AG250" s="1"/>
      <c r="AH250" s="1"/>
      <c r="AK250" s="1"/>
      <c r="AL250" s="1"/>
      <c r="AM250" s="2"/>
      <c r="AN250" s="2"/>
      <c r="AQ250" s="1"/>
      <c r="BG250" s="1"/>
    </row>
    <row r="251" spans="15:59">
      <c r="O251" s="1"/>
      <c r="P251" s="1"/>
      <c r="AA251" s="1"/>
      <c r="AB251" s="1"/>
      <c r="AG251" s="1"/>
      <c r="AH251" s="1"/>
      <c r="AK251" s="1"/>
      <c r="AL251" s="1"/>
      <c r="AM251" s="2"/>
      <c r="AN251" s="2"/>
      <c r="AQ251" s="1"/>
      <c r="BG251" s="1"/>
    </row>
    <row r="252" spans="15:59">
      <c r="O252" s="1"/>
      <c r="P252" s="1"/>
      <c r="AA252" s="1"/>
      <c r="AB252" s="1"/>
      <c r="AG252" s="1"/>
      <c r="AH252" s="1"/>
      <c r="AK252" s="1"/>
      <c r="AL252" s="1"/>
      <c r="AM252" s="2"/>
      <c r="AN252" s="2"/>
      <c r="AQ252" s="1"/>
      <c r="BG252" s="1"/>
    </row>
    <row r="253" spans="15:59">
      <c r="O253" s="1"/>
      <c r="P253" s="1"/>
      <c r="AA253" s="1"/>
      <c r="AB253" s="1"/>
      <c r="AG253" s="1"/>
      <c r="AH253" s="1"/>
      <c r="AK253" s="1"/>
      <c r="AL253" s="1"/>
      <c r="AM253" s="2"/>
      <c r="AN253" s="2"/>
      <c r="AQ253" s="1"/>
      <c r="BG253" s="1"/>
    </row>
    <row r="254" spans="15:59">
      <c r="O254" s="1"/>
      <c r="P254" s="1"/>
      <c r="AA254" s="1"/>
      <c r="AB254" s="1"/>
      <c r="AG254" s="1"/>
      <c r="AH254" s="1"/>
      <c r="AK254" s="1"/>
      <c r="AL254" s="1"/>
      <c r="AM254" s="2"/>
      <c r="AN254" s="2"/>
      <c r="AQ254" s="1"/>
      <c r="BG254" s="1"/>
    </row>
    <row r="255" spans="15:59">
      <c r="O255" s="1"/>
      <c r="P255" s="1"/>
      <c r="AA255" s="1"/>
      <c r="AB255" s="1"/>
      <c r="AG255" s="1"/>
      <c r="AH255" s="1"/>
      <c r="AK255" s="1"/>
      <c r="AL255" s="1"/>
      <c r="AM255" s="2"/>
      <c r="AN255" s="2"/>
      <c r="AQ255" s="1"/>
      <c r="BG255" s="1"/>
    </row>
    <row r="256" spans="15:59">
      <c r="O256" s="1"/>
      <c r="P256" s="1"/>
      <c r="AA256" s="1"/>
      <c r="AB256" s="1"/>
      <c r="AG256" s="1"/>
      <c r="AH256" s="1"/>
      <c r="AK256" s="1"/>
      <c r="AL256" s="1"/>
      <c r="AM256" s="2"/>
      <c r="AN256" s="2"/>
      <c r="AQ256" s="1"/>
      <c r="BG256" s="1"/>
    </row>
    <row r="257" spans="15:59">
      <c r="O257" s="1"/>
      <c r="P257" s="1"/>
      <c r="AA257" s="1"/>
      <c r="AB257" s="1"/>
      <c r="AG257" s="1"/>
      <c r="AH257" s="1"/>
      <c r="AK257" s="1"/>
      <c r="AL257" s="1"/>
      <c r="AM257" s="2"/>
      <c r="AN257" s="2"/>
      <c r="AQ257" s="1"/>
      <c r="BG257" s="1"/>
    </row>
    <row r="258" spans="15:59">
      <c r="O258" s="1"/>
      <c r="P258" s="1"/>
      <c r="AA258" s="1"/>
      <c r="AB258" s="1"/>
      <c r="AG258" s="1"/>
      <c r="AH258" s="1"/>
      <c r="AK258" s="1"/>
      <c r="AL258" s="1"/>
      <c r="AM258" s="2"/>
      <c r="AN258" s="2"/>
      <c r="AQ258" s="1"/>
      <c r="BG258" s="1"/>
    </row>
    <row r="259" spans="15:59">
      <c r="O259" s="1"/>
      <c r="P259" s="1"/>
      <c r="AA259" s="1"/>
      <c r="AB259" s="1"/>
      <c r="AG259" s="1"/>
      <c r="AH259" s="1"/>
      <c r="AK259" s="1"/>
      <c r="AL259" s="1"/>
      <c r="AM259" s="2"/>
      <c r="AN259" s="2"/>
      <c r="AQ259" s="1"/>
      <c r="BG259" s="1"/>
    </row>
    <row r="260" spans="15:59">
      <c r="O260" s="1"/>
      <c r="P260" s="1"/>
      <c r="AA260" s="1"/>
      <c r="AB260" s="1"/>
      <c r="AG260" s="1"/>
      <c r="AH260" s="1"/>
      <c r="AK260" s="1"/>
      <c r="AL260" s="1"/>
      <c r="AM260" s="2"/>
      <c r="AN260" s="2"/>
      <c r="AQ260" s="1"/>
      <c r="BG260" s="1"/>
    </row>
    <row r="261" spans="15:59">
      <c r="O261" s="1"/>
      <c r="P261" s="1"/>
      <c r="AA261" s="1"/>
      <c r="AB261" s="1"/>
      <c r="AG261" s="1"/>
      <c r="AH261" s="1"/>
      <c r="AK261" s="1"/>
      <c r="AL261" s="1"/>
      <c r="AM261" s="2"/>
      <c r="AN261" s="2"/>
      <c r="AQ261" s="1"/>
      <c r="BG261" s="1"/>
    </row>
    <row r="262" spans="15:59">
      <c r="O262" s="1"/>
      <c r="P262" s="1"/>
      <c r="AA262" s="1"/>
      <c r="AB262" s="1"/>
      <c r="AG262" s="1"/>
      <c r="AH262" s="1"/>
      <c r="AK262" s="1"/>
      <c r="AL262" s="1"/>
      <c r="AM262" s="2"/>
      <c r="AN262" s="2"/>
      <c r="AQ262" s="1"/>
      <c r="BG262" s="1"/>
    </row>
    <row r="263" spans="15:59">
      <c r="O263" s="1"/>
      <c r="P263" s="1"/>
      <c r="AA263" s="1"/>
      <c r="AB263" s="1"/>
      <c r="AG263" s="1"/>
      <c r="AH263" s="1"/>
      <c r="AK263" s="1"/>
      <c r="AL263" s="1"/>
      <c r="AM263" s="2"/>
      <c r="AN263" s="2"/>
      <c r="AQ263" s="1"/>
      <c r="BG263" s="1"/>
    </row>
    <row r="264" spans="15:59">
      <c r="O264" s="1"/>
      <c r="P264" s="1"/>
      <c r="AA264" s="1"/>
      <c r="AB264" s="1"/>
      <c r="AG264" s="1"/>
      <c r="AH264" s="1"/>
      <c r="AK264" s="1"/>
      <c r="AL264" s="1"/>
      <c r="AM264" s="2"/>
      <c r="AN264" s="2"/>
      <c r="AQ264" s="1"/>
      <c r="BG264" s="1"/>
    </row>
    <row r="265" spans="15:59">
      <c r="O265" s="1"/>
      <c r="P265" s="1"/>
      <c r="AA265" s="1"/>
      <c r="AB265" s="1"/>
      <c r="AG265" s="1"/>
      <c r="AH265" s="1"/>
      <c r="AK265" s="1"/>
      <c r="AL265" s="1"/>
      <c r="AM265" s="2"/>
      <c r="AN265" s="2"/>
      <c r="AQ265" s="1"/>
      <c r="BG265" s="1"/>
    </row>
    <row r="266" spans="15:59">
      <c r="O266" s="1"/>
      <c r="P266" s="1"/>
      <c r="AA266" s="1"/>
      <c r="AB266" s="1"/>
      <c r="AG266" s="1"/>
      <c r="AH266" s="1"/>
      <c r="AK266" s="1"/>
      <c r="AL266" s="1"/>
      <c r="AM266" s="2"/>
      <c r="AN266" s="2"/>
      <c r="AQ266" s="1"/>
      <c r="BG266" s="1"/>
    </row>
    <row r="267" spans="15:59">
      <c r="O267" s="1"/>
      <c r="P267" s="1"/>
      <c r="AA267" s="1"/>
      <c r="AB267" s="1"/>
      <c r="AG267" s="1"/>
      <c r="AH267" s="1"/>
      <c r="AK267" s="1"/>
      <c r="AL267" s="1"/>
      <c r="AM267" s="2"/>
      <c r="AN267" s="2"/>
      <c r="AQ267" s="1"/>
      <c r="BG267" s="1"/>
    </row>
    <row r="268" spans="15:59">
      <c r="O268" s="1"/>
      <c r="P268" s="1"/>
      <c r="AA268" s="1"/>
      <c r="AB268" s="1"/>
      <c r="AG268" s="1"/>
      <c r="AH268" s="1"/>
      <c r="AK268" s="1"/>
      <c r="AL268" s="1"/>
      <c r="AM268" s="2"/>
      <c r="AN268" s="2"/>
      <c r="AQ268" s="1"/>
      <c r="BG268" s="1"/>
    </row>
    <row r="269" spans="15:59">
      <c r="O269" s="1"/>
      <c r="P269" s="1"/>
      <c r="AA269" s="1"/>
      <c r="AB269" s="1"/>
      <c r="AG269" s="1"/>
      <c r="AH269" s="1"/>
      <c r="AK269" s="1"/>
      <c r="AL269" s="1"/>
      <c r="AM269" s="2"/>
      <c r="AN269" s="2"/>
      <c r="AQ269" s="1"/>
      <c r="BG269" s="1"/>
    </row>
    <row r="270" spans="15:59">
      <c r="O270" s="1"/>
      <c r="P270" s="1"/>
      <c r="AA270" s="1"/>
      <c r="AB270" s="1"/>
      <c r="AG270" s="1"/>
      <c r="AH270" s="1"/>
      <c r="AK270" s="1"/>
      <c r="AL270" s="1"/>
      <c r="AM270" s="2"/>
      <c r="AN270" s="2"/>
      <c r="AQ270" s="1"/>
      <c r="BG270" s="1"/>
    </row>
    <row r="271" spans="15:59">
      <c r="O271" s="1"/>
      <c r="P271" s="1"/>
      <c r="AA271" s="1"/>
      <c r="AB271" s="1"/>
      <c r="AG271" s="1"/>
      <c r="AH271" s="1"/>
      <c r="AK271" s="1"/>
      <c r="AL271" s="1"/>
      <c r="AM271" s="2"/>
      <c r="AN271" s="2"/>
      <c r="AQ271" s="1"/>
      <c r="BG271" s="1"/>
    </row>
    <row r="272" spans="15:59">
      <c r="O272" s="1"/>
      <c r="P272" s="1"/>
      <c r="AA272" s="1"/>
      <c r="AB272" s="1"/>
      <c r="AG272" s="1"/>
      <c r="AH272" s="1"/>
      <c r="AK272" s="1"/>
      <c r="AL272" s="1"/>
      <c r="AM272" s="2"/>
      <c r="AN272" s="2"/>
      <c r="AQ272" s="1"/>
      <c r="BG272" s="1"/>
    </row>
    <row r="273" spans="15:59">
      <c r="O273" s="1"/>
      <c r="P273" s="1"/>
      <c r="AA273" s="1"/>
      <c r="AB273" s="1"/>
      <c r="AG273" s="1"/>
      <c r="AH273" s="1"/>
      <c r="AK273" s="1"/>
      <c r="AL273" s="1"/>
      <c r="AM273" s="2"/>
      <c r="AN273" s="2"/>
      <c r="AQ273" s="1"/>
      <c r="BG273" s="1"/>
    </row>
    <row r="274" spans="15:59">
      <c r="O274" s="1"/>
      <c r="P274" s="1"/>
      <c r="AA274" s="1"/>
      <c r="AB274" s="1"/>
      <c r="AG274" s="1"/>
      <c r="AH274" s="1"/>
      <c r="AK274" s="1"/>
      <c r="AL274" s="1"/>
      <c r="AM274" s="2"/>
      <c r="AN274" s="2"/>
      <c r="AQ274" s="1"/>
      <c r="BG274" s="1"/>
    </row>
    <row r="275" spans="15:59">
      <c r="O275" s="1"/>
      <c r="P275" s="1"/>
      <c r="AA275" s="1"/>
      <c r="AB275" s="1"/>
      <c r="AG275" s="1"/>
      <c r="AH275" s="1"/>
      <c r="AK275" s="1"/>
      <c r="AL275" s="1"/>
      <c r="AM275" s="2"/>
      <c r="AN275" s="2"/>
      <c r="AQ275" s="1"/>
      <c r="BG275" s="1"/>
    </row>
    <row r="276" spans="15:59">
      <c r="O276" s="1"/>
      <c r="P276" s="1"/>
      <c r="AA276" s="1"/>
      <c r="AB276" s="1"/>
      <c r="AG276" s="1"/>
      <c r="AH276" s="1"/>
      <c r="AK276" s="1"/>
      <c r="AL276" s="1"/>
      <c r="AM276" s="2"/>
      <c r="AN276" s="2"/>
      <c r="AQ276" s="1"/>
      <c r="BG276" s="1"/>
    </row>
    <row r="277" spans="15:59">
      <c r="O277" s="1"/>
      <c r="P277" s="1"/>
      <c r="AA277" s="1"/>
      <c r="AB277" s="1"/>
      <c r="AG277" s="1"/>
      <c r="AH277" s="1"/>
      <c r="AK277" s="1"/>
      <c r="AL277" s="1"/>
      <c r="AM277" s="2"/>
      <c r="AN277" s="2"/>
      <c r="AQ277" s="1"/>
      <c r="BG277" s="1"/>
    </row>
    <row r="278" spans="15:59">
      <c r="O278" s="1"/>
      <c r="P278" s="1"/>
      <c r="AA278" s="1"/>
      <c r="AB278" s="1"/>
      <c r="AG278" s="1"/>
      <c r="AH278" s="1"/>
      <c r="AK278" s="1"/>
      <c r="AL278" s="1"/>
      <c r="AM278" s="2"/>
      <c r="AN278" s="2"/>
      <c r="AQ278" s="1"/>
      <c r="BG278" s="1"/>
    </row>
    <row r="279" spans="15:59">
      <c r="O279" s="1"/>
      <c r="P279" s="1"/>
      <c r="AA279" s="1"/>
      <c r="AB279" s="1"/>
      <c r="AG279" s="1"/>
      <c r="AH279" s="1"/>
      <c r="AK279" s="1"/>
      <c r="AL279" s="1"/>
      <c r="AM279" s="2"/>
      <c r="AN279" s="2"/>
      <c r="AQ279" s="1"/>
      <c r="BG279" s="1"/>
    </row>
    <row r="280" spans="15:59">
      <c r="O280" s="1"/>
      <c r="P280" s="1"/>
      <c r="AA280" s="1"/>
      <c r="AB280" s="1"/>
      <c r="AG280" s="1"/>
      <c r="AH280" s="1"/>
      <c r="AK280" s="1"/>
      <c r="AL280" s="1"/>
      <c r="AM280" s="2"/>
      <c r="AN280" s="2"/>
      <c r="AQ280" s="1"/>
      <c r="BG280" s="1"/>
    </row>
    <row r="281" spans="15:59">
      <c r="O281" s="1"/>
      <c r="P281" s="1"/>
      <c r="AA281" s="1"/>
      <c r="AB281" s="1"/>
      <c r="AG281" s="1"/>
      <c r="AH281" s="1"/>
      <c r="AK281" s="1"/>
      <c r="AL281" s="1"/>
      <c r="AM281" s="2"/>
      <c r="AN281" s="2"/>
      <c r="AQ281" s="1"/>
      <c r="BG281" s="1"/>
    </row>
    <row r="282" spans="15:59">
      <c r="O282" s="1"/>
      <c r="P282" s="1"/>
      <c r="AA282" s="1"/>
      <c r="AB282" s="1"/>
      <c r="AG282" s="1"/>
      <c r="AH282" s="1"/>
      <c r="AK282" s="1"/>
      <c r="AL282" s="1"/>
      <c r="AM282" s="2"/>
      <c r="AN282" s="2"/>
      <c r="AQ282" s="1"/>
      <c r="BG282" s="1"/>
    </row>
    <row r="283" spans="15:59">
      <c r="O283" s="1"/>
      <c r="P283" s="1"/>
      <c r="AA283" s="1"/>
      <c r="AB283" s="1"/>
      <c r="AG283" s="1"/>
      <c r="AH283" s="1"/>
      <c r="AK283" s="1"/>
      <c r="AL283" s="1"/>
      <c r="AM283" s="2"/>
      <c r="AN283" s="2"/>
      <c r="AQ283" s="1"/>
      <c r="BG283" s="1"/>
    </row>
    <row r="284" spans="15:59">
      <c r="O284" s="1"/>
      <c r="P284" s="1"/>
      <c r="AA284" s="1"/>
      <c r="AB284" s="1"/>
      <c r="AG284" s="1"/>
      <c r="AH284" s="1"/>
      <c r="AK284" s="1"/>
      <c r="AL284" s="1"/>
      <c r="AM284" s="2"/>
      <c r="AN284" s="2"/>
      <c r="AQ284" s="1"/>
      <c r="BG284" s="1"/>
    </row>
    <row r="285" spans="15:59">
      <c r="O285" s="1"/>
      <c r="P285" s="1"/>
      <c r="AA285" s="1"/>
      <c r="AB285" s="1"/>
      <c r="AG285" s="1"/>
      <c r="AH285" s="1"/>
      <c r="AK285" s="1"/>
      <c r="AL285" s="1"/>
      <c r="AM285" s="2"/>
      <c r="AN285" s="2"/>
      <c r="AQ285" s="1"/>
      <c r="BG285" s="1"/>
    </row>
    <row r="286" spans="15:59">
      <c r="O286" s="1"/>
      <c r="P286" s="1"/>
      <c r="AA286" s="1"/>
      <c r="AB286" s="1"/>
      <c r="AG286" s="1"/>
      <c r="AH286" s="1"/>
      <c r="AK286" s="1"/>
      <c r="AL286" s="1"/>
      <c r="AM286" s="2"/>
      <c r="AN286" s="2"/>
      <c r="AQ286" s="1"/>
      <c r="BG286" s="1"/>
    </row>
    <row r="287" spans="15:59">
      <c r="O287" s="1"/>
      <c r="P287" s="1"/>
      <c r="AA287" s="1"/>
      <c r="AB287" s="1"/>
      <c r="AG287" s="1"/>
      <c r="AH287" s="1"/>
      <c r="AK287" s="1"/>
      <c r="AL287" s="1"/>
      <c r="AM287" s="2"/>
      <c r="AN287" s="2"/>
      <c r="AQ287" s="1"/>
      <c r="BG287" s="1"/>
    </row>
    <row r="288" spans="15:59">
      <c r="O288" s="1"/>
      <c r="P288" s="1"/>
      <c r="AA288" s="1"/>
      <c r="AB288" s="1"/>
      <c r="AG288" s="1"/>
      <c r="AH288" s="1"/>
      <c r="AK288" s="1"/>
      <c r="AL288" s="1"/>
      <c r="AM288" s="2"/>
      <c r="AN288" s="2"/>
      <c r="AQ288" s="1"/>
      <c r="BG288" s="1"/>
    </row>
    <row r="289" spans="15:59">
      <c r="O289" s="1"/>
      <c r="P289" s="1"/>
      <c r="AA289" s="1"/>
      <c r="AB289" s="1"/>
      <c r="AG289" s="1"/>
      <c r="AH289" s="1"/>
      <c r="AK289" s="1"/>
      <c r="AL289" s="1"/>
      <c r="AM289" s="2"/>
      <c r="AN289" s="2"/>
      <c r="AQ289" s="1"/>
      <c r="BG289" s="1"/>
    </row>
    <row r="290" spans="15:59">
      <c r="O290" s="1"/>
      <c r="P290" s="1"/>
      <c r="AA290" s="1"/>
      <c r="AB290" s="1"/>
      <c r="AG290" s="1"/>
      <c r="AH290" s="1"/>
      <c r="AK290" s="1"/>
      <c r="AL290" s="1"/>
      <c r="AM290" s="2"/>
      <c r="AN290" s="2"/>
      <c r="AQ290" s="1"/>
      <c r="BG290" s="1"/>
    </row>
    <row r="291" spans="15:59">
      <c r="O291" s="1"/>
      <c r="P291" s="1"/>
      <c r="AA291" s="1"/>
      <c r="AB291" s="1"/>
      <c r="AG291" s="1"/>
      <c r="AH291" s="1"/>
      <c r="AK291" s="1"/>
      <c r="AL291" s="1"/>
      <c r="AM291" s="2"/>
      <c r="AN291" s="2"/>
      <c r="AQ291" s="1"/>
      <c r="BG291" s="1"/>
    </row>
    <row r="292" spans="15:59">
      <c r="O292" s="1"/>
      <c r="P292" s="1"/>
      <c r="AA292" s="1"/>
      <c r="AB292" s="1"/>
      <c r="AG292" s="1"/>
      <c r="AH292" s="1"/>
      <c r="AK292" s="1"/>
      <c r="AL292" s="1"/>
      <c r="AM292" s="2"/>
      <c r="AN292" s="2"/>
      <c r="AQ292" s="1"/>
      <c r="BG292" s="1"/>
    </row>
    <row r="293" spans="15:59">
      <c r="O293" s="1"/>
      <c r="P293" s="1"/>
      <c r="AA293" s="1"/>
      <c r="AB293" s="1"/>
      <c r="AG293" s="1"/>
      <c r="AH293" s="1"/>
      <c r="AK293" s="1"/>
      <c r="AL293" s="1"/>
      <c r="AM293" s="2"/>
      <c r="AN293" s="2"/>
      <c r="AQ293" s="1"/>
      <c r="BG293" s="1"/>
    </row>
    <row r="294" spans="15:59">
      <c r="O294" s="1"/>
      <c r="P294" s="1"/>
      <c r="AA294" s="1"/>
      <c r="AB294" s="1"/>
      <c r="AG294" s="1"/>
      <c r="AH294" s="1"/>
      <c r="AK294" s="1"/>
      <c r="AL294" s="1"/>
      <c r="AM294" s="2"/>
      <c r="AN294" s="2"/>
      <c r="AQ294" s="1"/>
      <c r="BG294" s="1"/>
    </row>
    <row r="295" spans="15:59">
      <c r="O295" s="1"/>
      <c r="P295" s="1"/>
      <c r="AA295" s="1"/>
      <c r="AB295" s="1"/>
      <c r="AG295" s="1"/>
      <c r="AH295" s="1"/>
      <c r="AK295" s="1"/>
      <c r="AL295" s="1"/>
      <c r="AM295" s="2"/>
      <c r="AN295" s="2"/>
      <c r="AQ295" s="1"/>
      <c r="BG295" s="1"/>
    </row>
    <row r="296" spans="15:59">
      <c r="O296" s="1"/>
      <c r="P296" s="1"/>
      <c r="AA296" s="1"/>
      <c r="AB296" s="1"/>
      <c r="AG296" s="1"/>
      <c r="AH296" s="1"/>
      <c r="AK296" s="1"/>
      <c r="AL296" s="1"/>
      <c r="AM296" s="2"/>
      <c r="AN296" s="2"/>
      <c r="AQ296" s="1"/>
      <c r="BG296" s="1"/>
    </row>
    <row r="297" spans="15:59">
      <c r="O297" s="1"/>
      <c r="P297" s="1"/>
      <c r="AA297" s="1"/>
      <c r="AB297" s="1"/>
      <c r="AG297" s="1"/>
      <c r="AH297" s="1"/>
      <c r="AK297" s="1"/>
      <c r="AL297" s="1"/>
      <c r="AM297" s="2"/>
      <c r="AN297" s="2"/>
      <c r="AQ297" s="1"/>
      <c r="BG297" s="1"/>
    </row>
    <row r="298" spans="15:59">
      <c r="O298" s="1"/>
      <c r="P298" s="1"/>
      <c r="AA298" s="1"/>
      <c r="AB298" s="1"/>
      <c r="AG298" s="1"/>
      <c r="AH298" s="1"/>
      <c r="AK298" s="1"/>
      <c r="AL298" s="1"/>
      <c r="AM298" s="2"/>
      <c r="AN298" s="2"/>
      <c r="AQ298" s="1"/>
      <c r="BG298" s="1"/>
    </row>
    <row r="299" spans="15:59">
      <c r="O299" s="1"/>
      <c r="P299" s="1"/>
      <c r="AA299" s="1"/>
      <c r="AB299" s="1"/>
      <c r="AG299" s="1"/>
      <c r="AH299" s="1"/>
      <c r="AK299" s="1"/>
      <c r="AL299" s="1"/>
      <c r="AM299" s="2"/>
      <c r="AN299" s="2"/>
      <c r="AQ299" s="1"/>
      <c r="BG299" s="1"/>
    </row>
    <row r="300" spans="15:59">
      <c r="O300" s="1"/>
      <c r="P300" s="1"/>
      <c r="AA300" s="1"/>
      <c r="AB300" s="1"/>
      <c r="AG300" s="1"/>
      <c r="AH300" s="1"/>
      <c r="AK300" s="1"/>
      <c r="AL300" s="1"/>
      <c r="AM300" s="2"/>
      <c r="AN300" s="2"/>
      <c r="AQ300" s="1"/>
      <c r="BG300" s="1"/>
    </row>
    <row r="301" spans="15:59">
      <c r="O301" s="1"/>
      <c r="P301" s="1"/>
      <c r="AA301" s="1"/>
      <c r="AB301" s="1"/>
      <c r="AG301" s="1"/>
      <c r="AH301" s="1"/>
      <c r="AK301" s="1"/>
      <c r="AL301" s="1"/>
      <c r="AM301" s="2"/>
      <c r="AN301" s="2"/>
      <c r="AQ301" s="1"/>
      <c r="BG301" s="1"/>
    </row>
    <row r="302" spans="15:59">
      <c r="O302" s="1"/>
      <c r="P302" s="1"/>
      <c r="AA302" s="1"/>
      <c r="AB302" s="1"/>
      <c r="AG302" s="1"/>
      <c r="AH302" s="1"/>
      <c r="AK302" s="1"/>
      <c r="AL302" s="1"/>
      <c r="AM302" s="2"/>
      <c r="AN302" s="2"/>
      <c r="AQ302" s="1"/>
      <c r="BG302" s="1"/>
    </row>
    <row r="303" spans="15:59">
      <c r="O303" s="1"/>
      <c r="P303" s="1"/>
      <c r="AA303" s="1"/>
      <c r="AB303" s="1"/>
      <c r="AG303" s="1"/>
      <c r="AH303" s="1"/>
      <c r="AK303" s="1"/>
      <c r="AL303" s="1"/>
      <c r="AM303" s="2"/>
      <c r="AN303" s="2"/>
      <c r="AQ303" s="1"/>
      <c r="BG303" s="1"/>
    </row>
    <row r="304" spans="15:59">
      <c r="O304" s="1"/>
      <c r="P304" s="1"/>
      <c r="AA304" s="1"/>
      <c r="AB304" s="1"/>
      <c r="AG304" s="1"/>
      <c r="AH304" s="1"/>
      <c r="AK304" s="1"/>
      <c r="AL304" s="1"/>
      <c r="AM304" s="2"/>
      <c r="AN304" s="2"/>
      <c r="AQ304" s="1"/>
      <c r="BG304" s="1"/>
    </row>
    <row r="305" spans="15:59">
      <c r="O305" s="1"/>
      <c r="P305" s="1"/>
      <c r="AA305" s="1"/>
      <c r="AB305" s="1"/>
      <c r="AG305" s="1"/>
      <c r="AH305" s="1"/>
      <c r="AK305" s="1"/>
      <c r="AL305" s="1"/>
      <c r="AM305" s="2"/>
      <c r="AN305" s="2"/>
      <c r="AQ305" s="1"/>
      <c r="BG305" s="1"/>
    </row>
    <row r="306" spans="15:59">
      <c r="O306" s="1"/>
      <c r="P306" s="1"/>
      <c r="AA306" s="1"/>
      <c r="AB306" s="1"/>
      <c r="AG306" s="1"/>
      <c r="AH306" s="1"/>
      <c r="AK306" s="1"/>
      <c r="AL306" s="1"/>
      <c r="AM306" s="2"/>
      <c r="AN306" s="2"/>
      <c r="AQ306" s="1"/>
      <c r="BG306" s="1"/>
    </row>
    <row r="307" spans="15:59">
      <c r="O307" s="1"/>
      <c r="P307" s="1"/>
      <c r="AA307" s="1"/>
      <c r="AB307" s="1"/>
      <c r="AG307" s="1"/>
      <c r="AH307" s="1"/>
      <c r="AK307" s="1"/>
      <c r="AL307" s="1"/>
      <c r="AM307" s="2"/>
      <c r="AN307" s="2"/>
      <c r="AQ307" s="1"/>
      <c r="BG307" s="1"/>
    </row>
    <row r="308" spans="15:59">
      <c r="O308" s="1"/>
      <c r="P308" s="1"/>
      <c r="AA308" s="1"/>
      <c r="AB308" s="1"/>
      <c r="AG308" s="1"/>
      <c r="AH308" s="1"/>
      <c r="AK308" s="1"/>
      <c r="AL308" s="1"/>
      <c r="AM308" s="2"/>
      <c r="AN308" s="2"/>
      <c r="AQ308" s="1"/>
      <c r="BG308" s="1"/>
    </row>
    <row r="309" spans="15:59">
      <c r="O309" s="1"/>
      <c r="P309" s="1"/>
      <c r="AA309" s="1"/>
      <c r="AB309" s="1"/>
      <c r="AG309" s="1"/>
      <c r="AH309" s="1"/>
      <c r="AK309" s="1"/>
      <c r="AL309" s="1"/>
      <c r="AM309" s="2"/>
      <c r="AN309" s="2"/>
      <c r="AQ309" s="1"/>
      <c r="BG309" s="1"/>
    </row>
    <row r="310" spans="15:59">
      <c r="O310" s="1"/>
      <c r="P310" s="1"/>
      <c r="AA310" s="1"/>
      <c r="AB310" s="1"/>
      <c r="AG310" s="1"/>
      <c r="AH310" s="1"/>
      <c r="AK310" s="1"/>
      <c r="AL310" s="1"/>
      <c r="AM310" s="2"/>
      <c r="AN310" s="2"/>
      <c r="AQ310" s="1"/>
      <c r="BG310" s="1"/>
    </row>
    <row r="311" spans="15:59">
      <c r="O311" s="1"/>
      <c r="P311" s="1"/>
      <c r="AA311" s="1"/>
      <c r="AB311" s="1"/>
      <c r="AG311" s="1"/>
      <c r="AH311" s="1"/>
      <c r="AK311" s="1"/>
      <c r="AL311" s="1"/>
      <c r="AM311" s="2"/>
      <c r="AN311" s="2"/>
      <c r="AQ311" s="1"/>
      <c r="BG311" s="1"/>
    </row>
    <row r="312" spans="15:59">
      <c r="O312" s="1"/>
      <c r="P312" s="1"/>
      <c r="AA312" s="1"/>
      <c r="AB312" s="1"/>
      <c r="AG312" s="1"/>
      <c r="AH312" s="1"/>
      <c r="AK312" s="1"/>
      <c r="AL312" s="1"/>
      <c r="AM312" s="2"/>
      <c r="AN312" s="2"/>
      <c r="AQ312" s="1"/>
      <c r="BG312" s="1"/>
    </row>
    <row r="313" spans="15:59">
      <c r="O313" s="1"/>
      <c r="P313" s="1"/>
      <c r="AA313" s="1"/>
      <c r="AB313" s="1"/>
      <c r="AG313" s="1"/>
      <c r="AH313" s="1"/>
      <c r="AK313" s="1"/>
      <c r="AL313" s="1"/>
      <c r="AM313" s="2"/>
      <c r="AN313" s="2"/>
      <c r="AQ313" s="1"/>
      <c r="BG313" s="1"/>
    </row>
    <row r="314" spans="15:59">
      <c r="O314" s="1"/>
      <c r="P314" s="1"/>
      <c r="AA314" s="1"/>
      <c r="AB314" s="1"/>
      <c r="AG314" s="1"/>
      <c r="AH314" s="1"/>
      <c r="AK314" s="1"/>
      <c r="AL314" s="1"/>
      <c r="AM314" s="2"/>
      <c r="AN314" s="2"/>
      <c r="AQ314" s="1"/>
      <c r="BG314" s="1"/>
    </row>
    <row r="315" spans="15:59">
      <c r="O315" s="1"/>
      <c r="P315" s="1"/>
      <c r="AA315" s="1"/>
      <c r="AB315" s="1"/>
      <c r="AG315" s="1"/>
      <c r="AH315" s="1"/>
      <c r="AK315" s="1"/>
      <c r="AL315" s="1"/>
      <c r="AM315" s="2"/>
      <c r="AN315" s="2"/>
      <c r="AQ315" s="1"/>
      <c r="BG315" s="1"/>
    </row>
    <row r="316" spans="15:59">
      <c r="O316" s="1"/>
      <c r="P316" s="1"/>
      <c r="AA316" s="1"/>
      <c r="AB316" s="1"/>
      <c r="AG316" s="1"/>
      <c r="AH316" s="1"/>
      <c r="AK316" s="1"/>
      <c r="AL316" s="1"/>
      <c r="AM316" s="2"/>
      <c r="AN316" s="2"/>
      <c r="AQ316" s="1"/>
      <c r="BG316" s="1"/>
    </row>
    <row r="317" spans="15:59">
      <c r="O317" s="1"/>
      <c r="P317" s="1"/>
      <c r="AA317" s="1"/>
      <c r="AB317" s="1"/>
      <c r="AG317" s="1"/>
      <c r="AH317" s="1"/>
      <c r="AK317" s="1"/>
      <c r="AL317" s="1"/>
      <c r="AM317" s="2"/>
      <c r="AN317" s="2"/>
      <c r="AQ317" s="1"/>
      <c r="BG317" s="1"/>
    </row>
    <row r="318" spans="15:59">
      <c r="O318" s="1"/>
      <c r="P318" s="1"/>
      <c r="AA318" s="1"/>
      <c r="AB318" s="1"/>
      <c r="AG318" s="1"/>
      <c r="AH318" s="1"/>
      <c r="AK318" s="1"/>
      <c r="AL318" s="1"/>
      <c r="AM318" s="2"/>
      <c r="AN318" s="2"/>
      <c r="AQ318" s="1"/>
      <c r="BG318" s="1"/>
    </row>
    <row r="319" spans="15:59">
      <c r="O319" s="1"/>
      <c r="P319" s="1"/>
      <c r="AA319" s="1"/>
      <c r="AB319" s="1"/>
      <c r="AG319" s="1"/>
      <c r="AH319" s="1"/>
      <c r="AK319" s="1"/>
      <c r="AL319" s="1"/>
      <c r="AM319" s="2"/>
      <c r="AN319" s="2"/>
      <c r="AQ319" s="1"/>
      <c r="BG319" s="1"/>
    </row>
    <row r="320" spans="15:59">
      <c r="O320" s="1"/>
      <c r="P320" s="1"/>
      <c r="AA320" s="1"/>
      <c r="AB320" s="1"/>
      <c r="AG320" s="1"/>
      <c r="AH320" s="1"/>
      <c r="AK320" s="1"/>
      <c r="AL320" s="1"/>
      <c r="AM320" s="2"/>
      <c r="AN320" s="2"/>
      <c r="AQ320" s="1"/>
      <c r="BG320" s="1"/>
    </row>
    <row r="321" spans="15:59">
      <c r="O321" s="1"/>
      <c r="P321" s="1"/>
      <c r="AA321" s="1"/>
      <c r="AB321" s="1"/>
      <c r="AG321" s="1"/>
      <c r="AH321" s="1"/>
      <c r="AK321" s="1"/>
      <c r="AL321" s="1"/>
      <c r="AM321" s="2"/>
      <c r="AN321" s="2"/>
      <c r="AQ321" s="1"/>
      <c r="BG321" s="1"/>
    </row>
    <row r="322" spans="15:59">
      <c r="O322" s="1"/>
      <c r="P322" s="1"/>
      <c r="AA322" s="1"/>
      <c r="AB322" s="1"/>
      <c r="AG322" s="1"/>
      <c r="AH322" s="1"/>
      <c r="AK322" s="1"/>
      <c r="AL322" s="1"/>
      <c r="AM322" s="2"/>
      <c r="AN322" s="2"/>
      <c r="AQ322" s="1"/>
      <c r="BG322" s="1"/>
    </row>
    <row r="323" spans="15:59">
      <c r="O323" s="1"/>
      <c r="P323" s="1"/>
      <c r="AA323" s="1"/>
      <c r="AB323" s="1"/>
      <c r="AG323" s="1"/>
      <c r="AH323" s="1"/>
      <c r="AK323" s="1"/>
      <c r="AL323" s="1"/>
      <c r="AM323" s="2"/>
      <c r="AN323" s="2"/>
      <c r="AQ323" s="1"/>
      <c r="BG323" s="1"/>
    </row>
    <row r="324" spans="15:59">
      <c r="O324" s="1"/>
      <c r="P324" s="1"/>
      <c r="AA324" s="1"/>
      <c r="AB324" s="1"/>
      <c r="AG324" s="1"/>
      <c r="AH324" s="1"/>
      <c r="AK324" s="1"/>
      <c r="AL324" s="1"/>
      <c r="AM324" s="2"/>
      <c r="AN324" s="2"/>
      <c r="AQ324" s="1"/>
      <c r="BG324" s="1"/>
    </row>
    <row r="325" spans="15:59">
      <c r="O325" s="1"/>
      <c r="P325" s="1"/>
      <c r="AA325" s="1"/>
      <c r="AB325" s="1"/>
      <c r="AG325" s="1"/>
      <c r="AH325" s="1"/>
      <c r="AK325" s="1"/>
      <c r="AL325" s="1"/>
      <c r="AM325" s="2"/>
      <c r="AN325" s="2"/>
      <c r="AQ325" s="1"/>
      <c r="BG325" s="1"/>
    </row>
    <row r="326" spans="15:59">
      <c r="O326" s="1"/>
      <c r="P326" s="1"/>
      <c r="AA326" s="1"/>
      <c r="AB326" s="1"/>
      <c r="AG326" s="1"/>
      <c r="AH326" s="1"/>
      <c r="AK326" s="1"/>
      <c r="AL326" s="1"/>
      <c r="AM326" s="2"/>
      <c r="AN326" s="2"/>
      <c r="AQ326" s="1"/>
      <c r="BG326" s="1"/>
    </row>
    <row r="327" spans="15:59">
      <c r="O327" s="1"/>
      <c r="P327" s="1"/>
      <c r="AA327" s="1"/>
      <c r="AB327" s="1"/>
      <c r="AG327" s="1"/>
      <c r="AH327" s="1"/>
      <c r="AK327" s="1"/>
      <c r="AL327" s="1"/>
      <c r="AM327" s="2"/>
      <c r="AN327" s="2"/>
      <c r="AQ327" s="1"/>
      <c r="BG327" s="1"/>
    </row>
    <row r="328" spans="15:59">
      <c r="O328" s="1"/>
      <c r="P328" s="1"/>
      <c r="AA328" s="1"/>
      <c r="AB328" s="1"/>
      <c r="AG328" s="1"/>
      <c r="AH328" s="1"/>
      <c r="AK328" s="1"/>
      <c r="AL328" s="1"/>
      <c r="AM328" s="2"/>
      <c r="AN328" s="2"/>
      <c r="AQ328" s="1"/>
      <c r="BG328" s="1"/>
    </row>
    <row r="329" spans="15:59">
      <c r="O329" s="1"/>
      <c r="P329" s="1"/>
      <c r="AA329" s="1"/>
      <c r="AB329" s="1"/>
      <c r="AG329" s="1"/>
      <c r="AH329" s="1"/>
      <c r="AK329" s="1"/>
      <c r="AL329" s="1"/>
      <c r="AM329" s="2"/>
      <c r="AN329" s="2"/>
      <c r="AQ329" s="1"/>
      <c r="BG329" s="1"/>
    </row>
    <row r="330" spans="15:59">
      <c r="O330" s="1"/>
      <c r="P330" s="1"/>
      <c r="AA330" s="1"/>
      <c r="AB330" s="1"/>
      <c r="AG330" s="1"/>
      <c r="AH330" s="1"/>
      <c r="AK330" s="1"/>
      <c r="AL330" s="1"/>
      <c r="AM330" s="2"/>
      <c r="AN330" s="2"/>
      <c r="AQ330" s="1"/>
      <c r="BG330" s="1"/>
    </row>
    <row r="331" spans="15:59">
      <c r="O331" s="1"/>
      <c r="P331" s="1"/>
      <c r="AA331" s="1"/>
      <c r="AB331" s="1"/>
      <c r="AG331" s="1"/>
      <c r="AH331" s="1"/>
      <c r="AK331" s="1"/>
      <c r="AL331" s="1"/>
      <c r="AM331" s="2"/>
      <c r="AN331" s="2"/>
      <c r="AQ331" s="1"/>
      <c r="BG331" s="1"/>
    </row>
    <row r="332" spans="15:59">
      <c r="O332" s="1"/>
      <c r="P332" s="1"/>
      <c r="AA332" s="1"/>
      <c r="AB332" s="1"/>
      <c r="AG332" s="1"/>
      <c r="AH332" s="1"/>
      <c r="AK332" s="1"/>
      <c r="AL332" s="1"/>
      <c r="AM332" s="2"/>
      <c r="AN332" s="2"/>
      <c r="AQ332" s="1"/>
      <c r="BG332" s="1"/>
    </row>
    <row r="333" spans="15:59">
      <c r="O333" s="1"/>
      <c r="P333" s="1"/>
      <c r="AA333" s="1"/>
      <c r="AB333" s="1"/>
      <c r="AG333" s="1"/>
      <c r="AH333" s="1"/>
      <c r="AK333" s="1"/>
      <c r="AL333" s="1"/>
      <c r="AM333" s="2"/>
      <c r="AN333" s="2"/>
      <c r="AQ333" s="1"/>
      <c r="BG333" s="1"/>
    </row>
    <row r="334" spans="15:59">
      <c r="O334" s="1"/>
      <c r="P334" s="1"/>
      <c r="AA334" s="1"/>
      <c r="AB334" s="1"/>
      <c r="AG334" s="1"/>
      <c r="AH334" s="1"/>
      <c r="AK334" s="1"/>
      <c r="AL334" s="1"/>
      <c r="AM334" s="2"/>
      <c r="AN334" s="2"/>
      <c r="AQ334" s="1"/>
      <c r="BG334" s="1"/>
    </row>
    <row r="335" spans="15:59">
      <c r="O335" s="1"/>
      <c r="P335" s="1"/>
      <c r="AA335" s="1"/>
      <c r="AB335" s="1"/>
      <c r="AG335" s="1"/>
      <c r="AH335" s="1"/>
      <c r="AK335" s="1"/>
      <c r="AL335" s="1"/>
      <c r="AM335" s="2"/>
      <c r="AN335" s="2"/>
      <c r="AQ335" s="1"/>
      <c r="BG335" s="1"/>
    </row>
    <row r="336" spans="15:59">
      <c r="O336" s="1"/>
      <c r="P336" s="1"/>
      <c r="AA336" s="1"/>
      <c r="AB336" s="1"/>
      <c r="AG336" s="1"/>
      <c r="AH336" s="1"/>
      <c r="AK336" s="1"/>
      <c r="AL336" s="1"/>
      <c r="AM336" s="2"/>
      <c r="AN336" s="2"/>
      <c r="AQ336" s="1"/>
      <c r="BG336" s="1"/>
    </row>
    <row r="337" spans="15:59">
      <c r="O337" s="1"/>
      <c r="P337" s="1"/>
      <c r="AA337" s="1"/>
      <c r="AB337" s="1"/>
      <c r="AG337" s="1"/>
      <c r="AH337" s="1"/>
      <c r="AK337" s="1"/>
      <c r="AL337" s="1"/>
      <c r="AM337" s="2"/>
      <c r="AN337" s="2"/>
      <c r="AQ337" s="1"/>
      <c r="BG337" s="1"/>
    </row>
    <row r="338" spans="15:59">
      <c r="O338" s="1"/>
      <c r="P338" s="1"/>
      <c r="AA338" s="1"/>
      <c r="AB338" s="1"/>
      <c r="AG338" s="1"/>
      <c r="AH338" s="1"/>
      <c r="AK338" s="1"/>
      <c r="AL338" s="1"/>
      <c r="AM338" s="2"/>
      <c r="AN338" s="2"/>
      <c r="AQ338" s="1"/>
      <c r="BG338" s="1"/>
    </row>
    <row r="339" spans="15:59">
      <c r="O339" s="1"/>
      <c r="P339" s="1"/>
      <c r="AA339" s="1"/>
      <c r="AB339" s="1"/>
      <c r="AG339" s="1"/>
      <c r="AH339" s="1"/>
      <c r="AK339" s="1"/>
      <c r="AL339" s="1"/>
      <c r="AM339" s="2"/>
      <c r="AN339" s="2"/>
      <c r="AQ339" s="1"/>
      <c r="BG339" s="1"/>
    </row>
    <row r="340" spans="15:59">
      <c r="O340" s="1"/>
      <c r="P340" s="1"/>
      <c r="AA340" s="1"/>
      <c r="AB340" s="1"/>
      <c r="AG340" s="1"/>
      <c r="AH340" s="1"/>
      <c r="AK340" s="1"/>
      <c r="AL340" s="1"/>
      <c r="AM340" s="2"/>
      <c r="AN340" s="2"/>
      <c r="AQ340" s="1"/>
      <c r="BG340" s="1"/>
    </row>
    <row r="341" spans="15:59">
      <c r="O341" s="1"/>
      <c r="P341" s="1"/>
      <c r="AA341" s="1"/>
      <c r="AB341" s="1"/>
      <c r="AG341" s="1"/>
      <c r="AH341" s="1"/>
      <c r="AK341" s="1"/>
      <c r="AL341" s="1"/>
      <c r="AM341" s="2"/>
      <c r="AN341" s="2"/>
      <c r="AQ341" s="1"/>
      <c r="BG341" s="1"/>
    </row>
    <row r="342" spans="15:59">
      <c r="O342" s="1"/>
      <c r="P342" s="1"/>
      <c r="AA342" s="1"/>
      <c r="AB342" s="1"/>
      <c r="AG342" s="1"/>
      <c r="AH342" s="1"/>
      <c r="AK342" s="1"/>
      <c r="AL342" s="1"/>
      <c r="AM342" s="2"/>
      <c r="AN342" s="2"/>
      <c r="AQ342" s="1"/>
      <c r="BG342" s="1"/>
    </row>
    <row r="343" spans="15:59">
      <c r="O343" s="1"/>
      <c r="P343" s="1"/>
      <c r="AA343" s="1"/>
      <c r="AB343" s="1"/>
      <c r="AG343" s="1"/>
      <c r="AH343" s="1"/>
      <c r="AK343" s="1"/>
      <c r="AL343" s="1"/>
      <c r="AM343" s="2"/>
      <c r="AN343" s="2"/>
      <c r="AQ343" s="1"/>
      <c r="BG343" s="1"/>
    </row>
    <row r="344" spans="15:59">
      <c r="O344" s="1"/>
      <c r="P344" s="1"/>
      <c r="AA344" s="1"/>
      <c r="AB344" s="1"/>
      <c r="AG344" s="1"/>
      <c r="AH344" s="1"/>
      <c r="AK344" s="1"/>
      <c r="AL344" s="1"/>
      <c r="AM344" s="2"/>
      <c r="AN344" s="2"/>
      <c r="AQ344" s="1"/>
      <c r="BG344" s="1"/>
    </row>
    <row r="345" spans="15:59">
      <c r="O345" s="1"/>
      <c r="P345" s="1"/>
      <c r="AA345" s="1"/>
      <c r="AB345" s="1"/>
      <c r="AG345" s="1"/>
      <c r="AH345" s="1"/>
      <c r="AK345" s="1"/>
      <c r="AL345" s="1"/>
      <c r="AM345" s="2"/>
      <c r="AN345" s="2"/>
      <c r="AQ345" s="1"/>
      <c r="BG345" s="1"/>
    </row>
    <row r="346" spans="15:59">
      <c r="O346" s="1"/>
      <c r="P346" s="1"/>
      <c r="AA346" s="1"/>
      <c r="AB346" s="1"/>
      <c r="AG346" s="1"/>
      <c r="AH346" s="1"/>
      <c r="AK346" s="1"/>
      <c r="AL346" s="1"/>
      <c r="AM346" s="2"/>
      <c r="AN346" s="2"/>
      <c r="AQ346" s="1"/>
      <c r="BG346" s="1"/>
    </row>
    <row r="347" spans="15:59">
      <c r="O347" s="1"/>
      <c r="P347" s="1"/>
      <c r="AA347" s="1"/>
      <c r="AB347" s="1"/>
      <c r="AG347" s="1"/>
      <c r="AH347" s="1"/>
      <c r="AK347" s="1"/>
      <c r="AL347" s="1"/>
      <c r="AM347" s="2"/>
      <c r="AN347" s="2"/>
      <c r="AQ347" s="1"/>
      <c r="BG347" s="1"/>
    </row>
    <row r="348" spans="15:59">
      <c r="O348" s="1"/>
      <c r="P348" s="1"/>
      <c r="AA348" s="1"/>
      <c r="AB348" s="1"/>
      <c r="AG348" s="1"/>
      <c r="AH348" s="1"/>
      <c r="AK348" s="1"/>
      <c r="AL348" s="1"/>
      <c r="AM348" s="2"/>
      <c r="AN348" s="2"/>
      <c r="AQ348" s="1"/>
      <c r="BG348" s="1"/>
    </row>
    <row r="349" spans="15:59">
      <c r="O349" s="1"/>
      <c r="P349" s="1"/>
      <c r="AA349" s="1"/>
      <c r="AB349" s="1"/>
      <c r="AG349" s="1"/>
      <c r="AH349" s="1"/>
      <c r="AK349" s="1"/>
      <c r="AL349" s="1"/>
      <c r="AM349" s="2"/>
      <c r="AN349" s="2"/>
      <c r="AQ349" s="1"/>
      <c r="BG349" s="1"/>
    </row>
    <row r="350" spans="15:59">
      <c r="O350" s="1"/>
      <c r="P350" s="1"/>
      <c r="AA350" s="1"/>
      <c r="AB350" s="1"/>
      <c r="AG350" s="1"/>
      <c r="AH350" s="1"/>
      <c r="AK350" s="1"/>
      <c r="AL350" s="1"/>
      <c r="AM350" s="2"/>
      <c r="AN350" s="2"/>
      <c r="AQ350" s="1"/>
      <c r="BG350" s="1"/>
    </row>
    <row r="351" spans="15:59">
      <c r="O351" s="1"/>
      <c r="P351" s="1"/>
      <c r="AA351" s="1"/>
      <c r="AB351" s="1"/>
      <c r="AG351" s="1"/>
      <c r="AH351" s="1"/>
      <c r="AK351" s="1"/>
      <c r="AL351" s="1"/>
      <c r="AM351" s="2"/>
      <c r="AN351" s="2"/>
      <c r="AQ351" s="1"/>
      <c r="BG351" s="1"/>
    </row>
    <row r="352" spans="15:59">
      <c r="O352" s="1"/>
      <c r="P352" s="1"/>
      <c r="AA352" s="1"/>
      <c r="AB352" s="1"/>
      <c r="AG352" s="1"/>
      <c r="AH352" s="1"/>
      <c r="AK352" s="1"/>
      <c r="AL352" s="1"/>
      <c r="AM352" s="2"/>
      <c r="AN352" s="2"/>
      <c r="AQ352" s="1"/>
      <c r="BG352" s="1"/>
    </row>
    <row r="353" spans="15:59">
      <c r="O353" s="1"/>
      <c r="P353" s="1"/>
      <c r="AA353" s="1"/>
      <c r="AB353" s="1"/>
      <c r="AG353" s="1"/>
      <c r="AH353" s="1"/>
      <c r="AK353" s="1"/>
      <c r="AL353" s="1"/>
      <c r="AM353" s="2"/>
      <c r="AN353" s="2"/>
      <c r="AQ353" s="1"/>
      <c r="BG353" s="1"/>
    </row>
    <row r="354" spans="15:59">
      <c r="O354" s="1"/>
      <c r="P354" s="1"/>
      <c r="AA354" s="1"/>
      <c r="AB354" s="1"/>
      <c r="AG354" s="1"/>
      <c r="AH354" s="1"/>
      <c r="AK354" s="1"/>
      <c r="AL354" s="1"/>
      <c r="AM354" s="2"/>
      <c r="AN354" s="2"/>
      <c r="AQ354" s="1"/>
      <c r="BG354" s="1"/>
    </row>
    <row r="355" spans="15:59">
      <c r="O355" s="1"/>
      <c r="P355" s="1"/>
      <c r="AA355" s="1"/>
      <c r="AB355" s="1"/>
      <c r="AG355" s="1"/>
      <c r="AH355" s="1"/>
      <c r="AK355" s="1"/>
      <c r="AL355" s="1"/>
      <c r="AM355" s="2"/>
      <c r="AN355" s="2"/>
      <c r="AQ355" s="1"/>
      <c r="BG355" s="1"/>
    </row>
    <row r="356" spans="15:59">
      <c r="O356" s="1"/>
      <c r="P356" s="1"/>
      <c r="AA356" s="1"/>
      <c r="AB356" s="1"/>
      <c r="AG356" s="1"/>
      <c r="AH356" s="1"/>
      <c r="AK356" s="1"/>
      <c r="AL356" s="1"/>
      <c r="AM356" s="2"/>
      <c r="AN356" s="2"/>
      <c r="AQ356" s="1"/>
      <c r="BG356" s="1"/>
    </row>
    <row r="357" spans="15:59">
      <c r="O357" s="1"/>
      <c r="P357" s="1"/>
      <c r="AA357" s="1"/>
      <c r="AB357" s="1"/>
      <c r="AG357" s="1"/>
      <c r="AH357" s="1"/>
      <c r="AK357" s="1"/>
      <c r="AL357" s="1"/>
      <c r="AM357" s="2"/>
      <c r="AN357" s="2"/>
      <c r="AQ357" s="1"/>
      <c r="BG357" s="1"/>
    </row>
    <row r="358" spans="15:59">
      <c r="O358" s="1"/>
      <c r="P358" s="1"/>
      <c r="AA358" s="1"/>
      <c r="AB358" s="1"/>
      <c r="AG358" s="1"/>
      <c r="AH358" s="1"/>
      <c r="AK358" s="1"/>
      <c r="AL358" s="1"/>
      <c r="AM358" s="2"/>
      <c r="AN358" s="2"/>
      <c r="AQ358" s="1"/>
      <c r="BG358" s="1"/>
    </row>
    <row r="359" spans="15:59">
      <c r="O359" s="1"/>
      <c r="P359" s="1"/>
      <c r="AA359" s="1"/>
      <c r="AB359" s="1"/>
      <c r="AG359" s="1"/>
      <c r="AH359" s="1"/>
      <c r="AK359" s="1"/>
      <c r="AL359" s="1"/>
      <c r="AM359" s="2"/>
      <c r="AN359" s="2"/>
      <c r="AQ359" s="1"/>
      <c r="BG359" s="1"/>
    </row>
    <row r="360" spans="15:59">
      <c r="O360" s="1"/>
      <c r="P360" s="1"/>
      <c r="AA360" s="1"/>
      <c r="AB360" s="1"/>
      <c r="AG360" s="1"/>
      <c r="AH360" s="1"/>
      <c r="AK360" s="1"/>
      <c r="AL360" s="1"/>
      <c r="AM360" s="2"/>
      <c r="AN360" s="2"/>
      <c r="AQ360" s="1"/>
      <c r="BG360" s="1"/>
    </row>
    <row r="361" spans="15:59">
      <c r="O361" s="1"/>
      <c r="P361" s="1"/>
      <c r="AA361" s="1"/>
      <c r="AB361" s="1"/>
      <c r="AG361" s="1"/>
      <c r="AH361" s="1"/>
      <c r="AK361" s="1"/>
      <c r="AL361" s="1"/>
      <c r="AM361" s="2"/>
      <c r="AN361" s="2"/>
      <c r="AQ361" s="1"/>
      <c r="BG361" s="1"/>
    </row>
    <row r="362" spans="15:59">
      <c r="O362" s="1"/>
      <c r="P362" s="1"/>
      <c r="AA362" s="1"/>
      <c r="AB362" s="1"/>
      <c r="AG362" s="1"/>
      <c r="AH362" s="1"/>
      <c r="AK362" s="1"/>
      <c r="AL362" s="1"/>
      <c r="AM362" s="2"/>
      <c r="AN362" s="2"/>
      <c r="AQ362" s="1"/>
      <c r="BG362" s="1"/>
    </row>
    <row r="363" spans="15:59">
      <c r="O363" s="1"/>
      <c r="P363" s="1"/>
      <c r="AA363" s="1"/>
      <c r="AB363" s="1"/>
      <c r="AG363" s="1"/>
      <c r="AH363" s="1"/>
      <c r="AK363" s="1"/>
      <c r="AL363" s="1"/>
      <c r="AM363" s="2"/>
      <c r="AN363" s="2"/>
      <c r="AQ363" s="1"/>
      <c r="BG363" s="1"/>
    </row>
    <row r="364" spans="15:59">
      <c r="O364" s="1"/>
      <c r="P364" s="1"/>
      <c r="AA364" s="1"/>
      <c r="AB364" s="1"/>
      <c r="AG364" s="1"/>
      <c r="AH364" s="1"/>
      <c r="AK364" s="1"/>
      <c r="AL364" s="1"/>
      <c r="AM364" s="2"/>
      <c r="AN364" s="2"/>
      <c r="AQ364" s="1"/>
      <c r="BG364" s="1"/>
    </row>
    <row r="365" spans="15:59">
      <c r="O365" s="1"/>
      <c r="P365" s="1"/>
      <c r="AA365" s="1"/>
      <c r="AB365" s="1"/>
      <c r="AG365" s="1"/>
      <c r="AH365" s="1"/>
      <c r="AK365" s="1"/>
      <c r="AL365" s="1"/>
      <c r="AM365" s="2"/>
      <c r="AN365" s="2"/>
      <c r="AQ365" s="1"/>
      <c r="BG365" s="1"/>
    </row>
    <row r="366" spans="15:59">
      <c r="O366" s="1"/>
      <c r="P366" s="1"/>
      <c r="AA366" s="1"/>
      <c r="AB366" s="1"/>
      <c r="AG366" s="1"/>
      <c r="AH366" s="1"/>
      <c r="AK366" s="1"/>
      <c r="AL366" s="1"/>
      <c r="AM366" s="2"/>
      <c r="AN366" s="2"/>
      <c r="AQ366" s="1"/>
      <c r="BG366" s="1"/>
    </row>
    <row r="367" spans="15:59">
      <c r="O367" s="1"/>
      <c r="P367" s="1"/>
      <c r="AA367" s="1"/>
      <c r="AB367" s="1"/>
      <c r="AG367" s="1"/>
      <c r="AH367" s="1"/>
      <c r="AK367" s="1"/>
      <c r="AL367" s="1"/>
      <c r="AM367" s="2"/>
      <c r="AN367" s="2"/>
      <c r="AQ367" s="1"/>
      <c r="BG367" s="1"/>
    </row>
    <row r="368" spans="15:59">
      <c r="O368" s="1"/>
      <c r="P368" s="1"/>
      <c r="AA368" s="1"/>
      <c r="AB368" s="1"/>
      <c r="AG368" s="1"/>
      <c r="AH368" s="1"/>
      <c r="AK368" s="1"/>
      <c r="AL368" s="1"/>
      <c r="AM368" s="2"/>
      <c r="AN368" s="2"/>
      <c r="AQ368" s="1"/>
      <c r="BG368" s="1"/>
    </row>
    <row r="369" spans="15:59">
      <c r="O369" s="1"/>
      <c r="P369" s="1"/>
      <c r="AA369" s="1"/>
      <c r="AB369" s="1"/>
      <c r="AG369" s="1"/>
      <c r="AH369" s="1"/>
      <c r="AK369" s="1"/>
      <c r="AL369" s="1"/>
      <c r="AM369" s="2"/>
      <c r="AN369" s="2"/>
      <c r="AQ369" s="1"/>
      <c r="BG369" s="1"/>
    </row>
    <row r="370" spans="15:59">
      <c r="O370" s="1"/>
      <c r="P370" s="1"/>
      <c r="AA370" s="1"/>
      <c r="AB370" s="1"/>
      <c r="AG370" s="1"/>
      <c r="AH370" s="1"/>
      <c r="AK370" s="1"/>
      <c r="AL370" s="1"/>
      <c r="AM370" s="2"/>
      <c r="AN370" s="2"/>
      <c r="AQ370" s="1"/>
      <c r="BG370" s="1"/>
    </row>
    <row r="371" spans="15:59">
      <c r="O371" s="1"/>
      <c r="P371" s="1"/>
      <c r="AA371" s="1"/>
      <c r="AB371" s="1"/>
      <c r="AG371" s="1"/>
      <c r="AH371" s="1"/>
      <c r="AK371" s="1"/>
      <c r="AL371" s="1"/>
      <c r="AM371" s="2"/>
      <c r="AN371" s="2"/>
      <c r="AQ371" s="1"/>
      <c r="BG371" s="1"/>
    </row>
    <row r="372" spans="15:59">
      <c r="O372" s="1"/>
      <c r="P372" s="1"/>
      <c r="AA372" s="1"/>
      <c r="AB372" s="1"/>
      <c r="AG372" s="1"/>
      <c r="AH372" s="1"/>
      <c r="AK372" s="1"/>
      <c r="AL372" s="1"/>
      <c r="AM372" s="2"/>
      <c r="AN372" s="2"/>
      <c r="AQ372" s="1"/>
      <c r="BG372" s="1"/>
    </row>
    <row r="373" spans="15:59">
      <c r="O373" s="1"/>
      <c r="P373" s="1"/>
      <c r="AA373" s="1"/>
      <c r="AB373" s="1"/>
      <c r="AG373" s="1"/>
      <c r="AH373" s="1"/>
      <c r="AK373" s="1"/>
      <c r="AL373" s="1"/>
      <c r="AM373" s="2"/>
      <c r="AN373" s="2"/>
      <c r="AQ373" s="1"/>
      <c r="BG373" s="1"/>
    </row>
    <row r="374" spans="15:59">
      <c r="O374" s="1"/>
      <c r="P374" s="1"/>
      <c r="AA374" s="1"/>
      <c r="AB374" s="1"/>
      <c r="AG374" s="1"/>
      <c r="AH374" s="1"/>
      <c r="AK374" s="1"/>
      <c r="AL374" s="1"/>
      <c r="AM374" s="2"/>
      <c r="AN374" s="2"/>
      <c r="AQ374" s="1"/>
      <c r="BG374" s="1"/>
    </row>
    <row r="375" spans="15:59">
      <c r="O375" s="1"/>
      <c r="P375" s="1"/>
      <c r="AA375" s="1"/>
      <c r="AB375" s="1"/>
      <c r="AG375" s="1"/>
      <c r="AH375" s="1"/>
      <c r="AK375" s="1"/>
      <c r="AL375" s="1"/>
      <c r="AM375" s="2"/>
      <c r="AN375" s="2"/>
      <c r="AQ375" s="1"/>
      <c r="BG375" s="1"/>
    </row>
    <row r="376" spans="15:59">
      <c r="O376" s="1"/>
      <c r="P376" s="1"/>
      <c r="AA376" s="1"/>
      <c r="AB376" s="1"/>
      <c r="AG376" s="1"/>
      <c r="AH376" s="1"/>
      <c r="AK376" s="1"/>
      <c r="AL376" s="1"/>
      <c r="AM376" s="2"/>
      <c r="AN376" s="2"/>
      <c r="AQ376" s="1"/>
      <c r="BG376" s="1"/>
    </row>
    <row r="377" spans="15:59">
      <c r="O377" s="1"/>
      <c r="P377" s="1"/>
      <c r="AA377" s="1"/>
      <c r="AB377" s="1"/>
      <c r="AG377" s="1"/>
      <c r="AH377" s="1"/>
      <c r="AK377" s="1"/>
      <c r="AL377" s="1"/>
      <c r="AM377" s="2"/>
      <c r="AN377" s="2"/>
      <c r="AQ377" s="1"/>
      <c r="BG377" s="1"/>
    </row>
    <row r="378" spans="15:59">
      <c r="O378" s="1"/>
      <c r="P378" s="1"/>
      <c r="AA378" s="1"/>
      <c r="AB378" s="1"/>
      <c r="AG378" s="1"/>
      <c r="AH378" s="1"/>
      <c r="AK378" s="1"/>
      <c r="AL378" s="1"/>
      <c r="AM378" s="2"/>
      <c r="AN378" s="2"/>
      <c r="AQ378" s="1"/>
      <c r="BG378" s="1"/>
    </row>
    <row r="379" spans="15:59">
      <c r="O379" s="1"/>
      <c r="P379" s="1"/>
      <c r="AA379" s="1"/>
      <c r="AB379" s="1"/>
      <c r="AG379" s="1"/>
      <c r="AH379" s="1"/>
      <c r="AK379" s="1"/>
      <c r="AL379" s="1"/>
      <c r="AM379" s="2"/>
      <c r="AN379" s="2"/>
      <c r="AQ379" s="1"/>
      <c r="BG379" s="1"/>
    </row>
    <row r="380" spans="15:59">
      <c r="O380" s="1"/>
      <c r="P380" s="1"/>
      <c r="AA380" s="1"/>
      <c r="AB380" s="1"/>
      <c r="AG380" s="1"/>
      <c r="AH380" s="1"/>
      <c r="AK380" s="1"/>
      <c r="AL380" s="1"/>
      <c r="AM380" s="2"/>
      <c r="AN380" s="2"/>
      <c r="AQ380" s="1"/>
      <c r="BG380" s="1"/>
    </row>
    <row r="381" spans="15:59">
      <c r="O381" s="1"/>
      <c r="P381" s="1"/>
      <c r="AA381" s="1"/>
      <c r="AB381" s="1"/>
      <c r="AG381" s="1"/>
      <c r="AH381" s="1"/>
      <c r="AK381" s="1"/>
      <c r="AL381" s="1"/>
      <c r="AM381" s="2"/>
      <c r="AN381" s="2"/>
      <c r="AQ381" s="1"/>
      <c r="BG381" s="1"/>
    </row>
    <row r="382" spans="15:59">
      <c r="O382" s="1"/>
      <c r="P382" s="1"/>
      <c r="AA382" s="1"/>
      <c r="AB382" s="1"/>
      <c r="AG382" s="1"/>
      <c r="AH382" s="1"/>
      <c r="AK382" s="1"/>
      <c r="AL382" s="1"/>
      <c r="AM382" s="2"/>
      <c r="AN382" s="2"/>
      <c r="AQ382" s="1"/>
      <c r="BG382" s="1"/>
    </row>
    <row r="383" spans="15:59">
      <c r="O383" s="1"/>
      <c r="P383" s="1"/>
      <c r="AA383" s="1"/>
      <c r="AB383" s="1"/>
      <c r="AG383" s="1"/>
      <c r="AH383" s="1"/>
      <c r="AK383" s="1"/>
      <c r="AL383" s="1"/>
      <c r="AM383" s="2"/>
      <c r="AN383" s="2"/>
      <c r="AQ383" s="1"/>
      <c r="BG383" s="1"/>
    </row>
    <row r="384" spans="15:59">
      <c r="O384" s="1"/>
      <c r="P384" s="1"/>
      <c r="AA384" s="1"/>
      <c r="AB384" s="1"/>
      <c r="AG384" s="1"/>
      <c r="AH384" s="1"/>
      <c r="AK384" s="1"/>
      <c r="AL384" s="1"/>
      <c r="AM384" s="2"/>
      <c r="AN384" s="2"/>
      <c r="AQ384" s="1"/>
      <c r="BG384" s="1"/>
    </row>
    <row r="385" spans="15:59">
      <c r="O385" s="1"/>
      <c r="P385" s="1"/>
      <c r="AA385" s="1"/>
      <c r="AB385" s="1"/>
      <c r="AG385" s="1"/>
      <c r="AH385" s="1"/>
      <c r="AK385" s="1"/>
      <c r="AL385" s="1"/>
      <c r="AM385" s="2"/>
      <c r="AN385" s="2"/>
      <c r="AQ385" s="1"/>
      <c r="BG385" s="1"/>
    </row>
    <row r="386" spans="15:59">
      <c r="O386" s="1"/>
      <c r="P386" s="1"/>
      <c r="AA386" s="1"/>
      <c r="AB386" s="1"/>
      <c r="AG386" s="1"/>
      <c r="AH386" s="1"/>
      <c r="AK386" s="1"/>
      <c r="AL386" s="1"/>
      <c r="AM386" s="2"/>
      <c r="AN386" s="2"/>
      <c r="AQ386" s="1"/>
      <c r="BG386" s="1"/>
    </row>
    <row r="387" spans="15:59">
      <c r="O387" s="1"/>
      <c r="P387" s="1"/>
      <c r="AA387" s="1"/>
      <c r="AB387" s="1"/>
      <c r="AG387" s="1"/>
      <c r="AH387" s="1"/>
      <c r="AK387" s="1"/>
      <c r="AL387" s="1"/>
      <c r="AM387" s="2"/>
      <c r="AN387" s="2"/>
      <c r="AQ387" s="1"/>
      <c r="BG387" s="1"/>
    </row>
    <row r="388" spans="15:59">
      <c r="O388" s="1"/>
      <c r="P388" s="1"/>
      <c r="AA388" s="1"/>
      <c r="AB388" s="1"/>
      <c r="AG388" s="1"/>
      <c r="AH388" s="1"/>
      <c r="AK388" s="1"/>
      <c r="AL388" s="1"/>
      <c r="AM388" s="2"/>
      <c r="AN388" s="2"/>
      <c r="AQ388" s="1"/>
      <c r="BG388" s="1"/>
    </row>
    <row r="389" spans="15:59">
      <c r="O389" s="1"/>
      <c r="P389" s="1"/>
      <c r="AA389" s="1"/>
      <c r="AB389" s="1"/>
      <c r="AG389" s="1"/>
      <c r="AH389" s="1"/>
      <c r="AK389" s="1"/>
      <c r="AL389" s="1"/>
      <c r="AM389" s="2"/>
      <c r="AN389" s="2"/>
      <c r="AQ389" s="1"/>
      <c r="BG389" s="1"/>
    </row>
    <row r="390" spans="15:59">
      <c r="O390" s="1"/>
      <c r="P390" s="1"/>
      <c r="AA390" s="1"/>
      <c r="AB390" s="1"/>
      <c r="AG390" s="1"/>
      <c r="AH390" s="1"/>
      <c r="AK390" s="1"/>
      <c r="AL390" s="1"/>
      <c r="AM390" s="2"/>
      <c r="AN390" s="2"/>
      <c r="AQ390" s="1"/>
      <c r="BG390" s="1"/>
    </row>
    <row r="391" spans="15:59">
      <c r="O391" s="1"/>
      <c r="P391" s="1"/>
      <c r="AA391" s="1"/>
      <c r="AB391" s="1"/>
      <c r="AG391" s="1"/>
      <c r="AH391" s="1"/>
      <c r="AK391" s="1"/>
      <c r="AL391" s="1"/>
      <c r="AM391" s="2"/>
      <c r="AN391" s="2"/>
      <c r="AQ391" s="1"/>
      <c r="BG391" s="1"/>
    </row>
    <row r="392" spans="15:59">
      <c r="O392" s="1"/>
      <c r="P392" s="1"/>
      <c r="AA392" s="1"/>
      <c r="AB392" s="1"/>
      <c r="AG392" s="1"/>
      <c r="AH392" s="1"/>
      <c r="AK392" s="1"/>
      <c r="AL392" s="1"/>
      <c r="AM392" s="2"/>
      <c r="AN392" s="2"/>
      <c r="AQ392" s="1"/>
      <c r="BG392" s="1"/>
    </row>
    <row r="393" spans="15:59">
      <c r="O393" s="1"/>
      <c r="P393" s="1"/>
      <c r="AA393" s="1"/>
      <c r="AB393" s="1"/>
      <c r="AG393" s="1"/>
      <c r="AH393" s="1"/>
      <c r="AK393" s="1"/>
      <c r="AL393" s="1"/>
      <c r="AM393" s="2"/>
      <c r="AN393" s="2"/>
      <c r="AQ393" s="1"/>
      <c r="BG393" s="1"/>
    </row>
    <row r="394" spans="15:59">
      <c r="O394" s="1"/>
      <c r="P394" s="1"/>
      <c r="AA394" s="1"/>
      <c r="AB394" s="1"/>
      <c r="AG394" s="1"/>
      <c r="AH394" s="1"/>
      <c r="AK394" s="1"/>
      <c r="AL394" s="1"/>
      <c r="AM394" s="2"/>
      <c r="AN394" s="2"/>
      <c r="AQ394" s="1"/>
      <c r="BG394" s="1"/>
    </row>
    <row r="395" spans="15:59">
      <c r="O395" s="1"/>
      <c r="P395" s="1"/>
      <c r="AA395" s="1"/>
      <c r="AB395" s="1"/>
      <c r="AG395" s="1"/>
      <c r="AH395" s="1"/>
      <c r="AK395" s="1"/>
      <c r="AL395" s="1"/>
      <c r="AM395" s="2"/>
      <c r="AN395" s="2"/>
      <c r="AQ395" s="1"/>
      <c r="BG395" s="1"/>
    </row>
    <row r="396" spans="15:59">
      <c r="O396" s="1"/>
      <c r="P396" s="1"/>
      <c r="AA396" s="1"/>
      <c r="AB396" s="1"/>
      <c r="AG396" s="1"/>
      <c r="AH396" s="1"/>
      <c r="AK396" s="1"/>
      <c r="AL396" s="1"/>
      <c r="AM396" s="2"/>
      <c r="AN396" s="2"/>
      <c r="AQ396" s="1"/>
      <c r="BG396" s="1"/>
    </row>
    <row r="397" spans="15:59">
      <c r="O397" s="1"/>
      <c r="P397" s="1"/>
      <c r="AA397" s="1"/>
      <c r="AB397" s="1"/>
      <c r="AG397" s="1"/>
      <c r="AH397" s="1"/>
      <c r="AK397" s="1"/>
      <c r="AL397" s="1"/>
      <c r="AM397" s="2"/>
      <c r="AN397" s="2"/>
      <c r="AQ397" s="1"/>
      <c r="BG397" s="1"/>
    </row>
    <row r="398" spans="15:59">
      <c r="O398" s="1"/>
      <c r="P398" s="1"/>
      <c r="AA398" s="1"/>
      <c r="AB398" s="1"/>
      <c r="AG398" s="1"/>
      <c r="AH398" s="1"/>
      <c r="AK398" s="1"/>
      <c r="AL398" s="1"/>
      <c r="AM398" s="2"/>
      <c r="AN398" s="2"/>
      <c r="AQ398" s="1"/>
      <c r="BG398" s="1"/>
    </row>
    <row r="399" spans="15:59">
      <c r="O399" s="1"/>
      <c r="P399" s="1"/>
      <c r="AA399" s="1"/>
      <c r="AB399" s="1"/>
      <c r="AG399" s="1"/>
      <c r="AH399" s="1"/>
      <c r="AK399" s="1"/>
      <c r="AL399" s="1"/>
      <c r="AM399" s="2"/>
      <c r="AN399" s="2"/>
      <c r="AQ399" s="1"/>
      <c r="BG399" s="1"/>
    </row>
    <row r="400" spans="15:59">
      <c r="O400" s="1"/>
      <c r="P400" s="1"/>
      <c r="AA400" s="1"/>
      <c r="AB400" s="1"/>
      <c r="AG400" s="1"/>
      <c r="AH400" s="1"/>
      <c r="AK400" s="1"/>
      <c r="AL400" s="1"/>
      <c r="AM400" s="2"/>
      <c r="AN400" s="2"/>
      <c r="AQ400" s="1"/>
      <c r="BG400" s="1"/>
    </row>
    <row r="401" spans="15:59">
      <c r="O401" s="1"/>
      <c r="P401" s="1"/>
      <c r="AA401" s="1"/>
      <c r="AB401" s="1"/>
      <c r="AG401" s="1"/>
      <c r="AH401" s="1"/>
      <c r="AK401" s="1"/>
      <c r="AL401" s="1"/>
      <c r="AM401" s="2"/>
      <c r="AN401" s="2"/>
      <c r="AQ401" s="1"/>
      <c r="BG401" s="1"/>
    </row>
    <row r="402" spans="15:59">
      <c r="O402" s="1"/>
      <c r="P402" s="1"/>
      <c r="AA402" s="1"/>
      <c r="AB402" s="1"/>
      <c r="AG402" s="1"/>
      <c r="AH402" s="1"/>
      <c r="AK402" s="1"/>
      <c r="AL402" s="1"/>
      <c r="AM402" s="2"/>
      <c r="AN402" s="2"/>
      <c r="AQ402" s="1"/>
      <c r="BG402" s="1"/>
    </row>
    <row r="403" spans="15:59">
      <c r="O403" s="1"/>
      <c r="P403" s="1"/>
      <c r="AA403" s="1"/>
      <c r="AB403" s="1"/>
      <c r="AG403" s="1"/>
      <c r="AH403" s="1"/>
      <c r="AK403" s="1"/>
      <c r="AL403" s="1"/>
      <c r="AM403" s="2"/>
      <c r="AN403" s="2"/>
      <c r="AQ403" s="1"/>
      <c r="BG403" s="1"/>
    </row>
    <row r="404" spans="15:59">
      <c r="O404" s="1"/>
      <c r="P404" s="1"/>
      <c r="AA404" s="1"/>
      <c r="AB404" s="1"/>
      <c r="AG404" s="1"/>
      <c r="AH404" s="1"/>
      <c r="AK404" s="1"/>
      <c r="AL404" s="1"/>
      <c r="AM404" s="2"/>
      <c r="AN404" s="2"/>
      <c r="AQ404" s="1"/>
      <c r="BG404" s="1"/>
    </row>
    <row r="405" spans="15:59">
      <c r="O405" s="1"/>
      <c r="P405" s="1"/>
      <c r="AA405" s="1"/>
      <c r="AB405" s="1"/>
      <c r="AG405" s="1"/>
      <c r="AH405" s="1"/>
      <c r="AK405" s="1"/>
      <c r="AL405" s="1"/>
      <c r="AM405" s="2"/>
      <c r="AN405" s="2"/>
      <c r="AQ405" s="1"/>
      <c r="BG405" s="1"/>
    </row>
    <row r="406" spans="15:59">
      <c r="O406" s="1"/>
      <c r="P406" s="1"/>
      <c r="AA406" s="1"/>
      <c r="AB406" s="1"/>
      <c r="AG406" s="1"/>
      <c r="AH406" s="1"/>
      <c r="AK406" s="1"/>
      <c r="AL406" s="1"/>
      <c r="AM406" s="2"/>
      <c r="AN406" s="2"/>
      <c r="AQ406" s="1"/>
      <c r="BG406" s="1"/>
    </row>
    <row r="407" spans="15:59">
      <c r="O407" s="1"/>
      <c r="P407" s="1"/>
      <c r="AA407" s="1"/>
      <c r="AB407" s="1"/>
      <c r="AG407" s="1"/>
      <c r="AH407" s="1"/>
      <c r="AK407" s="1"/>
      <c r="AL407" s="1"/>
      <c r="AM407" s="2"/>
      <c r="AN407" s="2"/>
      <c r="AQ407" s="1"/>
      <c r="BG407" s="1"/>
    </row>
    <row r="408" spans="15:59">
      <c r="O408" s="1"/>
      <c r="P408" s="1"/>
      <c r="AA408" s="1"/>
      <c r="AB408" s="1"/>
      <c r="AG408" s="1"/>
      <c r="AH408" s="1"/>
      <c r="AK408" s="1"/>
      <c r="AL408" s="1"/>
      <c r="AM408" s="2"/>
      <c r="AN408" s="2"/>
      <c r="AQ408" s="1"/>
      <c r="BG408" s="1"/>
    </row>
    <row r="409" spans="15:59">
      <c r="O409" s="1"/>
      <c r="P409" s="1"/>
      <c r="AA409" s="1"/>
      <c r="AB409" s="1"/>
      <c r="AG409" s="1"/>
      <c r="AH409" s="1"/>
      <c r="AK409" s="1"/>
      <c r="AL409" s="1"/>
      <c r="AM409" s="2"/>
      <c r="AN409" s="2"/>
      <c r="AQ409" s="1"/>
      <c r="BG409" s="1"/>
    </row>
    <row r="410" spans="15:59">
      <c r="O410" s="1"/>
      <c r="P410" s="1"/>
      <c r="AA410" s="1"/>
      <c r="AB410" s="1"/>
      <c r="AG410" s="1"/>
      <c r="AH410" s="1"/>
      <c r="AK410" s="1"/>
      <c r="AL410" s="1"/>
      <c r="AM410" s="2"/>
      <c r="AN410" s="2"/>
      <c r="AQ410" s="1"/>
      <c r="BG410" s="1"/>
    </row>
    <row r="411" spans="15:59">
      <c r="O411" s="1"/>
      <c r="P411" s="1"/>
      <c r="AA411" s="1"/>
      <c r="AB411" s="1"/>
      <c r="AG411" s="1"/>
      <c r="AH411" s="1"/>
      <c r="AK411" s="1"/>
      <c r="AL411" s="1"/>
      <c r="AM411" s="2"/>
      <c r="AN411" s="2"/>
      <c r="AQ411" s="1"/>
      <c r="BG411" s="1"/>
    </row>
    <row r="412" spans="15:59">
      <c r="O412" s="1"/>
      <c r="P412" s="1"/>
      <c r="AA412" s="1"/>
      <c r="AB412" s="1"/>
      <c r="AG412" s="1"/>
      <c r="AH412" s="1"/>
      <c r="AK412" s="1"/>
      <c r="AL412" s="1"/>
      <c r="AM412" s="2"/>
      <c r="AN412" s="2"/>
      <c r="AQ412" s="1"/>
      <c r="BG412" s="1"/>
    </row>
    <row r="413" spans="15:59">
      <c r="O413" s="1"/>
      <c r="P413" s="1"/>
      <c r="AA413" s="1"/>
      <c r="AB413" s="1"/>
      <c r="AG413" s="1"/>
      <c r="AH413" s="1"/>
      <c r="AK413" s="1"/>
      <c r="AL413" s="1"/>
      <c r="AM413" s="2"/>
      <c r="AN413" s="2"/>
      <c r="AQ413" s="1"/>
      <c r="BG413" s="1"/>
    </row>
    <row r="414" spans="15:59">
      <c r="O414" s="1"/>
      <c r="P414" s="1"/>
      <c r="AA414" s="1"/>
      <c r="AB414" s="1"/>
      <c r="AG414" s="1"/>
      <c r="AH414" s="1"/>
      <c r="AK414" s="1"/>
      <c r="AL414" s="1"/>
      <c r="AM414" s="2"/>
      <c r="AN414" s="2"/>
      <c r="AQ414" s="1"/>
      <c r="BG414" s="1"/>
    </row>
    <row r="415" spans="15:59">
      <c r="O415" s="1"/>
      <c r="P415" s="1"/>
      <c r="AA415" s="1"/>
      <c r="AB415" s="1"/>
      <c r="AG415" s="1"/>
      <c r="AH415" s="1"/>
      <c r="AK415" s="1"/>
      <c r="AL415" s="1"/>
      <c r="AM415" s="2"/>
      <c r="AN415" s="2"/>
      <c r="AQ415" s="1"/>
      <c r="BG415" s="1"/>
    </row>
    <row r="416" spans="15:59">
      <c r="O416" s="1"/>
      <c r="P416" s="1"/>
      <c r="AA416" s="1"/>
      <c r="AB416" s="1"/>
      <c r="AG416" s="1"/>
      <c r="AH416" s="1"/>
      <c r="AK416" s="1"/>
      <c r="AL416" s="1"/>
      <c r="AM416" s="2"/>
      <c r="AN416" s="2"/>
      <c r="AQ416" s="1"/>
      <c r="BG416" s="1"/>
    </row>
    <row r="417" spans="15:59">
      <c r="O417" s="1"/>
      <c r="P417" s="1"/>
      <c r="AA417" s="1"/>
      <c r="AB417" s="1"/>
      <c r="AG417" s="1"/>
      <c r="AH417" s="1"/>
      <c r="AK417" s="1"/>
      <c r="AL417" s="1"/>
      <c r="AM417" s="2"/>
      <c r="AN417" s="2"/>
      <c r="AQ417" s="1"/>
      <c r="BG417" s="1"/>
    </row>
    <row r="418" spans="15:59">
      <c r="O418" s="1"/>
      <c r="P418" s="1"/>
      <c r="AA418" s="1"/>
      <c r="AB418" s="1"/>
      <c r="AG418" s="1"/>
      <c r="AH418" s="1"/>
      <c r="AK418" s="1"/>
      <c r="AL418" s="1"/>
      <c r="AM418" s="2"/>
      <c r="AN418" s="2"/>
      <c r="AQ418" s="1"/>
      <c r="BG418" s="1"/>
    </row>
    <row r="419" spans="15:59">
      <c r="O419" s="1"/>
      <c r="P419" s="1"/>
      <c r="AA419" s="1"/>
      <c r="AB419" s="1"/>
      <c r="AG419" s="1"/>
      <c r="AH419" s="1"/>
      <c r="AK419" s="1"/>
      <c r="AL419" s="1"/>
      <c r="AM419" s="2"/>
      <c r="AN419" s="2"/>
      <c r="AQ419" s="1"/>
      <c r="BG419" s="1"/>
    </row>
    <row r="420" spans="15:59">
      <c r="O420" s="1"/>
      <c r="P420" s="1"/>
      <c r="AA420" s="1"/>
      <c r="AB420" s="1"/>
      <c r="AG420" s="1"/>
      <c r="AH420" s="1"/>
      <c r="AK420" s="1"/>
      <c r="AL420" s="1"/>
      <c r="AM420" s="2"/>
      <c r="AN420" s="2"/>
      <c r="AQ420" s="1"/>
      <c r="BG420" s="1"/>
    </row>
    <row r="421" spans="15:59">
      <c r="O421" s="1"/>
      <c r="P421" s="1"/>
      <c r="AA421" s="1"/>
      <c r="AB421" s="1"/>
      <c r="AG421" s="1"/>
      <c r="AH421" s="1"/>
      <c r="AK421" s="1"/>
      <c r="AL421" s="1"/>
      <c r="AM421" s="2"/>
      <c r="AN421" s="2"/>
      <c r="AQ421" s="1"/>
      <c r="BG421" s="1"/>
    </row>
    <row r="422" spans="15:59">
      <c r="O422" s="1"/>
      <c r="P422" s="1"/>
      <c r="AA422" s="1"/>
      <c r="AB422" s="1"/>
      <c r="AG422" s="1"/>
      <c r="AH422" s="1"/>
      <c r="AK422" s="1"/>
      <c r="AL422" s="1"/>
      <c r="AM422" s="2"/>
      <c r="AN422" s="2"/>
      <c r="AQ422" s="1"/>
      <c r="BG422" s="1"/>
    </row>
    <row r="423" spans="15:59">
      <c r="O423" s="1"/>
      <c r="P423" s="1"/>
      <c r="AA423" s="1"/>
      <c r="AB423" s="1"/>
      <c r="AG423" s="1"/>
      <c r="AH423" s="1"/>
      <c r="AK423" s="1"/>
      <c r="AL423" s="1"/>
      <c r="AM423" s="2"/>
      <c r="AN423" s="2"/>
      <c r="AQ423" s="1"/>
      <c r="BG423" s="1"/>
    </row>
    <row r="424" spans="15:59">
      <c r="O424" s="1"/>
      <c r="P424" s="1"/>
      <c r="AA424" s="1"/>
      <c r="AB424" s="1"/>
      <c r="AG424" s="1"/>
      <c r="AH424" s="1"/>
      <c r="AK424" s="1"/>
      <c r="AL424" s="1"/>
      <c r="AM424" s="2"/>
      <c r="AN424" s="2"/>
      <c r="AQ424" s="1"/>
      <c r="BG424" s="1"/>
    </row>
    <row r="425" spans="15:59">
      <c r="O425" s="1"/>
      <c r="P425" s="1"/>
      <c r="AA425" s="1"/>
      <c r="AB425" s="1"/>
      <c r="AG425" s="1"/>
      <c r="AH425" s="1"/>
      <c r="AK425" s="1"/>
      <c r="AL425" s="1"/>
      <c r="AM425" s="2"/>
      <c r="AN425" s="2"/>
      <c r="AQ425" s="1"/>
      <c r="BG425" s="1"/>
    </row>
    <row r="426" spans="15:59">
      <c r="O426" s="1"/>
      <c r="P426" s="1"/>
      <c r="AA426" s="1"/>
      <c r="AB426" s="1"/>
      <c r="AG426" s="1"/>
      <c r="AH426" s="1"/>
      <c r="AK426" s="1"/>
      <c r="AL426" s="1"/>
      <c r="AM426" s="2"/>
      <c r="AN426" s="2"/>
      <c r="AQ426" s="1"/>
      <c r="BG426" s="1"/>
    </row>
    <row r="427" spans="15:59">
      <c r="O427" s="1"/>
      <c r="P427" s="1"/>
      <c r="AA427" s="1"/>
      <c r="AB427" s="1"/>
      <c r="AG427" s="1"/>
      <c r="AH427" s="1"/>
      <c r="AK427" s="1"/>
      <c r="AL427" s="1"/>
      <c r="AM427" s="2"/>
      <c r="AN427" s="2"/>
      <c r="AQ427" s="1"/>
      <c r="BG427" s="1"/>
    </row>
    <row r="428" spans="15:59">
      <c r="O428" s="1"/>
      <c r="P428" s="1"/>
      <c r="AA428" s="1"/>
      <c r="AB428" s="1"/>
      <c r="AG428" s="1"/>
      <c r="AH428" s="1"/>
      <c r="AK428" s="1"/>
      <c r="AL428" s="1"/>
      <c r="AM428" s="2"/>
      <c r="AN428" s="2"/>
      <c r="AQ428" s="1"/>
      <c r="BG428" s="1"/>
    </row>
    <row r="429" spans="15:59">
      <c r="O429" s="1"/>
      <c r="P429" s="1"/>
      <c r="AA429" s="1"/>
      <c r="AB429" s="1"/>
      <c r="AG429" s="1"/>
      <c r="AH429" s="1"/>
      <c r="AK429" s="1"/>
      <c r="AL429" s="1"/>
      <c r="AM429" s="2"/>
      <c r="AN429" s="2"/>
      <c r="AQ429" s="1"/>
      <c r="BG429" s="1"/>
    </row>
    <row r="430" spans="15:59">
      <c r="O430" s="1"/>
      <c r="P430" s="1"/>
      <c r="AA430" s="1"/>
      <c r="AB430" s="1"/>
      <c r="AG430" s="1"/>
      <c r="AH430" s="1"/>
      <c r="AK430" s="1"/>
      <c r="AL430" s="1"/>
      <c r="AM430" s="2"/>
      <c r="AN430" s="2"/>
      <c r="AQ430" s="1"/>
      <c r="BG430" s="1"/>
    </row>
    <row r="431" spans="15:59">
      <c r="O431" s="1"/>
      <c r="P431" s="1"/>
      <c r="AA431" s="1"/>
      <c r="AB431" s="1"/>
      <c r="AG431" s="1"/>
      <c r="AH431" s="1"/>
      <c r="AK431" s="1"/>
      <c r="AL431" s="1"/>
      <c r="AM431" s="2"/>
      <c r="AN431" s="2"/>
      <c r="AQ431" s="1"/>
      <c r="BG431" s="1"/>
    </row>
    <row r="432" spans="15:59">
      <c r="O432" s="1"/>
      <c r="P432" s="1"/>
      <c r="AA432" s="1"/>
      <c r="AB432" s="1"/>
      <c r="AG432" s="1"/>
      <c r="AH432" s="1"/>
      <c r="AK432" s="1"/>
      <c r="AL432" s="1"/>
      <c r="AM432" s="2"/>
      <c r="AN432" s="2"/>
      <c r="AQ432" s="1"/>
      <c r="BG432" s="1"/>
    </row>
    <row r="433" spans="15:59">
      <c r="O433" s="1"/>
      <c r="P433" s="1"/>
      <c r="AA433" s="1"/>
      <c r="AB433" s="1"/>
      <c r="AG433" s="1"/>
      <c r="AH433" s="1"/>
      <c r="AK433" s="1"/>
      <c r="AL433" s="1"/>
      <c r="AM433" s="2"/>
      <c r="AN433" s="2"/>
      <c r="AQ433" s="1"/>
      <c r="BG433" s="1"/>
    </row>
    <row r="434" spans="15:59">
      <c r="O434" s="1"/>
      <c r="P434" s="1"/>
      <c r="AA434" s="1"/>
      <c r="AB434" s="1"/>
      <c r="AG434" s="1"/>
      <c r="AH434" s="1"/>
      <c r="AK434" s="1"/>
      <c r="AL434" s="1"/>
      <c r="AM434" s="2"/>
      <c r="AN434" s="2"/>
      <c r="AQ434" s="1"/>
      <c r="BG434" s="1"/>
    </row>
    <row r="435" spans="15:59">
      <c r="O435" s="1"/>
      <c r="P435" s="1"/>
      <c r="AA435" s="1"/>
      <c r="AB435" s="1"/>
      <c r="AG435" s="1"/>
      <c r="AH435" s="1"/>
      <c r="AK435" s="1"/>
      <c r="AL435" s="1"/>
      <c r="AM435" s="2"/>
      <c r="AN435" s="2"/>
      <c r="AQ435" s="1"/>
      <c r="BG435" s="1"/>
    </row>
    <row r="436" spans="15:59">
      <c r="O436" s="1"/>
      <c r="P436" s="1"/>
      <c r="AA436" s="1"/>
      <c r="AB436" s="1"/>
      <c r="AG436" s="1"/>
      <c r="AH436" s="1"/>
      <c r="AK436" s="1"/>
      <c r="AL436" s="1"/>
      <c r="AM436" s="2"/>
      <c r="AN436" s="2"/>
      <c r="AQ436" s="1"/>
      <c r="BG436" s="1"/>
    </row>
    <row r="437" spans="15:59">
      <c r="O437" s="1"/>
      <c r="P437" s="1"/>
      <c r="AA437" s="1"/>
      <c r="AB437" s="1"/>
      <c r="AG437" s="1"/>
      <c r="AH437" s="1"/>
      <c r="AK437" s="1"/>
      <c r="AL437" s="1"/>
      <c r="AM437" s="2"/>
      <c r="AN437" s="2"/>
      <c r="AQ437" s="1"/>
      <c r="BG437" s="1"/>
    </row>
    <row r="438" spans="15:59">
      <c r="O438" s="1"/>
      <c r="P438" s="1"/>
      <c r="AA438" s="1"/>
      <c r="AB438" s="1"/>
      <c r="AG438" s="1"/>
      <c r="AH438" s="1"/>
      <c r="AK438" s="1"/>
      <c r="AL438" s="1"/>
      <c r="AM438" s="2"/>
      <c r="AN438" s="2"/>
      <c r="AQ438" s="1"/>
      <c r="BG438" s="1"/>
    </row>
    <row r="439" spans="15:59">
      <c r="O439" s="1"/>
      <c r="P439" s="1"/>
      <c r="AA439" s="1"/>
      <c r="AB439" s="1"/>
      <c r="AG439" s="1"/>
      <c r="AH439" s="1"/>
      <c r="AK439" s="1"/>
      <c r="AL439" s="1"/>
      <c r="AM439" s="2"/>
      <c r="AN439" s="2"/>
      <c r="AQ439" s="1"/>
      <c r="BG439" s="1"/>
    </row>
    <row r="440" spans="15:59">
      <c r="O440" s="1"/>
      <c r="P440" s="1"/>
      <c r="AA440" s="1"/>
      <c r="AB440" s="1"/>
      <c r="AG440" s="1"/>
      <c r="AH440" s="1"/>
      <c r="AK440" s="1"/>
      <c r="AL440" s="1"/>
      <c r="AM440" s="2"/>
      <c r="AN440" s="2"/>
      <c r="AQ440" s="1"/>
      <c r="BG440" s="1"/>
    </row>
    <row r="441" spans="15:59">
      <c r="O441" s="1"/>
      <c r="P441" s="1"/>
      <c r="AA441" s="1"/>
      <c r="AB441" s="1"/>
      <c r="AG441" s="1"/>
      <c r="AH441" s="1"/>
      <c r="AK441" s="1"/>
      <c r="AL441" s="1"/>
      <c r="AM441" s="2"/>
      <c r="AN441" s="2"/>
      <c r="AQ441" s="1"/>
      <c r="BG441" s="1"/>
    </row>
    <row r="442" spans="15:59">
      <c r="O442" s="1"/>
      <c r="P442" s="1"/>
      <c r="AA442" s="1"/>
      <c r="AB442" s="1"/>
      <c r="AG442" s="1"/>
      <c r="AH442" s="1"/>
      <c r="AK442" s="1"/>
      <c r="AL442" s="1"/>
      <c r="AM442" s="2"/>
      <c r="AN442" s="2"/>
      <c r="AQ442" s="1"/>
      <c r="BG442" s="1"/>
    </row>
    <row r="443" spans="15:59">
      <c r="O443" s="1"/>
      <c r="P443" s="1"/>
      <c r="AA443" s="1"/>
      <c r="AB443" s="1"/>
      <c r="AG443" s="1"/>
      <c r="AH443" s="1"/>
      <c r="AK443" s="1"/>
      <c r="AL443" s="1"/>
      <c r="AM443" s="2"/>
      <c r="AN443" s="2"/>
      <c r="AQ443" s="1"/>
      <c r="BG443" s="1"/>
    </row>
    <row r="444" spans="15:59">
      <c r="O444" s="1"/>
      <c r="P444" s="1"/>
      <c r="AA444" s="1"/>
      <c r="AB444" s="1"/>
      <c r="AG444" s="1"/>
      <c r="AH444" s="1"/>
      <c r="AK444" s="1"/>
      <c r="AL444" s="1"/>
      <c r="AM444" s="2"/>
      <c r="AN444" s="2"/>
      <c r="AQ444" s="1"/>
      <c r="BG444" s="1"/>
    </row>
    <row r="445" spans="15:59">
      <c r="O445" s="1"/>
      <c r="P445" s="1"/>
      <c r="AA445" s="1"/>
      <c r="AB445" s="1"/>
      <c r="AG445" s="1"/>
      <c r="AH445" s="1"/>
      <c r="AK445" s="1"/>
      <c r="AL445" s="1"/>
      <c r="AM445" s="2"/>
      <c r="AN445" s="2"/>
      <c r="AQ445" s="1"/>
      <c r="BG445" s="1"/>
    </row>
    <row r="446" spans="15:59">
      <c r="O446" s="1"/>
      <c r="P446" s="1"/>
      <c r="AA446" s="1"/>
      <c r="AB446" s="1"/>
      <c r="AG446" s="1"/>
      <c r="AH446" s="1"/>
      <c r="AK446" s="1"/>
      <c r="AL446" s="1"/>
      <c r="AM446" s="2"/>
      <c r="AN446" s="2"/>
      <c r="AQ446" s="1"/>
      <c r="BG446" s="1"/>
    </row>
    <row r="447" spans="15:59">
      <c r="O447" s="1"/>
      <c r="P447" s="1"/>
      <c r="AA447" s="1"/>
      <c r="AB447" s="1"/>
      <c r="AG447" s="1"/>
      <c r="AH447" s="1"/>
      <c r="AK447" s="1"/>
      <c r="AL447" s="1"/>
      <c r="AM447" s="2"/>
      <c r="AN447" s="2"/>
      <c r="AQ447" s="1"/>
      <c r="BG447" s="1"/>
    </row>
    <row r="448" spans="15:59">
      <c r="O448" s="1"/>
      <c r="P448" s="1"/>
      <c r="AA448" s="1"/>
      <c r="AB448" s="1"/>
      <c r="AG448" s="1"/>
      <c r="AH448" s="1"/>
      <c r="AK448" s="1"/>
      <c r="AL448" s="1"/>
      <c r="AM448" s="2"/>
      <c r="AN448" s="2"/>
      <c r="AQ448" s="1"/>
      <c r="BG448" s="1"/>
    </row>
    <row r="449" spans="15:59">
      <c r="O449" s="1"/>
      <c r="P449" s="1"/>
      <c r="AA449" s="1"/>
      <c r="AB449" s="1"/>
      <c r="AG449" s="1"/>
      <c r="AH449" s="1"/>
      <c r="AK449" s="1"/>
      <c r="AL449" s="1"/>
      <c r="AM449" s="2"/>
      <c r="AN449" s="2"/>
      <c r="AQ449" s="1"/>
      <c r="BG449" s="1"/>
    </row>
    <row r="450" spans="15:59">
      <c r="O450" s="1"/>
      <c r="P450" s="1"/>
      <c r="AA450" s="1"/>
      <c r="AB450" s="1"/>
      <c r="AG450" s="1"/>
      <c r="AH450" s="1"/>
      <c r="AK450" s="1"/>
      <c r="AL450" s="1"/>
      <c r="AM450" s="2"/>
      <c r="AN450" s="2"/>
      <c r="AQ450" s="1"/>
      <c r="BG450" s="1"/>
    </row>
    <row r="451" spans="15:59">
      <c r="O451" s="1"/>
      <c r="P451" s="1"/>
      <c r="AA451" s="1"/>
      <c r="AB451" s="1"/>
      <c r="AG451" s="1"/>
      <c r="AH451" s="1"/>
      <c r="AK451" s="1"/>
      <c r="AL451" s="1"/>
      <c r="AM451" s="2"/>
      <c r="AN451" s="2"/>
      <c r="AQ451" s="1"/>
      <c r="BG451" s="1"/>
    </row>
    <row r="452" spans="15:59">
      <c r="O452" s="1"/>
      <c r="P452" s="1"/>
      <c r="AA452" s="1"/>
      <c r="AB452" s="1"/>
      <c r="AG452" s="1"/>
      <c r="AH452" s="1"/>
      <c r="AK452" s="1"/>
      <c r="AL452" s="1"/>
      <c r="AM452" s="2"/>
      <c r="AN452" s="2"/>
      <c r="AQ452" s="1"/>
      <c r="BG452" s="1"/>
    </row>
    <row r="453" spans="15:59">
      <c r="O453" s="1"/>
      <c r="P453" s="1"/>
      <c r="AA453" s="1"/>
      <c r="AB453" s="1"/>
      <c r="AG453" s="1"/>
      <c r="AH453" s="1"/>
      <c r="AK453" s="1"/>
      <c r="AL453" s="1"/>
      <c r="AM453" s="2"/>
      <c r="AN453" s="2"/>
      <c r="AQ453" s="1"/>
      <c r="BG453" s="1"/>
    </row>
    <row r="454" spans="15:59">
      <c r="O454" s="1"/>
      <c r="P454" s="1"/>
      <c r="AA454" s="1"/>
      <c r="AB454" s="1"/>
      <c r="AG454" s="1"/>
      <c r="AH454" s="1"/>
      <c r="AK454" s="1"/>
      <c r="AL454" s="1"/>
      <c r="AM454" s="2"/>
      <c r="AN454" s="2"/>
      <c r="AQ454" s="1"/>
      <c r="BG454" s="1"/>
    </row>
    <row r="455" spans="15:59">
      <c r="O455" s="1"/>
      <c r="P455" s="1"/>
      <c r="AA455" s="1"/>
      <c r="AB455" s="1"/>
      <c r="AG455" s="1"/>
      <c r="AH455" s="1"/>
      <c r="AK455" s="1"/>
      <c r="AL455" s="1"/>
      <c r="AM455" s="2"/>
      <c r="AN455" s="2"/>
      <c r="AQ455" s="1"/>
      <c r="BG455" s="1"/>
    </row>
    <row r="456" spans="15:59">
      <c r="O456" s="1"/>
      <c r="P456" s="1"/>
      <c r="AA456" s="1"/>
      <c r="AB456" s="1"/>
      <c r="AG456" s="1"/>
      <c r="AH456" s="1"/>
      <c r="AK456" s="1"/>
      <c r="AL456" s="1"/>
      <c r="AM456" s="2"/>
      <c r="AN456" s="2"/>
      <c r="AQ456" s="1"/>
      <c r="BG456" s="1"/>
    </row>
    <row r="457" spans="15:59">
      <c r="O457" s="1"/>
      <c r="P457" s="1"/>
      <c r="AA457" s="1"/>
      <c r="AB457" s="1"/>
      <c r="AG457" s="1"/>
      <c r="AH457" s="1"/>
      <c r="AK457" s="1"/>
      <c r="AL457" s="1"/>
      <c r="AM457" s="2"/>
      <c r="AN457" s="2"/>
      <c r="AQ457" s="1"/>
      <c r="BG457" s="1"/>
    </row>
    <row r="458" spans="15:59">
      <c r="O458" s="1"/>
      <c r="P458" s="1"/>
      <c r="AA458" s="1"/>
      <c r="AB458" s="1"/>
      <c r="AG458" s="1"/>
      <c r="AH458" s="1"/>
      <c r="AK458" s="1"/>
      <c r="AL458" s="1"/>
      <c r="AM458" s="2"/>
      <c r="AN458" s="2"/>
      <c r="AQ458" s="1"/>
      <c r="BG458" s="1"/>
    </row>
    <row r="459" spans="15:59">
      <c r="O459" s="1"/>
      <c r="P459" s="1"/>
      <c r="AA459" s="1"/>
      <c r="AB459" s="1"/>
      <c r="AG459" s="1"/>
      <c r="AH459" s="1"/>
      <c r="AK459" s="1"/>
      <c r="AL459" s="1"/>
      <c r="AM459" s="2"/>
      <c r="AN459" s="2"/>
      <c r="AQ459" s="1"/>
      <c r="BG459" s="1"/>
    </row>
    <row r="460" spans="15:59">
      <c r="O460" s="1"/>
      <c r="P460" s="1"/>
      <c r="AA460" s="1"/>
      <c r="AB460" s="1"/>
      <c r="AG460" s="1"/>
      <c r="AH460" s="1"/>
      <c r="AK460" s="1"/>
      <c r="AL460" s="1"/>
      <c r="AM460" s="2"/>
      <c r="AN460" s="2"/>
      <c r="AQ460" s="1"/>
      <c r="BG460" s="1"/>
    </row>
    <row r="461" spans="15:59">
      <c r="O461" s="1"/>
      <c r="P461" s="1"/>
      <c r="AA461" s="1"/>
      <c r="AB461" s="1"/>
      <c r="AG461" s="1"/>
      <c r="AH461" s="1"/>
      <c r="AK461" s="1"/>
      <c r="AL461" s="1"/>
      <c r="AM461" s="2"/>
      <c r="AN461" s="2"/>
      <c r="AQ461" s="1"/>
      <c r="BG461" s="1"/>
    </row>
    <row r="462" spans="15:59">
      <c r="O462" s="1"/>
      <c r="P462" s="1"/>
      <c r="AA462" s="1"/>
      <c r="AB462" s="1"/>
      <c r="AG462" s="1"/>
      <c r="AH462" s="1"/>
      <c r="AK462" s="1"/>
      <c r="AL462" s="1"/>
      <c r="AM462" s="2"/>
      <c r="AN462" s="2"/>
      <c r="AQ462" s="1"/>
      <c r="BG462" s="1"/>
    </row>
    <row r="463" spans="15:59">
      <c r="O463" s="1"/>
      <c r="P463" s="1"/>
      <c r="AA463" s="1"/>
      <c r="AB463" s="1"/>
      <c r="AG463" s="1"/>
      <c r="AH463" s="1"/>
      <c r="AK463" s="1"/>
      <c r="AL463" s="1"/>
      <c r="AM463" s="2"/>
      <c r="AN463" s="2"/>
      <c r="AQ463" s="1"/>
      <c r="BG463" s="1"/>
    </row>
    <row r="464" spans="15:59">
      <c r="O464" s="1"/>
      <c r="P464" s="1"/>
      <c r="AA464" s="1"/>
      <c r="AB464" s="1"/>
      <c r="AG464" s="1"/>
      <c r="AH464" s="1"/>
      <c r="AK464" s="1"/>
      <c r="AL464" s="1"/>
      <c r="AM464" s="2"/>
      <c r="AN464" s="2"/>
      <c r="AQ464" s="1"/>
      <c r="BG464" s="1"/>
    </row>
    <row r="465" spans="15:59">
      <c r="O465" s="1"/>
      <c r="P465" s="1"/>
      <c r="AA465" s="1"/>
      <c r="AB465" s="1"/>
      <c r="AG465" s="1"/>
      <c r="AH465" s="1"/>
      <c r="AK465" s="1"/>
      <c r="AL465" s="1"/>
      <c r="AM465" s="2"/>
      <c r="AN465" s="2"/>
      <c r="AQ465" s="1"/>
      <c r="BG465" s="1"/>
    </row>
    <row r="466" spans="15:59">
      <c r="O466" s="1"/>
      <c r="P466" s="1"/>
      <c r="AA466" s="1"/>
      <c r="AB466" s="1"/>
      <c r="AG466" s="1"/>
      <c r="AH466" s="1"/>
      <c r="AK466" s="1"/>
      <c r="AL466" s="1"/>
      <c r="AM466" s="2"/>
      <c r="AN466" s="2"/>
      <c r="AQ466" s="1"/>
      <c r="BG466" s="1"/>
    </row>
    <row r="467" spans="15:59">
      <c r="O467" s="1"/>
      <c r="P467" s="1"/>
      <c r="AA467" s="1"/>
      <c r="AB467" s="1"/>
      <c r="AG467" s="1"/>
      <c r="AH467" s="1"/>
      <c r="AK467" s="1"/>
      <c r="AL467" s="1"/>
      <c r="AM467" s="2"/>
      <c r="AN467" s="2"/>
      <c r="AQ467" s="1"/>
      <c r="BG467" s="1"/>
    </row>
    <row r="468" spans="15:59">
      <c r="O468" s="1"/>
      <c r="P468" s="1"/>
      <c r="AA468" s="1"/>
      <c r="AB468" s="1"/>
      <c r="AG468" s="1"/>
      <c r="AH468" s="1"/>
      <c r="AK468" s="1"/>
      <c r="AL468" s="1"/>
      <c r="AM468" s="2"/>
      <c r="AN468" s="2"/>
      <c r="AQ468" s="1"/>
      <c r="BG468" s="1"/>
    </row>
    <row r="469" spans="15:59">
      <c r="O469" s="1"/>
      <c r="P469" s="1"/>
      <c r="AA469" s="1"/>
      <c r="AB469" s="1"/>
      <c r="AG469" s="1"/>
      <c r="AH469" s="1"/>
      <c r="AK469" s="1"/>
      <c r="AL469" s="1"/>
      <c r="AM469" s="2"/>
      <c r="AN469" s="2"/>
      <c r="AQ469" s="1"/>
      <c r="BG469" s="1"/>
    </row>
    <row r="470" spans="15:59">
      <c r="O470" s="1"/>
      <c r="P470" s="1"/>
      <c r="AA470" s="1"/>
      <c r="AB470" s="1"/>
      <c r="AG470" s="1"/>
      <c r="AH470" s="1"/>
      <c r="AK470" s="1"/>
      <c r="AL470" s="1"/>
      <c r="AM470" s="2"/>
      <c r="AN470" s="2"/>
      <c r="AQ470" s="1"/>
      <c r="BG470" s="1"/>
    </row>
    <row r="471" spans="15:59">
      <c r="O471" s="1"/>
      <c r="P471" s="1"/>
      <c r="AA471" s="1"/>
      <c r="AB471" s="1"/>
      <c r="AG471" s="1"/>
      <c r="AH471" s="1"/>
      <c r="AK471" s="1"/>
      <c r="AL471" s="1"/>
      <c r="AM471" s="2"/>
      <c r="AN471" s="2"/>
      <c r="AQ471" s="1"/>
      <c r="BG471" s="1"/>
    </row>
    <row r="472" spans="15:59">
      <c r="O472" s="1"/>
      <c r="P472" s="1"/>
      <c r="AA472" s="1"/>
      <c r="AB472" s="1"/>
      <c r="AG472" s="1"/>
      <c r="AH472" s="1"/>
      <c r="AK472" s="1"/>
      <c r="AL472" s="1"/>
      <c r="AM472" s="2"/>
      <c r="AN472" s="2"/>
      <c r="AQ472" s="1"/>
      <c r="BG472" s="1"/>
    </row>
    <row r="473" spans="15:59">
      <c r="O473" s="1"/>
      <c r="P473" s="1"/>
      <c r="AA473" s="1"/>
      <c r="AB473" s="1"/>
      <c r="AG473" s="1"/>
      <c r="AH473" s="1"/>
      <c r="AK473" s="1"/>
      <c r="AL473" s="1"/>
      <c r="AM473" s="2"/>
      <c r="AN473" s="2"/>
      <c r="AQ473" s="1"/>
      <c r="BG473" s="1"/>
    </row>
    <row r="474" spans="15:59">
      <c r="O474" s="1"/>
      <c r="P474" s="1"/>
      <c r="AA474" s="1"/>
      <c r="AB474" s="1"/>
      <c r="AG474" s="1"/>
      <c r="AH474" s="1"/>
      <c r="AK474" s="1"/>
      <c r="AL474" s="1"/>
      <c r="AM474" s="2"/>
      <c r="AN474" s="2"/>
      <c r="AQ474" s="1"/>
      <c r="BG474" s="1"/>
    </row>
    <row r="475" spans="15:59">
      <c r="O475" s="1"/>
      <c r="P475" s="1"/>
      <c r="AA475" s="1"/>
      <c r="AB475" s="1"/>
      <c r="AG475" s="1"/>
      <c r="AH475" s="1"/>
      <c r="AK475" s="1"/>
      <c r="AL475" s="1"/>
      <c r="AM475" s="2"/>
      <c r="AN475" s="2"/>
      <c r="AQ475" s="1"/>
      <c r="BG475" s="1"/>
    </row>
    <row r="476" spans="15:59">
      <c r="O476" s="1"/>
      <c r="P476" s="1"/>
      <c r="AA476" s="1"/>
      <c r="AB476" s="1"/>
      <c r="AG476" s="1"/>
      <c r="AH476" s="1"/>
      <c r="AK476" s="1"/>
      <c r="AL476" s="1"/>
      <c r="AM476" s="2"/>
      <c r="AN476" s="2"/>
      <c r="AQ476" s="1"/>
      <c r="BG476" s="1"/>
    </row>
    <row r="477" spans="15:59">
      <c r="O477" s="1"/>
      <c r="P477" s="1"/>
      <c r="AA477" s="1"/>
      <c r="AB477" s="1"/>
      <c r="AG477" s="1"/>
      <c r="AH477" s="1"/>
      <c r="AK477" s="1"/>
      <c r="AL477" s="1"/>
      <c r="AM477" s="2"/>
      <c r="AN477" s="2"/>
      <c r="AQ477" s="1"/>
      <c r="BG477" s="1"/>
    </row>
    <row r="478" spans="15:59">
      <c r="O478" s="1"/>
      <c r="P478" s="1"/>
      <c r="AA478" s="1"/>
      <c r="AB478" s="1"/>
      <c r="AG478" s="1"/>
      <c r="AH478" s="1"/>
      <c r="AK478" s="1"/>
      <c r="AL478" s="1"/>
      <c r="AM478" s="2"/>
      <c r="AN478" s="2"/>
      <c r="AQ478" s="1"/>
      <c r="BG478" s="1"/>
    </row>
    <row r="479" spans="15:59">
      <c r="O479" s="1"/>
      <c r="P479" s="1"/>
      <c r="AA479" s="1"/>
      <c r="AB479" s="1"/>
      <c r="AG479" s="1"/>
      <c r="AH479" s="1"/>
      <c r="AK479" s="1"/>
      <c r="AL479" s="1"/>
      <c r="AM479" s="2"/>
      <c r="AN479" s="2"/>
      <c r="AQ479" s="1"/>
      <c r="BG479" s="1"/>
    </row>
    <row r="480" spans="15:59">
      <c r="O480" s="1"/>
      <c r="P480" s="1"/>
      <c r="AA480" s="1"/>
      <c r="AB480" s="1"/>
      <c r="AG480" s="1"/>
      <c r="AH480" s="1"/>
      <c r="AK480" s="1"/>
      <c r="AL480" s="1"/>
      <c r="AM480" s="2"/>
      <c r="AN480" s="2"/>
      <c r="AQ480" s="1"/>
      <c r="BG480" s="1"/>
    </row>
    <row r="481" spans="15:59">
      <c r="O481" s="1"/>
      <c r="P481" s="1"/>
      <c r="AA481" s="1"/>
      <c r="AB481" s="1"/>
      <c r="AG481" s="1"/>
      <c r="AH481" s="1"/>
      <c r="AK481" s="1"/>
      <c r="AL481" s="1"/>
      <c r="AM481" s="2"/>
      <c r="AN481" s="2"/>
      <c r="AQ481" s="1"/>
      <c r="BG481" s="1"/>
    </row>
    <row r="482" spans="15:59">
      <c r="O482" s="1"/>
      <c r="P482" s="1"/>
      <c r="AA482" s="1"/>
      <c r="AB482" s="1"/>
      <c r="AG482" s="1"/>
      <c r="AH482" s="1"/>
      <c r="AK482" s="1"/>
      <c r="AL482" s="1"/>
      <c r="AM482" s="2"/>
      <c r="AN482" s="2"/>
      <c r="AQ482" s="1"/>
      <c r="BG482" s="1"/>
    </row>
    <row r="483" spans="15:59">
      <c r="O483" s="1"/>
      <c r="P483" s="1"/>
      <c r="AA483" s="1"/>
      <c r="AB483" s="1"/>
      <c r="AG483" s="1"/>
      <c r="AH483" s="1"/>
      <c r="AK483" s="1"/>
      <c r="AL483" s="1"/>
      <c r="AM483" s="2"/>
      <c r="AN483" s="2"/>
      <c r="AQ483" s="1"/>
      <c r="BG483" s="1"/>
    </row>
    <row r="484" spans="15:59">
      <c r="O484" s="1"/>
      <c r="P484" s="1"/>
      <c r="AA484" s="1"/>
      <c r="AB484" s="1"/>
      <c r="AG484" s="1"/>
      <c r="AH484" s="1"/>
      <c r="AK484" s="1"/>
      <c r="AL484" s="1"/>
      <c r="AM484" s="2"/>
      <c r="AN484" s="2"/>
      <c r="AQ484" s="1"/>
      <c r="BG484" s="1"/>
    </row>
    <row r="485" spans="15:59">
      <c r="O485" s="1"/>
      <c r="P485" s="1"/>
      <c r="AA485" s="1"/>
      <c r="AB485" s="1"/>
      <c r="AG485" s="1"/>
      <c r="AH485" s="1"/>
      <c r="AK485" s="1"/>
      <c r="AL485" s="1"/>
      <c r="AM485" s="2"/>
      <c r="AN485" s="2"/>
      <c r="AQ485" s="1"/>
      <c r="BG485" s="1"/>
    </row>
    <row r="486" spans="15:59">
      <c r="O486" s="1"/>
      <c r="P486" s="1"/>
      <c r="AA486" s="1"/>
      <c r="AB486" s="1"/>
      <c r="AG486" s="1"/>
      <c r="AH486" s="1"/>
      <c r="AK486" s="1"/>
      <c r="AL486" s="1"/>
      <c r="AM486" s="2"/>
      <c r="AN486" s="2"/>
      <c r="AQ486" s="1"/>
      <c r="BG486" s="1"/>
    </row>
    <row r="487" spans="15:59">
      <c r="O487" s="1"/>
      <c r="P487" s="1"/>
      <c r="AA487" s="1"/>
      <c r="AB487" s="1"/>
      <c r="AG487" s="1"/>
      <c r="AH487" s="1"/>
      <c r="AK487" s="1"/>
      <c r="AL487" s="1"/>
      <c r="AM487" s="2"/>
      <c r="AN487" s="2"/>
      <c r="AQ487" s="1"/>
      <c r="BG487" s="1"/>
    </row>
    <row r="488" spans="15:59">
      <c r="O488" s="1"/>
      <c r="P488" s="1"/>
      <c r="AA488" s="1"/>
      <c r="AB488" s="1"/>
      <c r="AG488" s="1"/>
      <c r="AH488" s="1"/>
      <c r="AK488" s="1"/>
      <c r="AL488" s="1"/>
      <c r="AM488" s="2"/>
      <c r="AN488" s="2"/>
      <c r="AQ488" s="1"/>
      <c r="BG488" s="1"/>
    </row>
    <row r="489" spans="15:59">
      <c r="O489" s="1"/>
      <c r="P489" s="1"/>
      <c r="AA489" s="1"/>
      <c r="AB489" s="1"/>
      <c r="AG489" s="1"/>
      <c r="AH489" s="1"/>
      <c r="AK489" s="1"/>
      <c r="AL489" s="1"/>
      <c r="AM489" s="2"/>
      <c r="AN489" s="2"/>
      <c r="AQ489" s="1"/>
      <c r="BG489" s="1"/>
    </row>
    <row r="490" spans="15:59">
      <c r="O490" s="1"/>
      <c r="P490" s="1"/>
      <c r="AA490" s="1"/>
      <c r="AB490" s="1"/>
      <c r="AG490" s="1"/>
      <c r="AH490" s="1"/>
      <c r="AK490" s="1"/>
      <c r="AL490" s="1"/>
      <c r="AM490" s="2"/>
      <c r="AN490" s="2"/>
      <c r="AQ490" s="1"/>
      <c r="BG490" s="1"/>
    </row>
    <row r="491" spans="15:59">
      <c r="O491" s="1"/>
      <c r="P491" s="1"/>
      <c r="AA491" s="1"/>
      <c r="AB491" s="1"/>
      <c r="AG491" s="1"/>
      <c r="AH491" s="1"/>
      <c r="AK491" s="1"/>
      <c r="AL491" s="1"/>
      <c r="AM491" s="2"/>
      <c r="AN491" s="2"/>
      <c r="AQ491" s="1"/>
      <c r="BG491" s="1"/>
    </row>
    <row r="492" spans="15:59">
      <c r="O492" s="1"/>
      <c r="P492" s="1"/>
      <c r="AA492" s="1"/>
      <c r="AB492" s="1"/>
      <c r="AG492" s="1"/>
      <c r="AH492" s="1"/>
      <c r="AK492" s="1"/>
      <c r="AL492" s="1"/>
      <c r="AM492" s="2"/>
      <c r="AN492" s="2"/>
      <c r="AQ492" s="1"/>
      <c r="BG492" s="1"/>
    </row>
    <row r="493" spans="15:59">
      <c r="O493" s="1"/>
      <c r="P493" s="1"/>
      <c r="AA493" s="1"/>
      <c r="AB493" s="1"/>
      <c r="AG493" s="1"/>
      <c r="AH493" s="1"/>
      <c r="AK493" s="1"/>
      <c r="AL493" s="1"/>
      <c r="AM493" s="2"/>
      <c r="AN493" s="2"/>
      <c r="AQ493" s="1"/>
      <c r="BG493" s="1"/>
    </row>
    <row r="494" spans="15:59">
      <c r="O494" s="1"/>
      <c r="P494" s="1"/>
      <c r="AA494" s="1"/>
      <c r="AB494" s="1"/>
      <c r="AG494" s="1"/>
      <c r="AH494" s="1"/>
      <c r="AK494" s="1"/>
      <c r="AL494" s="1"/>
      <c r="AM494" s="2"/>
      <c r="AN494" s="2"/>
      <c r="AQ494" s="1"/>
      <c r="BG494" s="1"/>
    </row>
    <row r="495" spans="15:59">
      <c r="O495" s="1"/>
      <c r="P495" s="1"/>
      <c r="AA495" s="1"/>
      <c r="AB495" s="1"/>
      <c r="AG495" s="1"/>
      <c r="AH495" s="1"/>
      <c r="AK495" s="1"/>
      <c r="AL495" s="1"/>
      <c r="AM495" s="2"/>
      <c r="AN495" s="2"/>
      <c r="AQ495" s="1"/>
      <c r="BG495" s="1"/>
    </row>
    <row r="496" spans="15:59">
      <c r="O496" s="1"/>
      <c r="P496" s="1"/>
      <c r="AA496" s="1"/>
      <c r="AB496" s="1"/>
      <c r="AG496" s="1"/>
      <c r="AH496" s="1"/>
      <c r="AK496" s="1"/>
      <c r="AL496" s="1"/>
      <c r="AM496" s="2"/>
      <c r="AN496" s="2"/>
      <c r="AQ496" s="1"/>
      <c r="BG496" s="1"/>
    </row>
    <row r="497" spans="15:59">
      <c r="O497" s="1"/>
      <c r="P497" s="1"/>
      <c r="AA497" s="1"/>
      <c r="AB497" s="1"/>
      <c r="AG497" s="1"/>
      <c r="AH497" s="1"/>
      <c r="AK497" s="1"/>
      <c r="AL497" s="1"/>
      <c r="AM497" s="2"/>
      <c r="AN497" s="2"/>
      <c r="AQ497" s="1"/>
      <c r="BG497" s="1"/>
    </row>
    <row r="498" spans="15:59">
      <c r="O498" s="1"/>
      <c r="P498" s="1"/>
      <c r="AA498" s="1"/>
      <c r="AB498" s="1"/>
      <c r="AG498" s="1"/>
      <c r="AH498" s="1"/>
      <c r="AK498" s="1"/>
      <c r="AL498" s="1"/>
      <c r="AM498" s="2"/>
      <c r="AN498" s="2"/>
      <c r="AQ498" s="1"/>
      <c r="BG498" s="1"/>
    </row>
    <row r="499" spans="15:59">
      <c r="O499" s="1"/>
      <c r="P499" s="1"/>
      <c r="AA499" s="1"/>
      <c r="AB499" s="1"/>
      <c r="AG499" s="1"/>
      <c r="AH499" s="1"/>
      <c r="AK499" s="1"/>
      <c r="AL499" s="1"/>
      <c r="AM499" s="2"/>
      <c r="AN499" s="2"/>
      <c r="AQ499" s="1"/>
      <c r="BG499" s="1"/>
    </row>
    <row r="500" spans="15:59">
      <c r="O500" s="1"/>
      <c r="P500" s="1"/>
      <c r="AA500" s="1"/>
      <c r="AB500" s="1"/>
      <c r="AG500" s="1"/>
      <c r="AH500" s="1"/>
      <c r="AK500" s="1"/>
      <c r="AL500" s="1"/>
      <c r="AM500" s="2"/>
      <c r="AN500" s="2"/>
      <c r="AQ500" s="1"/>
      <c r="BG500" s="1"/>
    </row>
    <row r="501" spans="15:59">
      <c r="O501" s="1"/>
      <c r="P501" s="1"/>
      <c r="AA501" s="1"/>
      <c r="AB501" s="1"/>
      <c r="AG501" s="1"/>
      <c r="AH501" s="1"/>
      <c r="AK501" s="1"/>
      <c r="AL501" s="1"/>
      <c r="AM501" s="2"/>
      <c r="AN501" s="2"/>
      <c r="AQ501" s="1"/>
      <c r="BG501" s="1"/>
    </row>
    <row r="502" spans="15:59">
      <c r="O502" s="1"/>
      <c r="P502" s="1"/>
      <c r="AA502" s="1"/>
      <c r="AB502" s="1"/>
      <c r="AG502" s="1"/>
      <c r="AH502" s="1"/>
      <c r="AK502" s="1"/>
      <c r="AL502" s="1"/>
      <c r="AM502" s="2"/>
      <c r="AN502" s="2"/>
      <c r="AQ502" s="1"/>
      <c r="BG502" s="1"/>
    </row>
    <row r="503" spans="15:59">
      <c r="O503" s="1"/>
      <c r="P503" s="1"/>
      <c r="AA503" s="1"/>
      <c r="AB503" s="1"/>
      <c r="AG503" s="1"/>
      <c r="AH503" s="1"/>
      <c r="AK503" s="1"/>
      <c r="AL503" s="1"/>
      <c r="AM503" s="2"/>
      <c r="AN503" s="2"/>
      <c r="AQ503" s="1"/>
      <c r="BG503" s="1"/>
    </row>
    <row r="504" spans="15:59">
      <c r="O504" s="1"/>
      <c r="P504" s="1"/>
      <c r="AA504" s="1"/>
      <c r="AB504" s="1"/>
      <c r="AG504" s="1"/>
      <c r="AH504" s="1"/>
      <c r="AK504" s="1"/>
      <c r="AL504" s="1"/>
      <c r="AM504" s="2"/>
      <c r="AN504" s="2"/>
      <c r="AQ504" s="1"/>
      <c r="BG504" s="1"/>
    </row>
    <row r="505" spans="15:59">
      <c r="O505" s="1"/>
      <c r="P505" s="1"/>
      <c r="AA505" s="1"/>
      <c r="AB505" s="1"/>
      <c r="AG505" s="1"/>
      <c r="AH505" s="1"/>
      <c r="AK505" s="1"/>
      <c r="AL505" s="1"/>
      <c r="AM505" s="2"/>
      <c r="AN505" s="2"/>
      <c r="AQ505" s="1"/>
      <c r="BG505" s="1"/>
    </row>
    <row r="506" spans="15:59">
      <c r="O506" s="1"/>
      <c r="P506" s="1"/>
      <c r="AA506" s="1"/>
      <c r="AB506" s="1"/>
      <c r="AG506" s="1"/>
      <c r="AH506" s="1"/>
      <c r="AK506" s="1"/>
      <c r="AL506" s="1"/>
      <c r="AM506" s="2"/>
      <c r="AN506" s="2"/>
      <c r="AQ506" s="1"/>
      <c r="BG506" s="1"/>
    </row>
    <row r="507" spans="15:59">
      <c r="O507" s="1"/>
      <c r="P507" s="1"/>
      <c r="AA507" s="1"/>
      <c r="AB507" s="1"/>
      <c r="AG507" s="1"/>
      <c r="AH507" s="1"/>
      <c r="AK507" s="1"/>
      <c r="AL507" s="1"/>
      <c r="AM507" s="2"/>
      <c r="AN507" s="2"/>
      <c r="AQ507" s="1"/>
      <c r="BG507" s="1"/>
    </row>
    <row r="508" spans="15:59">
      <c r="O508" s="1"/>
      <c r="P508" s="1"/>
      <c r="AA508" s="1"/>
      <c r="AB508" s="1"/>
      <c r="AG508" s="1"/>
      <c r="AH508" s="1"/>
      <c r="AK508" s="1"/>
      <c r="AL508" s="1"/>
      <c r="AM508" s="2"/>
      <c r="AN508" s="2"/>
      <c r="AQ508" s="1"/>
      <c r="BG508" s="1"/>
    </row>
    <row r="509" spans="15:59">
      <c r="O509" s="1"/>
      <c r="P509" s="1"/>
      <c r="AA509" s="1"/>
      <c r="AB509" s="1"/>
      <c r="AG509" s="1"/>
      <c r="AH509" s="1"/>
      <c r="AK509" s="1"/>
      <c r="AL509" s="1"/>
      <c r="AM509" s="2"/>
      <c r="AN509" s="2"/>
      <c r="AQ509" s="1"/>
      <c r="BG509" s="1"/>
    </row>
    <row r="510" spans="15:59">
      <c r="O510" s="1"/>
      <c r="P510" s="1"/>
      <c r="AA510" s="1"/>
      <c r="AB510" s="1"/>
      <c r="AG510" s="1"/>
      <c r="AH510" s="1"/>
      <c r="AK510" s="1"/>
      <c r="AL510" s="1"/>
      <c r="AM510" s="2"/>
      <c r="AN510" s="2"/>
      <c r="AQ510" s="1"/>
      <c r="BG510" s="1"/>
    </row>
    <row r="511" spans="15:59">
      <c r="O511" s="1"/>
      <c r="P511" s="1"/>
      <c r="AA511" s="1"/>
      <c r="AB511" s="1"/>
      <c r="AG511" s="1"/>
      <c r="AH511" s="1"/>
      <c r="AK511" s="1"/>
      <c r="AL511" s="1"/>
      <c r="AM511" s="2"/>
      <c r="AN511" s="2"/>
      <c r="AQ511" s="1"/>
      <c r="BG511" s="1"/>
    </row>
    <row r="512" spans="15:59">
      <c r="O512" s="1"/>
      <c r="P512" s="1"/>
      <c r="AA512" s="1"/>
      <c r="AB512" s="1"/>
      <c r="AG512" s="1"/>
      <c r="AH512" s="1"/>
      <c r="AK512" s="1"/>
      <c r="AL512" s="1"/>
      <c r="AM512" s="2"/>
      <c r="AN512" s="2"/>
      <c r="AQ512" s="1"/>
      <c r="BG512" s="1"/>
    </row>
    <row r="513" spans="15:59">
      <c r="O513" s="1"/>
      <c r="P513" s="1"/>
      <c r="AA513" s="1"/>
      <c r="AB513" s="1"/>
      <c r="AG513" s="1"/>
      <c r="AH513" s="1"/>
      <c r="AK513" s="1"/>
      <c r="AL513" s="1"/>
      <c r="AM513" s="2"/>
      <c r="AN513" s="2"/>
      <c r="AQ513" s="1"/>
      <c r="BG513" s="1"/>
    </row>
    <row r="514" spans="15:59">
      <c r="O514" s="1"/>
      <c r="P514" s="1"/>
      <c r="AA514" s="1"/>
      <c r="AB514" s="1"/>
      <c r="AG514" s="1"/>
      <c r="AH514" s="1"/>
      <c r="AK514" s="1"/>
      <c r="AL514" s="1"/>
      <c r="AM514" s="2"/>
      <c r="AN514" s="2"/>
      <c r="AQ514" s="1"/>
      <c r="BG514" s="1"/>
    </row>
    <row r="515" spans="15:59">
      <c r="O515" s="1"/>
      <c r="P515" s="1"/>
      <c r="AA515" s="1"/>
      <c r="AB515" s="1"/>
      <c r="AG515" s="1"/>
      <c r="AH515" s="1"/>
      <c r="AK515" s="1"/>
      <c r="AL515" s="1"/>
      <c r="AM515" s="2"/>
      <c r="AN515" s="2"/>
      <c r="AQ515" s="1"/>
      <c r="BG515" s="1"/>
    </row>
    <row r="516" spans="15:59">
      <c r="O516" s="1"/>
      <c r="P516" s="1"/>
      <c r="AA516" s="1"/>
      <c r="AB516" s="1"/>
      <c r="AG516" s="1"/>
      <c r="AH516" s="1"/>
      <c r="AK516" s="1"/>
      <c r="AL516" s="1"/>
      <c r="AM516" s="2"/>
      <c r="AN516" s="2"/>
      <c r="AQ516" s="1"/>
      <c r="BG516" s="1"/>
    </row>
    <row r="517" spans="15:59">
      <c r="O517" s="1"/>
      <c r="P517" s="1"/>
      <c r="AA517" s="1"/>
      <c r="AB517" s="1"/>
      <c r="AG517" s="1"/>
      <c r="AH517" s="1"/>
      <c r="AK517" s="1"/>
      <c r="AL517" s="1"/>
      <c r="AM517" s="2"/>
      <c r="AN517" s="2"/>
      <c r="AQ517" s="1"/>
      <c r="BG517" s="1"/>
    </row>
    <row r="518" spans="15:59">
      <c r="O518" s="1"/>
      <c r="P518" s="1"/>
      <c r="AA518" s="1"/>
      <c r="AB518" s="1"/>
      <c r="AG518" s="1"/>
      <c r="AH518" s="1"/>
      <c r="AK518" s="1"/>
      <c r="AL518" s="1"/>
      <c r="AM518" s="2"/>
      <c r="AN518" s="2"/>
      <c r="AQ518" s="1"/>
      <c r="BG518" s="1"/>
    </row>
    <row r="519" spans="15:59">
      <c r="O519" s="1"/>
      <c r="P519" s="1"/>
      <c r="AA519" s="1"/>
      <c r="AB519" s="1"/>
      <c r="AG519" s="1"/>
      <c r="AH519" s="1"/>
      <c r="AK519" s="1"/>
      <c r="AL519" s="1"/>
      <c r="AM519" s="2"/>
      <c r="AN519" s="2"/>
      <c r="AQ519" s="1"/>
      <c r="BG519" s="1"/>
    </row>
    <row r="520" spans="15:59">
      <c r="O520" s="1"/>
      <c r="P520" s="1"/>
      <c r="AA520" s="1"/>
      <c r="AB520" s="1"/>
      <c r="AG520" s="1"/>
      <c r="AH520" s="1"/>
      <c r="AK520" s="1"/>
      <c r="AL520" s="1"/>
      <c r="AM520" s="2"/>
      <c r="AN520" s="2"/>
      <c r="AQ520" s="1"/>
      <c r="BG520" s="1"/>
    </row>
    <row r="521" spans="15:59">
      <c r="O521" s="1"/>
      <c r="P521" s="1"/>
      <c r="AA521" s="1"/>
      <c r="AB521" s="1"/>
      <c r="AG521" s="1"/>
      <c r="AH521" s="1"/>
      <c r="AK521" s="1"/>
      <c r="AL521" s="1"/>
      <c r="AM521" s="2"/>
      <c r="AN521" s="2"/>
      <c r="AQ521" s="1"/>
      <c r="BG521" s="1"/>
    </row>
    <row r="522" spans="15:59">
      <c r="O522" s="1"/>
      <c r="P522" s="1"/>
      <c r="AA522" s="1"/>
      <c r="AB522" s="1"/>
      <c r="AG522" s="1"/>
      <c r="AH522" s="1"/>
      <c r="AK522" s="1"/>
      <c r="AL522" s="1"/>
      <c r="AM522" s="2"/>
      <c r="AN522" s="2"/>
      <c r="AQ522" s="1"/>
      <c r="BG522" s="1"/>
    </row>
    <row r="523" spans="15:59">
      <c r="O523" s="1"/>
      <c r="P523" s="1"/>
      <c r="AA523" s="1"/>
      <c r="AB523" s="1"/>
      <c r="AG523" s="1"/>
      <c r="AH523" s="1"/>
      <c r="AK523" s="1"/>
      <c r="AL523" s="1"/>
      <c r="AM523" s="2"/>
      <c r="AN523" s="2"/>
      <c r="AQ523" s="1"/>
      <c r="BG523" s="1"/>
    </row>
    <row r="524" spans="15:59">
      <c r="O524" s="1"/>
      <c r="P524" s="1"/>
      <c r="AA524" s="1"/>
      <c r="AB524" s="1"/>
      <c r="AG524" s="1"/>
      <c r="AH524" s="1"/>
      <c r="AK524" s="1"/>
      <c r="AL524" s="1"/>
      <c r="AM524" s="2"/>
      <c r="AN524" s="2"/>
      <c r="AQ524" s="1"/>
      <c r="BG524" s="1"/>
    </row>
    <row r="525" spans="15:59">
      <c r="O525" s="1"/>
      <c r="P525" s="1"/>
      <c r="AA525" s="1"/>
      <c r="AB525" s="1"/>
      <c r="AG525" s="1"/>
      <c r="AH525" s="1"/>
      <c r="AK525" s="1"/>
      <c r="AL525" s="1"/>
      <c r="AM525" s="2"/>
      <c r="AN525" s="2"/>
      <c r="AQ525" s="1"/>
      <c r="BG525" s="1"/>
    </row>
    <row r="526" spans="15:59">
      <c r="O526" s="1"/>
      <c r="P526" s="1"/>
      <c r="AA526" s="1"/>
      <c r="AB526" s="1"/>
      <c r="AG526" s="1"/>
      <c r="AH526" s="1"/>
      <c r="AK526" s="1"/>
      <c r="AL526" s="1"/>
      <c r="AM526" s="2"/>
      <c r="AN526" s="2"/>
      <c r="AQ526" s="1"/>
      <c r="BG526" s="1"/>
    </row>
    <row r="527" spans="15:59">
      <c r="O527" s="1"/>
      <c r="P527" s="1"/>
      <c r="AA527" s="1"/>
      <c r="AB527" s="1"/>
      <c r="AG527" s="1"/>
      <c r="AH527" s="1"/>
      <c r="AK527" s="1"/>
      <c r="AL527" s="1"/>
      <c r="AM527" s="2"/>
      <c r="AN527" s="2"/>
      <c r="AQ527" s="1"/>
      <c r="BG527" s="1"/>
    </row>
    <row r="528" spans="15:59">
      <c r="O528" s="1"/>
      <c r="P528" s="1"/>
      <c r="AA528" s="1"/>
      <c r="AB528" s="1"/>
      <c r="AG528" s="1"/>
      <c r="AH528" s="1"/>
      <c r="AK528" s="1"/>
      <c r="AL528" s="1"/>
      <c r="AM528" s="2"/>
      <c r="AN528" s="2"/>
      <c r="AQ528" s="1"/>
      <c r="BG528" s="1"/>
    </row>
    <row r="529" spans="15:59">
      <c r="O529" s="1"/>
      <c r="P529" s="1"/>
      <c r="AA529" s="1"/>
      <c r="AB529" s="1"/>
      <c r="AG529" s="1"/>
      <c r="AH529" s="1"/>
      <c r="AK529" s="1"/>
      <c r="AL529" s="1"/>
      <c r="AM529" s="2"/>
      <c r="AN529" s="2"/>
      <c r="AQ529" s="1"/>
      <c r="BG529" s="1"/>
    </row>
    <row r="530" spans="15:59">
      <c r="O530" s="1"/>
      <c r="P530" s="1"/>
      <c r="AA530" s="1"/>
      <c r="AB530" s="1"/>
      <c r="AG530" s="1"/>
      <c r="AH530" s="1"/>
      <c r="AK530" s="1"/>
      <c r="AL530" s="1"/>
      <c r="AM530" s="2"/>
      <c r="AN530" s="2"/>
      <c r="AQ530" s="1"/>
      <c r="BG530" s="1"/>
    </row>
    <row r="531" spans="15:59">
      <c r="O531" s="1"/>
      <c r="P531" s="1"/>
      <c r="AA531" s="1"/>
      <c r="AB531" s="1"/>
      <c r="AG531" s="1"/>
      <c r="AH531" s="1"/>
      <c r="AK531" s="1"/>
      <c r="AL531" s="1"/>
      <c r="AM531" s="2"/>
      <c r="AN531" s="2"/>
      <c r="AQ531" s="1"/>
      <c r="BG531" s="1"/>
    </row>
    <row r="532" spans="15:59">
      <c r="O532" s="1"/>
      <c r="P532" s="1"/>
      <c r="AA532" s="1"/>
      <c r="AB532" s="1"/>
      <c r="AG532" s="1"/>
      <c r="AH532" s="1"/>
      <c r="AK532" s="1"/>
      <c r="AL532" s="1"/>
      <c r="AM532" s="2"/>
      <c r="AN532" s="2"/>
      <c r="AQ532" s="1"/>
      <c r="BG532" s="1"/>
    </row>
    <row r="533" spans="15:59">
      <c r="O533" s="1"/>
      <c r="P533" s="1"/>
      <c r="AA533" s="1"/>
      <c r="AB533" s="1"/>
      <c r="AG533" s="1"/>
      <c r="AH533" s="1"/>
      <c r="AK533" s="1"/>
      <c r="AL533" s="1"/>
      <c r="AM533" s="2"/>
      <c r="AN533" s="2"/>
      <c r="AQ533" s="1"/>
      <c r="BG533" s="1"/>
    </row>
    <row r="534" spans="15:59">
      <c r="O534" s="1"/>
      <c r="P534" s="1"/>
      <c r="AA534" s="1"/>
      <c r="AB534" s="1"/>
      <c r="AG534" s="1"/>
      <c r="AH534" s="1"/>
      <c r="AK534" s="1"/>
      <c r="AL534" s="1"/>
      <c r="AM534" s="2"/>
      <c r="AN534" s="2"/>
      <c r="AQ534" s="1"/>
      <c r="BG534" s="1"/>
    </row>
    <row r="535" spans="15:59">
      <c r="O535" s="1"/>
      <c r="P535" s="1"/>
      <c r="AA535" s="1"/>
      <c r="AB535" s="1"/>
      <c r="AG535" s="1"/>
      <c r="AH535" s="1"/>
      <c r="AK535" s="1"/>
      <c r="AL535" s="1"/>
      <c r="AM535" s="2"/>
      <c r="AN535" s="2"/>
      <c r="AQ535" s="1"/>
      <c r="BG535" s="1"/>
    </row>
    <row r="536" spans="15:59">
      <c r="O536" s="1"/>
      <c r="P536" s="1"/>
      <c r="AA536" s="1"/>
      <c r="AB536" s="1"/>
      <c r="AG536" s="1"/>
      <c r="AH536" s="1"/>
      <c r="AK536" s="1"/>
      <c r="AL536" s="1"/>
      <c r="AM536" s="2"/>
      <c r="AN536" s="2"/>
      <c r="AQ536" s="1"/>
      <c r="BG536" s="1"/>
    </row>
    <row r="537" spans="15:59">
      <c r="O537" s="1"/>
      <c r="P537" s="1"/>
      <c r="AA537" s="1"/>
      <c r="AB537" s="1"/>
      <c r="AG537" s="1"/>
      <c r="AH537" s="1"/>
      <c r="AK537" s="1"/>
      <c r="AL537" s="1"/>
      <c r="AM537" s="2"/>
      <c r="AN537" s="2"/>
      <c r="AQ537" s="1"/>
      <c r="BG537" s="1"/>
    </row>
    <row r="538" spans="15:59">
      <c r="O538" s="1"/>
      <c r="P538" s="1"/>
      <c r="AA538" s="1"/>
      <c r="AB538" s="1"/>
      <c r="AG538" s="1"/>
      <c r="AH538" s="1"/>
      <c r="AK538" s="1"/>
      <c r="AL538" s="1"/>
      <c r="AM538" s="2"/>
      <c r="AN538" s="2"/>
      <c r="AQ538" s="1"/>
      <c r="BG538" s="1"/>
    </row>
    <row r="539" spans="15:59">
      <c r="O539" s="1"/>
      <c r="P539" s="1"/>
      <c r="AA539" s="1"/>
      <c r="AB539" s="1"/>
      <c r="AG539" s="1"/>
      <c r="AH539" s="1"/>
      <c r="AK539" s="1"/>
      <c r="AL539" s="1"/>
      <c r="AM539" s="2"/>
      <c r="AN539" s="2"/>
      <c r="AQ539" s="1"/>
      <c r="BG539" s="1"/>
    </row>
    <row r="540" spans="15:59">
      <c r="O540" s="1"/>
      <c r="P540" s="1"/>
      <c r="AA540" s="1"/>
      <c r="AB540" s="1"/>
      <c r="AG540" s="1"/>
      <c r="AH540" s="1"/>
      <c r="AK540" s="1"/>
      <c r="AL540" s="1"/>
      <c r="AM540" s="2"/>
      <c r="AN540" s="2"/>
      <c r="AQ540" s="1"/>
      <c r="BG540" s="1"/>
    </row>
    <row r="541" spans="15:59">
      <c r="O541" s="1"/>
      <c r="P541" s="1"/>
      <c r="AA541" s="1"/>
      <c r="AB541" s="1"/>
      <c r="AG541" s="1"/>
      <c r="AH541" s="1"/>
      <c r="AK541" s="1"/>
      <c r="AL541" s="1"/>
      <c r="AM541" s="2"/>
      <c r="AN541" s="2"/>
      <c r="AQ541" s="1"/>
      <c r="BG541" s="1"/>
    </row>
    <row r="542" spans="15:59">
      <c r="O542" s="1"/>
      <c r="P542" s="1"/>
      <c r="AA542" s="1"/>
      <c r="AB542" s="1"/>
      <c r="AG542" s="1"/>
      <c r="AH542" s="1"/>
      <c r="AK542" s="1"/>
      <c r="AL542" s="1"/>
      <c r="AM542" s="2"/>
      <c r="AN542" s="2"/>
      <c r="AQ542" s="1"/>
      <c r="BG542" s="1"/>
    </row>
    <row r="543" spans="15:59">
      <c r="O543" s="1"/>
      <c r="P543" s="1"/>
      <c r="AA543" s="1"/>
      <c r="AB543" s="1"/>
      <c r="AG543" s="1"/>
      <c r="AH543" s="1"/>
      <c r="AK543" s="1"/>
      <c r="AL543" s="1"/>
      <c r="AM543" s="2"/>
      <c r="AN543" s="2"/>
      <c r="AQ543" s="1"/>
      <c r="BG543" s="1"/>
    </row>
    <row r="544" spans="15:59">
      <c r="O544" s="1"/>
      <c r="P544" s="1"/>
      <c r="AA544" s="1"/>
      <c r="AB544" s="1"/>
      <c r="AG544" s="1"/>
      <c r="AH544" s="1"/>
      <c r="AK544" s="1"/>
      <c r="AL544" s="1"/>
      <c r="AM544" s="2"/>
      <c r="AN544" s="2"/>
      <c r="AQ544" s="1"/>
      <c r="BG544" s="1"/>
    </row>
    <row r="545" spans="15:59">
      <c r="O545" s="1"/>
      <c r="P545" s="1"/>
      <c r="AA545" s="1"/>
      <c r="AB545" s="1"/>
      <c r="AG545" s="1"/>
      <c r="AH545" s="1"/>
      <c r="AK545" s="1"/>
      <c r="AL545" s="1"/>
      <c r="AM545" s="2"/>
      <c r="AN545" s="2"/>
      <c r="AQ545" s="1"/>
      <c r="BG545" s="1"/>
    </row>
    <row r="546" spans="15:59">
      <c r="O546" s="1"/>
      <c r="P546" s="1"/>
      <c r="AA546" s="1"/>
      <c r="AB546" s="1"/>
      <c r="AG546" s="1"/>
      <c r="AH546" s="1"/>
      <c r="AK546" s="1"/>
      <c r="AL546" s="1"/>
      <c r="AM546" s="2"/>
      <c r="AN546" s="2"/>
      <c r="AQ546" s="1"/>
      <c r="BG546" s="1"/>
    </row>
    <row r="547" spans="15:59">
      <c r="O547" s="1"/>
      <c r="P547" s="1"/>
      <c r="AA547" s="1"/>
      <c r="AB547" s="1"/>
      <c r="AG547" s="1"/>
      <c r="AH547" s="1"/>
      <c r="AK547" s="1"/>
      <c r="AL547" s="1"/>
      <c r="AM547" s="2"/>
      <c r="AN547" s="2"/>
      <c r="AQ547" s="1"/>
      <c r="BG547" s="1"/>
    </row>
    <row r="548" spans="15:59">
      <c r="O548" s="1"/>
      <c r="P548" s="1"/>
      <c r="AA548" s="1"/>
      <c r="AB548" s="1"/>
      <c r="AG548" s="1"/>
      <c r="AH548" s="1"/>
      <c r="AK548" s="1"/>
      <c r="AL548" s="1"/>
      <c r="AM548" s="2"/>
      <c r="AN548" s="2"/>
      <c r="AQ548" s="1"/>
      <c r="BG548" s="1"/>
    </row>
    <row r="549" spans="15:59">
      <c r="O549" s="1"/>
      <c r="P549" s="1"/>
      <c r="AA549" s="1"/>
      <c r="AB549" s="1"/>
      <c r="AG549" s="1"/>
      <c r="AH549" s="1"/>
      <c r="AK549" s="1"/>
      <c r="AL549" s="1"/>
      <c r="AM549" s="2"/>
      <c r="AN549" s="2"/>
      <c r="AQ549" s="1"/>
      <c r="BG549" s="1"/>
    </row>
    <row r="550" spans="15:59">
      <c r="O550" s="1"/>
      <c r="P550" s="1"/>
      <c r="AA550" s="1"/>
      <c r="AB550" s="1"/>
      <c r="AG550" s="1"/>
      <c r="AH550" s="1"/>
      <c r="AK550" s="1"/>
      <c r="AL550" s="1"/>
      <c r="AM550" s="2"/>
      <c r="AN550" s="2"/>
      <c r="AQ550" s="1"/>
      <c r="BG550" s="1"/>
    </row>
    <row r="551" spans="15:59">
      <c r="O551" s="1"/>
      <c r="P551" s="1"/>
      <c r="AA551" s="1"/>
      <c r="AB551" s="1"/>
      <c r="AG551" s="1"/>
      <c r="AH551" s="1"/>
      <c r="AK551" s="1"/>
      <c r="AL551" s="1"/>
      <c r="AM551" s="2"/>
      <c r="AN551" s="2"/>
      <c r="AQ551" s="1"/>
      <c r="BG551" s="1"/>
    </row>
    <row r="552" spans="15:59">
      <c r="O552" s="1"/>
      <c r="P552" s="1"/>
      <c r="AA552" s="1"/>
      <c r="AB552" s="1"/>
      <c r="AG552" s="1"/>
      <c r="AH552" s="1"/>
      <c r="AK552" s="1"/>
      <c r="AL552" s="1"/>
      <c r="AM552" s="2"/>
      <c r="AN552" s="2"/>
      <c r="AQ552" s="1"/>
      <c r="BG552" s="1"/>
    </row>
    <row r="553" spans="15:59">
      <c r="O553" s="1"/>
      <c r="P553" s="1"/>
      <c r="AA553" s="1"/>
      <c r="AB553" s="1"/>
      <c r="AG553" s="1"/>
      <c r="AH553" s="1"/>
      <c r="AK553" s="1"/>
      <c r="AL553" s="1"/>
      <c r="AM553" s="2"/>
      <c r="AN553" s="2"/>
      <c r="AQ553" s="1"/>
      <c r="BG553" s="1"/>
    </row>
    <row r="554" spans="15:59">
      <c r="O554" s="1"/>
      <c r="P554" s="1"/>
      <c r="AA554" s="1"/>
      <c r="AB554" s="1"/>
      <c r="AG554" s="1"/>
      <c r="AH554" s="1"/>
      <c r="AK554" s="1"/>
      <c r="AL554" s="1"/>
      <c r="AM554" s="2"/>
      <c r="AN554" s="2"/>
      <c r="AQ554" s="1"/>
      <c r="BG554" s="1"/>
    </row>
    <row r="555" spans="15:59">
      <c r="O555" s="1"/>
      <c r="P555" s="1"/>
      <c r="AA555" s="1"/>
      <c r="AB555" s="1"/>
      <c r="AG555" s="1"/>
      <c r="AH555" s="1"/>
      <c r="AK555" s="1"/>
      <c r="AL555" s="1"/>
      <c r="AM555" s="2"/>
      <c r="AN555" s="2"/>
      <c r="AQ555" s="1"/>
      <c r="BG555" s="1"/>
    </row>
    <row r="556" spans="15:59">
      <c r="O556" s="1"/>
      <c r="P556" s="1"/>
      <c r="AA556" s="1"/>
      <c r="AB556" s="1"/>
      <c r="AG556" s="1"/>
      <c r="AH556" s="1"/>
      <c r="AK556" s="1"/>
      <c r="AL556" s="1"/>
      <c r="AM556" s="2"/>
      <c r="AN556" s="2"/>
      <c r="AQ556" s="1"/>
      <c r="BG556" s="1"/>
    </row>
    <row r="557" spans="15:59">
      <c r="O557" s="1"/>
      <c r="P557" s="1"/>
      <c r="AA557" s="1"/>
      <c r="AB557" s="1"/>
      <c r="AG557" s="1"/>
      <c r="AH557" s="1"/>
      <c r="AK557" s="1"/>
      <c r="AL557" s="1"/>
      <c r="AM557" s="2"/>
      <c r="AN557" s="2"/>
      <c r="AQ557" s="1"/>
      <c r="BG557" s="1"/>
    </row>
    <row r="558" spans="15:59">
      <c r="O558" s="1"/>
      <c r="P558" s="1"/>
      <c r="AA558" s="1"/>
      <c r="AB558" s="1"/>
      <c r="AG558" s="1"/>
      <c r="AH558" s="1"/>
      <c r="AK558" s="1"/>
      <c r="AL558" s="1"/>
      <c r="AM558" s="2"/>
      <c r="AN558" s="2"/>
      <c r="AQ558" s="1"/>
      <c r="BG558" s="1"/>
    </row>
    <row r="559" spans="15:59">
      <c r="O559" s="1"/>
      <c r="P559" s="1"/>
      <c r="AA559" s="1"/>
      <c r="AB559" s="1"/>
      <c r="AG559" s="1"/>
      <c r="AH559" s="1"/>
      <c r="AK559" s="1"/>
      <c r="AL559" s="1"/>
      <c r="AM559" s="2"/>
      <c r="AN559" s="2"/>
      <c r="AQ559" s="1"/>
      <c r="BG559" s="1"/>
    </row>
    <row r="560" spans="15:59">
      <c r="O560" s="1"/>
      <c r="P560" s="1"/>
      <c r="AA560" s="1"/>
      <c r="AB560" s="1"/>
      <c r="AG560" s="1"/>
      <c r="AH560" s="1"/>
      <c r="AK560" s="1"/>
      <c r="AL560" s="1"/>
      <c r="AM560" s="2"/>
      <c r="AN560" s="2"/>
      <c r="AQ560" s="1"/>
      <c r="BG560" s="1"/>
    </row>
    <row r="561" spans="15:59">
      <c r="O561" s="1"/>
      <c r="P561" s="1"/>
      <c r="AA561" s="1"/>
      <c r="AB561" s="1"/>
      <c r="AG561" s="1"/>
      <c r="AH561" s="1"/>
      <c r="AK561" s="1"/>
      <c r="AL561" s="1"/>
      <c r="AM561" s="2"/>
      <c r="AN561" s="2"/>
      <c r="AQ561" s="1"/>
      <c r="BG561" s="1"/>
    </row>
    <row r="562" spans="15:59">
      <c r="O562" s="1"/>
      <c r="P562" s="1"/>
      <c r="AA562" s="1"/>
      <c r="AB562" s="1"/>
      <c r="AG562" s="1"/>
      <c r="AH562" s="1"/>
      <c r="AK562" s="1"/>
      <c r="AL562" s="1"/>
      <c r="AM562" s="2"/>
      <c r="AN562" s="2"/>
      <c r="AQ562" s="1"/>
      <c r="BG562" s="1"/>
    </row>
    <row r="563" spans="15:59">
      <c r="O563" s="1"/>
      <c r="P563" s="1"/>
      <c r="AA563" s="1"/>
      <c r="AB563" s="1"/>
      <c r="AG563" s="1"/>
      <c r="AH563" s="1"/>
      <c r="AK563" s="1"/>
      <c r="AL563" s="1"/>
      <c r="AM563" s="2"/>
      <c r="AN563" s="2"/>
      <c r="AQ563" s="1"/>
      <c r="BG563" s="1"/>
    </row>
    <row r="564" spans="15:59">
      <c r="O564" s="1"/>
      <c r="P564" s="1"/>
      <c r="AA564" s="1"/>
      <c r="AB564" s="1"/>
      <c r="AG564" s="1"/>
      <c r="AH564" s="1"/>
      <c r="AK564" s="1"/>
      <c r="AL564" s="1"/>
      <c r="AM564" s="2"/>
      <c r="AN564" s="2"/>
      <c r="AQ564" s="1"/>
      <c r="BG564" s="1"/>
    </row>
    <row r="565" spans="15:59">
      <c r="O565" s="1"/>
      <c r="P565" s="1"/>
      <c r="AA565" s="1"/>
      <c r="AB565" s="1"/>
      <c r="AG565" s="1"/>
      <c r="AH565" s="1"/>
      <c r="AK565" s="1"/>
      <c r="AL565" s="1"/>
      <c r="AM565" s="2"/>
      <c r="AN565" s="2"/>
      <c r="AQ565" s="1"/>
      <c r="BG565" s="1"/>
    </row>
    <row r="566" spans="15:59">
      <c r="O566" s="1"/>
      <c r="P566" s="1"/>
      <c r="AA566" s="1"/>
      <c r="AB566" s="1"/>
      <c r="AG566" s="1"/>
      <c r="AH566" s="1"/>
      <c r="AK566" s="1"/>
      <c r="AL566" s="1"/>
      <c r="AM566" s="2"/>
      <c r="AN566" s="2"/>
      <c r="AQ566" s="1"/>
      <c r="BG566" s="1"/>
    </row>
    <row r="567" spans="15:59">
      <c r="O567" s="1"/>
      <c r="P567" s="1"/>
      <c r="AA567" s="1"/>
      <c r="AB567" s="1"/>
      <c r="AG567" s="1"/>
      <c r="AH567" s="1"/>
      <c r="AK567" s="1"/>
      <c r="AL567" s="1"/>
      <c r="AM567" s="2"/>
      <c r="AN567" s="2"/>
      <c r="AQ567" s="1"/>
      <c r="BG567" s="1"/>
    </row>
    <row r="568" spans="15:59">
      <c r="O568" s="1"/>
      <c r="P568" s="1"/>
      <c r="AA568" s="1"/>
      <c r="AB568" s="1"/>
      <c r="AG568" s="1"/>
      <c r="AH568" s="1"/>
      <c r="AK568" s="1"/>
      <c r="AL568" s="1"/>
      <c r="AM568" s="2"/>
      <c r="AN568" s="2"/>
      <c r="AQ568" s="1"/>
      <c r="BG568" s="1"/>
    </row>
    <row r="569" spans="15:59">
      <c r="O569" s="1"/>
      <c r="P569" s="1"/>
      <c r="AA569" s="1"/>
      <c r="AB569" s="1"/>
      <c r="AG569" s="1"/>
      <c r="AH569" s="1"/>
      <c r="AK569" s="1"/>
      <c r="AL569" s="1"/>
      <c r="AM569" s="2"/>
      <c r="AN569" s="2"/>
      <c r="AQ569" s="1"/>
      <c r="BG569" s="1"/>
    </row>
    <row r="570" spans="15:59">
      <c r="O570" s="1"/>
      <c r="P570" s="1"/>
      <c r="AA570" s="1"/>
      <c r="AB570" s="1"/>
      <c r="AG570" s="1"/>
      <c r="AH570" s="1"/>
      <c r="AK570" s="1"/>
      <c r="AL570" s="1"/>
      <c r="AM570" s="2"/>
      <c r="AN570" s="2"/>
      <c r="AQ570" s="1"/>
      <c r="BG570" s="1"/>
    </row>
    <row r="571" spans="15:59">
      <c r="O571" s="1"/>
      <c r="P571" s="1"/>
      <c r="AA571" s="1"/>
      <c r="AB571" s="1"/>
      <c r="AG571" s="1"/>
      <c r="AH571" s="1"/>
      <c r="AK571" s="1"/>
      <c r="AL571" s="1"/>
      <c r="AM571" s="2"/>
      <c r="AN571" s="2"/>
      <c r="AQ571" s="1"/>
      <c r="BG571" s="1"/>
    </row>
    <row r="572" spans="15:59">
      <c r="O572" s="1"/>
      <c r="P572" s="1"/>
      <c r="AA572" s="1"/>
      <c r="AB572" s="1"/>
      <c r="AG572" s="1"/>
      <c r="AH572" s="1"/>
      <c r="AK572" s="1"/>
      <c r="AL572" s="1"/>
      <c r="AM572" s="2"/>
      <c r="AN572" s="2"/>
      <c r="AQ572" s="1"/>
      <c r="BG572" s="1"/>
    </row>
    <row r="573" spans="15:59">
      <c r="O573" s="1"/>
      <c r="P573" s="1"/>
      <c r="AA573" s="1"/>
      <c r="AB573" s="1"/>
      <c r="AG573" s="1"/>
      <c r="AH573" s="1"/>
      <c r="AK573" s="1"/>
      <c r="AL573" s="1"/>
      <c r="AM573" s="2"/>
      <c r="AN573" s="2"/>
      <c r="AQ573" s="1"/>
      <c r="BG573" s="1"/>
    </row>
    <row r="574" spans="15:59">
      <c r="O574" s="1"/>
      <c r="P574" s="1"/>
      <c r="AA574" s="1"/>
      <c r="AB574" s="1"/>
      <c r="AG574" s="1"/>
      <c r="AH574" s="1"/>
      <c r="AK574" s="1"/>
      <c r="AL574" s="1"/>
      <c r="AM574" s="2"/>
      <c r="AN574" s="2"/>
      <c r="AQ574" s="1"/>
      <c r="BG574" s="1"/>
    </row>
    <row r="575" spans="15:59">
      <c r="O575" s="1"/>
      <c r="P575" s="1"/>
      <c r="AA575" s="1"/>
      <c r="AB575" s="1"/>
      <c r="AG575" s="1"/>
      <c r="AH575" s="1"/>
      <c r="AK575" s="1"/>
      <c r="AL575" s="1"/>
      <c r="AM575" s="2"/>
      <c r="AN575" s="2"/>
      <c r="AQ575" s="1"/>
      <c r="BG575" s="1"/>
    </row>
    <row r="576" spans="15:59">
      <c r="O576" s="1"/>
      <c r="P576" s="1"/>
      <c r="AA576" s="1"/>
      <c r="AB576" s="1"/>
      <c r="AG576" s="1"/>
      <c r="AH576" s="1"/>
      <c r="AK576" s="1"/>
      <c r="AL576" s="1"/>
      <c r="AM576" s="2"/>
      <c r="AN576" s="2"/>
      <c r="AQ576" s="1"/>
      <c r="BG576" s="1"/>
    </row>
    <row r="577" spans="15:59">
      <c r="O577" s="1"/>
      <c r="P577" s="1"/>
      <c r="AA577" s="1"/>
      <c r="AB577" s="1"/>
      <c r="AG577" s="1"/>
      <c r="AH577" s="1"/>
      <c r="AK577" s="1"/>
      <c r="AL577" s="1"/>
      <c r="AM577" s="2"/>
      <c r="AN577" s="2"/>
      <c r="AQ577" s="1"/>
      <c r="BG577" s="1"/>
    </row>
    <row r="578" spans="15:59">
      <c r="O578" s="1"/>
      <c r="P578" s="1"/>
      <c r="AA578" s="1"/>
      <c r="AB578" s="1"/>
      <c r="AG578" s="1"/>
      <c r="AH578" s="1"/>
      <c r="AK578" s="1"/>
      <c r="AL578" s="1"/>
      <c r="AM578" s="2"/>
      <c r="AN578" s="2"/>
      <c r="AQ578" s="1"/>
      <c r="BG578" s="1"/>
    </row>
    <row r="579" spans="15:59">
      <c r="O579" s="1"/>
      <c r="P579" s="1"/>
      <c r="AA579" s="1"/>
      <c r="AB579" s="1"/>
      <c r="AG579" s="1"/>
      <c r="AH579" s="1"/>
      <c r="AK579" s="1"/>
      <c r="AL579" s="1"/>
      <c r="AM579" s="2"/>
      <c r="AN579" s="2"/>
      <c r="AQ579" s="1"/>
      <c r="BG579" s="1"/>
    </row>
    <row r="580" spans="15:59">
      <c r="O580" s="1"/>
      <c r="P580" s="1"/>
      <c r="AA580" s="1"/>
      <c r="AB580" s="1"/>
      <c r="AG580" s="1"/>
      <c r="AH580" s="1"/>
      <c r="AK580" s="1"/>
      <c r="AL580" s="1"/>
      <c r="AM580" s="2"/>
      <c r="AN580" s="2"/>
      <c r="AQ580" s="1"/>
      <c r="BG580" s="1"/>
    </row>
    <row r="581" spans="15:59">
      <c r="O581" s="1"/>
      <c r="P581" s="1"/>
      <c r="AA581" s="1"/>
      <c r="AB581" s="1"/>
      <c r="AG581" s="1"/>
      <c r="AH581" s="1"/>
      <c r="AK581" s="1"/>
      <c r="AL581" s="1"/>
      <c r="AM581" s="2"/>
      <c r="AN581" s="2"/>
      <c r="AQ581" s="1"/>
      <c r="BG581" s="1"/>
    </row>
    <row r="582" spans="15:59">
      <c r="O582" s="1"/>
      <c r="P582" s="1"/>
      <c r="AA582" s="1"/>
      <c r="AB582" s="1"/>
      <c r="AG582" s="1"/>
      <c r="AH582" s="1"/>
      <c r="AK582" s="1"/>
      <c r="AL582" s="1"/>
      <c r="AM582" s="2"/>
      <c r="AN582" s="2"/>
      <c r="AQ582" s="1"/>
      <c r="BG582" s="1"/>
    </row>
    <row r="583" spans="15:59">
      <c r="O583" s="1"/>
      <c r="P583" s="1"/>
      <c r="AA583" s="1"/>
      <c r="AB583" s="1"/>
      <c r="AG583" s="1"/>
      <c r="AH583" s="1"/>
      <c r="AK583" s="1"/>
      <c r="AL583" s="1"/>
      <c r="AM583" s="2"/>
      <c r="AN583" s="2"/>
      <c r="AQ583" s="1"/>
      <c r="BG583" s="1"/>
    </row>
    <row r="584" spans="15:59">
      <c r="O584" s="1"/>
      <c r="P584" s="1"/>
      <c r="AA584" s="1"/>
      <c r="AB584" s="1"/>
      <c r="AG584" s="1"/>
      <c r="AH584" s="1"/>
      <c r="AK584" s="1"/>
      <c r="AL584" s="1"/>
      <c r="AM584" s="2"/>
      <c r="AN584" s="2"/>
      <c r="AQ584" s="1"/>
      <c r="BG584" s="1"/>
    </row>
    <row r="585" spans="15:59">
      <c r="O585" s="1"/>
      <c r="P585" s="1"/>
      <c r="AA585" s="1"/>
      <c r="AB585" s="1"/>
      <c r="AG585" s="1"/>
      <c r="AH585" s="1"/>
      <c r="AK585" s="1"/>
      <c r="AL585" s="1"/>
      <c r="AM585" s="2"/>
      <c r="AN585" s="2"/>
      <c r="AQ585" s="1"/>
      <c r="BG585" s="1"/>
    </row>
    <row r="586" spans="15:59">
      <c r="O586" s="1"/>
      <c r="P586" s="1"/>
      <c r="AA586" s="1"/>
      <c r="AB586" s="1"/>
      <c r="AG586" s="1"/>
      <c r="AH586" s="1"/>
      <c r="AK586" s="1"/>
      <c r="AL586" s="1"/>
      <c r="AM586" s="2"/>
      <c r="AN586" s="2"/>
      <c r="AQ586" s="1"/>
      <c r="BG586" s="1"/>
    </row>
    <row r="587" spans="15:59">
      <c r="O587" s="1"/>
      <c r="P587" s="1"/>
      <c r="AA587" s="1"/>
      <c r="AB587" s="1"/>
      <c r="AG587" s="1"/>
      <c r="AH587" s="1"/>
      <c r="AK587" s="1"/>
      <c r="AL587" s="1"/>
      <c r="AM587" s="2"/>
      <c r="AN587" s="2"/>
      <c r="AQ587" s="1"/>
      <c r="BG587" s="1"/>
    </row>
    <row r="588" spans="15:59">
      <c r="O588" s="1"/>
      <c r="P588" s="1"/>
      <c r="AA588" s="1"/>
      <c r="AB588" s="1"/>
      <c r="AG588" s="1"/>
      <c r="AH588" s="1"/>
      <c r="AK588" s="1"/>
      <c r="AL588" s="1"/>
      <c r="AM588" s="2"/>
      <c r="AN588" s="2"/>
      <c r="AQ588" s="1"/>
      <c r="BG588" s="1"/>
    </row>
    <row r="589" spans="15:59">
      <c r="O589" s="1"/>
      <c r="P589" s="1"/>
      <c r="AA589" s="1"/>
      <c r="AB589" s="1"/>
      <c r="AG589" s="1"/>
      <c r="AH589" s="1"/>
      <c r="AK589" s="1"/>
      <c r="AL589" s="1"/>
      <c r="AM589" s="2"/>
      <c r="AN589" s="2"/>
      <c r="AQ589" s="1"/>
      <c r="BG589" s="1"/>
    </row>
    <row r="590" spans="15:59">
      <c r="O590" s="1"/>
      <c r="P590" s="1"/>
      <c r="AA590" s="1"/>
      <c r="AB590" s="1"/>
      <c r="AG590" s="1"/>
      <c r="AH590" s="1"/>
      <c r="AK590" s="1"/>
      <c r="AL590" s="1"/>
      <c r="AM590" s="2"/>
      <c r="AN590" s="2"/>
      <c r="AQ590" s="1"/>
      <c r="BG590" s="1"/>
    </row>
    <row r="591" spans="15:59">
      <c r="O591" s="1"/>
      <c r="P591" s="1"/>
      <c r="AA591" s="1"/>
      <c r="AB591" s="1"/>
      <c r="AG591" s="1"/>
      <c r="AH591" s="1"/>
      <c r="AK591" s="1"/>
      <c r="AL591" s="1"/>
      <c r="AM591" s="2"/>
      <c r="AN591" s="2"/>
      <c r="AQ591" s="1"/>
      <c r="BG591" s="1"/>
    </row>
    <row r="592" spans="15:59">
      <c r="O592" s="1"/>
      <c r="P592" s="1"/>
      <c r="AA592" s="1"/>
      <c r="AB592" s="1"/>
      <c r="AG592" s="1"/>
      <c r="AH592" s="1"/>
      <c r="AK592" s="1"/>
      <c r="AL592" s="1"/>
      <c r="AM592" s="2"/>
      <c r="AN592" s="2"/>
      <c r="AQ592" s="1"/>
      <c r="BG592" s="1"/>
    </row>
    <row r="593" spans="15:59">
      <c r="O593" s="1"/>
      <c r="P593" s="1"/>
      <c r="AA593" s="1"/>
      <c r="AB593" s="1"/>
      <c r="AG593" s="1"/>
      <c r="AH593" s="1"/>
      <c r="AK593" s="1"/>
      <c r="AL593" s="1"/>
      <c r="AM593" s="2"/>
      <c r="AN593" s="2"/>
      <c r="AQ593" s="1"/>
      <c r="BG593" s="1"/>
    </row>
    <row r="594" spans="15:59">
      <c r="O594" s="1"/>
      <c r="P594" s="1"/>
      <c r="AA594" s="1"/>
      <c r="AB594" s="1"/>
      <c r="AG594" s="1"/>
      <c r="AH594" s="1"/>
      <c r="AK594" s="1"/>
      <c r="AL594" s="1"/>
      <c r="AM594" s="2"/>
      <c r="AN594" s="2"/>
      <c r="AQ594" s="1"/>
      <c r="BG594" s="1"/>
    </row>
    <row r="595" spans="15:59">
      <c r="O595" s="1"/>
      <c r="P595" s="1"/>
      <c r="AA595" s="1"/>
      <c r="AB595" s="1"/>
      <c r="AG595" s="1"/>
      <c r="AH595" s="1"/>
      <c r="AK595" s="1"/>
      <c r="AL595" s="1"/>
      <c r="AM595" s="2"/>
      <c r="AN595" s="2"/>
      <c r="AQ595" s="1"/>
      <c r="BG595" s="1"/>
    </row>
    <row r="596" spans="15:59">
      <c r="O596" s="1"/>
      <c r="P596" s="1"/>
      <c r="AA596" s="1"/>
      <c r="AB596" s="1"/>
      <c r="AG596" s="1"/>
      <c r="AH596" s="1"/>
      <c r="AK596" s="1"/>
      <c r="AL596" s="1"/>
      <c r="AM596" s="2"/>
      <c r="AN596" s="2"/>
      <c r="AQ596" s="1"/>
      <c r="BG596" s="1"/>
    </row>
    <row r="597" spans="15:59">
      <c r="O597" s="1"/>
      <c r="P597" s="1"/>
      <c r="AA597" s="1"/>
      <c r="AB597" s="1"/>
      <c r="AG597" s="1"/>
      <c r="AH597" s="1"/>
      <c r="AK597" s="1"/>
      <c r="AL597" s="1"/>
      <c r="AM597" s="2"/>
      <c r="AN597" s="2"/>
      <c r="AQ597" s="1"/>
      <c r="BG597" s="1"/>
    </row>
    <row r="598" spans="15:59">
      <c r="O598" s="1"/>
      <c r="P598" s="1"/>
      <c r="AA598" s="1"/>
      <c r="AB598" s="1"/>
      <c r="AG598" s="1"/>
      <c r="AH598" s="1"/>
      <c r="AK598" s="1"/>
      <c r="AL598" s="1"/>
      <c r="AM598" s="2"/>
      <c r="AN598" s="2"/>
      <c r="AQ598" s="1"/>
      <c r="BG598" s="1"/>
    </row>
    <row r="599" spans="15:59">
      <c r="O599" s="1"/>
      <c r="P599" s="1"/>
      <c r="AA599" s="1"/>
      <c r="AB599" s="1"/>
      <c r="AG599" s="1"/>
      <c r="AH599" s="1"/>
      <c r="AK599" s="1"/>
      <c r="AL599" s="1"/>
      <c r="AM599" s="2"/>
      <c r="AN599" s="2"/>
      <c r="AQ599" s="1"/>
      <c r="BG599" s="1"/>
    </row>
    <row r="600" spans="15:59">
      <c r="O600" s="1"/>
      <c r="P600" s="1"/>
      <c r="AA600" s="1"/>
      <c r="AB600" s="1"/>
      <c r="AG600" s="1"/>
      <c r="AH600" s="1"/>
      <c r="AK600" s="1"/>
      <c r="AL600" s="1"/>
      <c r="AM600" s="2"/>
      <c r="AN600" s="2"/>
      <c r="AQ600" s="1"/>
      <c r="BG600" s="1"/>
    </row>
    <row r="601" spans="15:59">
      <c r="O601" s="1"/>
      <c r="P601" s="1"/>
      <c r="AA601" s="1"/>
      <c r="AB601" s="1"/>
      <c r="AG601" s="1"/>
      <c r="AH601" s="1"/>
      <c r="AK601" s="1"/>
      <c r="AL601" s="1"/>
      <c r="AM601" s="2"/>
      <c r="AN601" s="2"/>
      <c r="AQ601" s="1"/>
      <c r="BG601" s="1"/>
    </row>
    <row r="602" spans="15:59">
      <c r="O602" s="1"/>
      <c r="P602" s="1"/>
      <c r="AA602" s="1"/>
      <c r="AB602" s="1"/>
      <c r="AG602" s="1"/>
      <c r="AH602" s="1"/>
      <c r="AK602" s="1"/>
      <c r="AL602" s="1"/>
      <c r="AM602" s="2"/>
      <c r="AN602" s="2"/>
      <c r="AQ602" s="1"/>
      <c r="BG602" s="1"/>
    </row>
    <row r="603" spans="15:59">
      <c r="O603" s="1"/>
      <c r="P603" s="1"/>
      <c r="AA603" s="1"/>
      <c r="AB603" s="1"/>
      <c r="AG603" s="1"/>
      <c r="AH603" s="1"/>
      <c r="AK603" s="1"/>
      <c r="AL603" s="1"/>
      <c r="AM603" s="2"/>
      <c r="AN603" s="2"/>
      <c r="AQ603" s="1"/>
      <c r="BG603" s="1"/>
    </row>
    <row r="604" spans="15:59">
      <c r="O604" s="1"/>
      <c r="P604" s="1"/>
      <c r="AA604" s="1"/>
      <c r="AB604" s="1"/>
      <c r="AG604" s="1"/>
      <c r="AH604" s="1"/>
      <c r="AK604" s="1"/>
      <c r="AL604" s="1"/>
      <c r="AM604" s="2"/>
      <c r="AN604" s="2"/>
      <c r="AQ604" s="1"/>
      <c r="BG604" s="1"/>
    </row>
    <row r="605" spans="15:59">
      <c r="O605" s="1"/>
      <c r="P605" s="1"/>
      <c r="AA605" s="1"/>
      <c r="AB605" s="1"/>
      <c r="AG605" s="1"/>
      <c r="AH605" s="1"/>
      <c r="AK605" s="1"/>
      <c r="AL605" s="1"/>
      <c r="AM605" s="2"/>
      <c r="AN605" s="2"/>
      <c r="AQ605" s="1"/>
      <c r="BG605" s="1"/>
    </row>
    <row r="606" spans="15:59">
      <c r="O606" s="1"/>
      <c r="P606" s="1"/>
      <c r="AA606" s="1"/>
      <c r="AB606" s="1"/>
      <c r="AG606" s="1"/>
      <c r="AH606" s="1"/>
      <c r="AK606" s="1"/>
      <c r="AL606" s="1"/>
      <c r="AM606" s="2"/>
      <c r="AN606" s="2"/>
      <c r="AQ606" s="1"/>
      <c r="BG606" s="1"/>
    </row>
    <row r="607" spans="15:59">
      <c r="O607" s="1"/>
      <c r="P607" s="1"/>
      <c r="AA607" s="1"/>
      <c r="AB607" s="1"/>
      <c r="AG607" s="1"/>
      <c r="AH607" s="1"/>
      <c r="AK607" s="1"/>
      <c r="AL607" s="1"/>
      <c r="AM607" s="2"/>
      <c r="AN607" s="2"/>
      <c r="AQ607" s="1"/>
      <c r="BG607" s="1"/>
    </row>
    <row r="608" spans="15:59">
      <c r="O608" s="1"/>
      <c r="P608" s="1"/>
      <c r="AA608" s="1"/>
      <c r="AB608" s="1"/>
      <c r="AG608" s="1"/>
      <c r="AH608" s="1"/>
      <c r="AK608" s="1"/>
      <c r="AL608" s="1"/>
      <c r="AM608" s="2"/>
      <c r="AN608" s="2"/>
      <c r="AQ608" s="1"/>
      <c r="BG608" s="1"/>
    </row>
    <row r="609" spans="15:59">
      <c r="O609" s="1"/>
      <c r="P609" s="1"/>
      <c r="AA609" s="1"/>
      <c r="AB609" s="1"/>
      <c r="AG609" s="1"/>
      <c r="AH609" s="1"/>
      <c r="AK609" s="1"/>
      <c r="AL609" s="1"/>
      <c r="AM609" s="2"/>
      <c r="AN609" s="2"/>
      <c r="AQ609" s="1"/>
      <c r="BG609" s="1"/>
    </row>
    <row r="610" spans="15:59">
      <c r="O610" s="1"/>
      <c r="P610" s="1"/>
      <c r="AA610" s="1"/>
      <c r="AB610" s="1"/>
      <c r="AG610" s="1"/>
      <c r="AH610" s="1"/>
      <c r="AK610" s="1"/>
      <c r="AL610" s="1"/>
      <c r="AM610" s="2"/>
      <c r="AN610" s="2"/>
      <c r="AQ610" s="1"/>
      <c r="BG610" s="1"/>
    </row>
    <row r="611" spans="15:59">
      <c r="O611" s="1"/>
      <c r="P611" s="1"/>
      <c r="AA611" s="1"/>
      <c r="AB611" s="1"/>
      <c r="AG611" s="1"/>
      <c r="AH611" s="1"/>
      <c r="AK611" s="1"/>
      <c r="AL611" s="1"/>
      <c r="AM611" s="2"/>
      <c r="AN611" s="2"/>
      <c r="AQ611" s="1"/>
      <c r="BG611" s="1"/>
    </row>
    <row r="612" spans="15:59">
      <c r="O612" s="1"/>
      <c r="P612" s="1"/>
      <c r="AA612" s="1"/>
      <c r="AB612" s="1"/>
      <c r="AG612" s="1"/>
      <c r="AH612" s="1"/>
      <c r="AK612" s="1"/>
      <c r="AL612" s="1"/>
      <c r="AM612" s="2"/>
      <c r="AN612" s="2"/>
      <c r="AQ612" s="1"/>
      <c r="BG612" s="1"/>
    </row>
    <row r="613" spans="15:59">
      <c r="O613" s="1"/>
      <c r="P613" s="1"/>
      <c r="AA613" s="1"/>
      <c r="AB613" s="1"/>
      <c r="AG613" s="1"/>
      <c r="AH613" s="1"/>
      <c r="AK613" s="1"/>
      <c r="AL613" s="1"/>
      <c r="AM613" s="2"/>
      <c r="AN613" s="2"/>
      <c r="AQ613" s="1"/>
      <c r="BG613" s="1"/>
    </row>
    <row r="614" spans="15:59">
      <c r="O614" s="1"/>
      <c r="P614" s="1"/>
      <c r="AA614" s="1"/>
      <c r="AB614" s="1"/>
      <c r="AG614" s="1"/>
      <c r="AH614" s="1"/>
      <c r="AK614" s="1"/>
      <c r="AL614" s="1"/>
      <c r="AM614" s="2"/>
      <c r="AN614" s="2"/>
      <c r="AQ614" s="1"/>
      <c r="BG614" s="1"/>
    </row>
    <row r="615" spans="15:59">
      <c r="O615" s="1"/>
      <c r="P615" s="1"/>
      <c r="AA615" s="1"/>
      <c r="AB615" s="1"/>
      <c r="AG615" s="1"/>
      <c r="AH615" s="1"/>
      <c r="AK615" s="1"/>
      <c r="AL615" s="1"/>
      <c r="AM615" s="2"/>
      <c r="AN615" s="2"/>
      <c r="AQ615" s="1"/>
      <c r="BG615" s="1"/>
    </row>
    <row r="616" spans="15:59">
      <c r="O616" s="1"/>
      <c r="P616" s="1"/>
      <c r="AA616" s="1"/>
      <c r="AB616" s="1"/>
      <c r="AG616" s="1"/>
      <c r="AH616" s="1"/>
      <c r="AK616" s="1"/>
      <c r="AL616" s="1"/>
      <c r="AM616" s="2"/>
      <c r="AN616" s="2"/>
      <c r="AQ616" s="1"/>
      <c r="BG616" s="1"/>
    </row>
    <row r="617" spans="15:59">
      <c r="O617" s="1"/>
      <c r="P617" s="1"/>
      <c r="AA617" s="1"/>
      <c r="AB617" s="1"/>
      <c r="AG617" s="1"/>
      <c r="AH617" s="1"/>
      <c r="AK617" s="1"/>
      <c r="AL617" s="1"/>
      <c r="AM617" s="2"/>
      <c r="AN617" s="2"/>
      <c r="AQ617" s="1"/>
      <c r="BG617" s="1"/>
    </row>
    <row r="618" spans="15:59">
      <c r="O618" s="1"/>
      <c r="P618" s="1"/>
      <c r="AA618" s="1"/>
      <c r="AB618" s="1"/>
      <c r="AG618" s="1"/>
      <c r="AH618" s="1"/>
      <c r="AK618" s="1"/>
      <c r="AL618" s="1"/>
      <c r="AM618" s="2"/>
      <c r="AN618" s="2"/>
      <c r="AQ618" s="1"/>
      <c r="BG618" s="1"/>
    </row>
    <row r="619" spans="15:59">
      <c r="O619" s="1"/>
      <c r="P619" s="1"/>
      <c r="AA619" s="1"/>
      <c r="AB619" s="1"/>
      <c r="AG619" s="1"/>
      <c r="AH619" s="1"/>
      <c r="AK619" s="1"/>
      <c r="AL619" s="1"/>
      <c r="AM619" s="2"/>
      <c r="AN619" s="2"/>
      <c r="AQ619" s="1"/>
      <c r="BG619" s="1"/>
    </row>
    <row r="620" spans="15:59">
      <c r="O620" s="1"/>
      <c r="P620" s="1"/>
      <c r="AA620" s="1"/>
      <c r="AB620" s="1"/>
      <c r="AG620" s="1"/>
      <c r="AH620" s="1"/>
      <c r="AK620" s="1"/>
      <c r="AL620" s="1"/>
      <c r="AM620" s="2"/>
      <c r="AN620" s="2"/>
      <c r="AQ620" s="1"/>
      <c r="BG620" s="1"/>
    </row>
    <row r="621" spans="15:59">
      <c r="O621" s="1"/>
      <c r="P621" s="1"/>
      <c r="AA621" s="1"/>
      <c r="AB621" s="1"/>
      <c r="AG621" s="1"/>
      <c r="AH621" s="1"/>
      <c r="AK621" s="1"/>
      <c r="AL621" s="1"/>
      <c r="AM621" s="2"/>
      <c r="AN621" s="2"/>
      <c r="AQ621" s="1"/>
      <c r="BG621" s="1"/>
    </row>
    <row r="622" spans="15:59">
      <c r="O622" s="1"/>
      <c r="P622" s="1"/>
      <c r="AA622" s="1"/>
      <c r="AB622" s="1"/>
      <c r="AG622" s="1"/>
      <c r="AH622" s="1"/>
      <c r="AK622" s="1"/>
      <c r="AL622" s="1"/>
      <c r="AM622" s="2"/>
      <c r="AN622" s="2"/>
      <c r="AQ622" s="1"/>
      <c r="BG622" s="1"/>
    </row>
    <row r="623" spans="15:59">
      <c r="O623" s="1"/>
      <c r="P623" s="1"/>
      <c r="AA623" s="1"/>
      <c r="AB623" s="1"/>
      <c r="AG623" s="1"/>
      <c r="AH623" s="1"/>
      <c r="AK623" s="1"/>
      <c r="AL623" s="1"/>
      <c r="AM623" s="2"/>
      <c r="AN623" s="2"/>
      <c r="AQ623" s="1"/>
      <c r="BG623" s="1"/>
    </row>
    <row r="624" spans="15:59">
      <c r="O624" s="1"/>
      <c r="P624" s="1"/>
      <c r="AA624" s="1"/>
      <c r="AB624" s="1"/>
      <c r="AG624" s="1"/>
      <c r="AH624" s="1"/>
      <c r="AK624" s="1"/>
      <c r="AL624" s="1"/>
      <c r="AM624" s="2"/>
      <c r="AN624" s="2"/>
      <c r="AQ624" s="1"/>
      <c r="BG624" s="1"/>
    </row>
    <row r="625" spans="15:59">
      <c r="O625" s="1"/>
      <c r="P625" s="1"/>
      <c r="AA625" s="1"/>
      <c r="AB625" s="1"/>
      <c r="AG625" s="1"/>
      <c r="AH625" s="1"/>
      <c r="AK625" s="1"/>
      <c r="AL625" s="1"/>
      <c r="AM625" s="2"/>
      <c r="AN625" s="2"/>
      <c r="AQ625" s="1"/>
      <c r="BG625" s="1"/>
    </row>
    <row r="626" spans="15:59">
      <c r="O626" s="1"/>
      <c r="P626" s="1"/>
      <c r="AA626" s="1"/>
      <c r="AB626" s="1"/>
      <c r="AG626" s="1"/>
      <c r="AH626" s="1"/>
      <c r="AK626" s="1"/>
      <c r="AL626" s="1"/>
      <c r="AM626" s="2"/>
      <c r="AN626" s="2"/>
      <c r="AQ626" s="1"/>
      <c r="BG626" s="1"/>
    </row>
    <row r="627" spans="15:59">
      <c r="O627" s="1"/>
      <c r="P627" s="1"/>
      <c r="AA627" s="1"/>
      <c r="AB627" s="1"/>
      <c r="AG627" s="1"/>
      <c r="AH627" s="1"/>
      <c r="AK627" s="1"/>
      <c r="AL627" s="1"/>
      <c r="AM627" s="2"/>
      <c r="AN627" s="2"/>
      <c r="AQ627" s="1"/>
      <c r="BG627" s="1"/>
    </row>
    <row r="628" spans="15:59">
      <c r="O628" s="1"/>
      <c r="P628" s="1"/>
      <c r="AA628" s="1"/>
      <c r="AB628" s="1"/>
      <c r="AG628" s="1"/>
      <c r="AH628" s="1"/>
      <c r="AK628" s="1"/>
      <c r="AL628" s="1"/>
      <c r="AM628" s="2"/>
      <c r="AN628" s="2"/>
      <c r="AQ628" s="1"/>
      <c r="BG628" s="1"/>
    </row>
    <row r="629" spans="15:59">
      <c r="O629" s="1"/>
      <c r="P629" s="1"/>
      <c r="AA629" s="1"/>
      <c r="AB629" s="1"/>
      <c r="AG629" s="1"/>
      <c r="AH629" s="1"/>
      <c r="AK629" s="1"/>
      <c r="AL629" s="1"/>
      <c r="AM629" s="2"/>
      <c r="AN629" s="2"/>
      <c r="AQ629" s="1"/>
      <c r="BG629" s="1"/>
    </row>
    <row r="630" spans="15:59">
      <c r="O630" s="1"/>
      <c r="P630" s="1"/>
      <c r="AA630" s="1"/>
      <c r="AB630" s="1"/>
      <c r="AG630" s="1"/>
      <c r="AH630" s="1"/>
      <c r="AK630" s="1"/>
      <c r="AL630" s="1"/>
      <c r="AM630" s="2"/>
      <c r="AN630" s="2"/>
      <c r="AQ630" s="1"/>
      <c r="BG630" s="1"/>
    </row>
    <row r="631" spans="15:59">
      <c r="O631" s="1"/>
      <c r="P631" s="1"/>
      <c r="AA631" s="1"/>
      <c r="AB631" s="1"/>
      <c r="AG631" s="1"/>
      <c r="AH631" s="1"/>
      <c r="AK631" s="1"/>
      <c r="AL631" s="1"/>
      <c r="AM631" s="2"/>
      <c r="AN631" s="2"/>
      <c r="AQ631" s="1"/>
      <c r="BG631" s="1"/>
    </row>
    <row r="632" spans="15:59">
      <c r="O632" s="1"/>
      <c r="P632" s="1"/>
      <c r="AA632" s="1"/>
      <c r="AB632" s="1"/>
      <c r="AG632" s="1"/>
      <c r="AH632" s="1"/>
      <c r="AK632" s="1"/>
      <c r="AL632" s="1"/>
      <c r="AM632" s="2"/>
      <c r="AN632" s="2"/>
      <c r="AQ632" s="1"/>
      <c r="BG632" s="1"/>
    </row>
    <row r="633" spans="15:59">
      <c r="O633" s="1"/>
      <c r="P633" s="1"/>
      <c r="AA633" s="1"/>
      <c r="AB633" s="1"/>
      <c r="AG633" s="1"/>
      <c r="AH633" s="1"/>
      <c r="AK633" s="1"/>
      <c r="AL633" s="1"/>
      <c r="AM633" s="2"/>
      <c r="AN633" s="2"/>
      <c r="AQ633" s="1"/>
      <c r="BG633" s="1"/>
    </row>
    <row r="634" spans="15:59">
      <c r="O634" s="1"/>
      <c r="P634" s="1"/>
      <c r="AA634" s="1"/>
      <c r="AB634" s="1"/>
      <c r="AG634" s="1"/>
      <c r="AH634" s="1"/>
      <c r="AK634" s="1"/>
      <c r="AL634" s="1"/>
      <c r="AM634" s="2"/>
      <c r="AN634" s="2"/>
      <c r="AQ634" s="1"/>
      <c r="BG634" s="1"/>
    </row>
    <row r="635" spans="15:59">
      <c r="O635" s="1"/>
      <c r="P635" s="1"/>
      <c r="AA635" s="1"/>
      <c r="AB635" s="1"/>
      <c r="AG635" s="1"/>
      <c r="AH635" s="1"/>
      <c r="AK635" s="1"/>
      <c r="AL635" s="1"/>
      <c r="AM635" s="2"/>
      <c r="AN635" s="2"/>
      <c r="AQ635" s="1"/>
      <c r="BG635" s="1"/>
    </row>
    <row r="636" spans="15:59">
      <c r="O636" s="1"/>
      <c r="P636" s="1"/>
      <c r="AA636" s="1"/>
      <c r="AB636" s="1"/>
      <c r="AG636" s="1"/>
      <c r="AH636" s="1"/>
      <c r="AK636" s="1"/>
      <c r="AL636" s="1"/>
      <c r="AM636" s="2"/>
      <c r="AN636" s="2"/>
      <c r="AQ636" s="1"/>
      <c r="BG636" s="1"/>
    </row>
    <row r="637" spans="15:59">
      <c r="O637" s="1"/>
      <c r="P637" s="1"/>
      <c r="AA637" s="1"/>
      <c r="AB637" s="1"/>
      <c r="AG637" s="1"/>
      <c r="AH637" s="1"/>
      <c r="AK637" s="1"/>
      <c r="AL637" s="1"/>
      <c r="AM637" s="2"/>
      <c r="AN637" s="2"/>
      <c r="AQ637" s="1"/>
      <c r="BG637" s="1"/>
    </row>
    <row r="638" spans="15:59">
      <c r="O638" s="1"/>
      <c r="P638" s="1"/>
      <c r="AA638" s="1"/>
      <c r="AB638" s="1"/>
      <c r="AG638" s="1"/>
      <c r="AH638" s="1"/>
      <c r="AK638" s="1"/>
      <c r="AL638" s="1"/>
      <c r="AM638" s="2"/>
      <c r="AN638" s="2"/>
      <c r="AQ638" s="1"/>
      <c r="BG638" s="1"/>
    </row>
    <row r="639" spans="15:59">
      <c r="O639" s="1"/>
      <c r="P639" s="1"/>
      <c r="AA639" s="1"/>
      <c r="AB639" s="1"/>
      <c r="AG639" s="1"/>
      <c r="AH639" s="1"/>
      <c r="AK639" s="1"/>
      <c r="AL639" s="1"/>
      <c r="AM639" s="2"/>
      <c r="AN639" s="2"/>
      <c r="AQ639" s="1"/>
      <c r="BG639" s="1"/>
    </row>
    <row r="640" spans="15:59">
      <c r="O640" s="1"/>
      <c r="P640" s="1"/>
      <c r="AA640" s="1"/>
      <c r="AB640" s="1"/>
      <c r="AG640" s="1"/>
      <c r="AH640" s="1"/>
      <c r="AK640" s="1"/>
      <c r="AL640" s="1"/>
      <c r="AM640" s="2"/>
      <c r="AN640" s="2"/>
      <c r="AQ640" s="1"/>
      <c r="BG640" s="1"/>
    </row>
    <row r="641" spans="15:59">
      <c r="O641" s="1"/>
      <c r="P641" s="1"/>
      <c r="AA641" s="1"/>
      <c r="AB641" s="1"/>
      <c r="AG641" s="1"/>
      <c r="AH641" s="1"/>
      <c r="AK641" s="1"/>
      <c r="AL641" s="1"/>
      <c r="AM641" s="2"/>
      <c r="AN641" s="2"/>
      <c r="AQ641" s="1"/>
      <c r="BG641" s="1"/>
    </row>
    <row r="642" spans="15:59">
      <c r="O642" s="1"/>
      <c r="P642" s="1"/>
      <c r="AA642" s="1"/>
      <c r="AB642" s="1"/>
      <c r="AG642" s="1"/>
      <c r="AH642" s="1"/>
      <c r="AK642" s="1"/>
      <c r="AL642" s="1"/>
      <c r="AM642" s="2"/>
      <c r="AN642" s="2"/>
      <c r="AQ642" s="1"/>
      <c r="BG642" s="1"/>
    </row>
    <row r="643" spans="15:59">
      <c r="O643" s="1"/>
      <c r="P643" s="1"/>
      <c r="AA643" s="1"/>
      <c r="AB643" s="1"/>
      <c r="AG643" s="1"/>
      <c r="AH643" s="1"/>
      <c r="AK643" s="1"/>
      <c r="AL643" s="1"/>
      <c r="AM643" s="2"/>
      <c r="AN643" s="2"/>
      <c r="AQ643" s="1"/>
      <c r="BG643" s="1"/>
    </row>
    <row r="644" spans="15:59">
      <c r="O644" s="1"/>
      <c r="P644" s="1"/>
      <c r="AA644" s="1"/>
      <c r="AB644" s="1"/>
      <c r="AG644" s="1"/>
      <c r="AH644" s="1"/>
      <c r="AK644" s="1"/>
      <c r="AL644" s="1"/>
      <c r="AM644" s="2"/>
      <c r="AN644" s="2"/>
      <c r="AQ644" s="1"/>
      <c r="BG644" s="1"/>
    </row>
    <row r="645" spans="15:59">
      <c r="O645" s="1"/>
      <c r="P645" s="1"/>
      <c r="AA645" s="1"/>
      <c r="AB645" s="1"/>
      <c r="AG645" s="1"/>
      <c r="AH645" s="1"/>
      <c r="AK645" s="1"/>
      <c r="AL645" s="1"/>
      <c r="AM645" s="2"/>
      <c r="AN645" s="2"/>
      <c r="AQ645" s="1"/>
      <c r="BG645" s="1"/>
    </row>
    <row r="646" spans="15:59">
      <c r="O646" s="1"/>
      <c r="P646" s="1"/>
      <c r="AA646" s="1"/>
      <c r="AB646" s="1"/>
      <c r="AG646" s="1"/>
      <c r="AH646" s="1"/>
      <c r="AK646" s="1"/>
      <c r="AL646" s="1"/>
      <c r="AM646" s="2"/>
      <c r="AN646" s="2"/>
      <c r="AQ646" s="1"/>
      <c r="BG646" s="1"/>
    </row>
    <row r="647" spans="15:59">
      <c r="O647" s="1"/>
      <c r="P647" s="1"/>
      <c r="AA647" s="1"/>
      <c r="AB647" s="1"/>
      <c r="AG647" s="1"/>
      <c r="AH647" s="1"/>
      <c r="AK647" s="1"/>
      <c r="AL647" s="1"/>
      <c r="AM647" s="2"/>
      <c r="AN647" s="2"/>
      <c r="AQ647" s="1"/>
      <c r="BG647" s="1"/>
    </row>
    <row r="648" spans="15:59">
      <c r="O648" s="1"/>
      <c r="P648" s="1"/>
      <c r="AA648" s="1"/>
      <c r="AB648" s="1"/>
      <c r="AG648" s="1"/>
      <c r="AH648" s="1"/>
      <c r="AK648" s="1"/>
      <c r="AL648" s="1"/>
      <c r="AM648" s="2"/>
      <c r="AN648" s="2"/>
      <c r="AQ648" s="1"/>
      <c r="BG648" s="1"/>
    </row>
    <row r="649" spans="15:59">
      <c r="O649" s="1"/>
      <c r="P649" s="1"/>
      <c r="AA649" s="1"/>
      <c r="AB649" s="1"/>
      <c r="AG649" s="1"/>
      <c r="AH649" s="1"/>
      <c r="AK649" s="1"/>
      <c r="AL649" s="1"/>
      <c r="AM649" s="2"/>
      <c r="AN649" s="2"/>
      <c r="AQ649" s="1"/>
      <c r="BG649" s="1"/>
    </row>
    <row r="650" spans="15:59">
      <c r="O650" s="1"/>
      <c r="P650" s="1"/>
      <c r="AA650" s="1"/>
      <c r="AB650" s="1"/>
      <c r="AG650" s="1"/>
      <c r="AH650" s="1"/>
      <c r="AK650" s="1"/>
      <c r="AL650" s="1"/>
      <c r="AM650" s="2"/>
      <c r="AN650" s="2"/>
      <c r="AQ650" s="1"/>
      <c r="BG650" s="1"/>
    </row>
    <row r="651" spans="15:59">
      <c r="O651" s="1"/>
      <c r="P651" s="1"/>
      <c r="AA651" s="1"/>
      <c r="AB651" s="1"/>
      <c r="AG651" s="1"/>
      <c r="AH651" s="1"/>
      <c r="AK651" s="1"/>
      <c r="AL651" s="1"/>
      <c r="AM651" s="2"/>
      <c r="AN651" s="2"/>
      <c r="AQ651" s="1"/>
      <c r="BG651" s="1"/>
    </row>
    <row r="652" spans="15:59">
      <c r="O652" s="1"/>
      <c r="P652" s="1"/>
      <c r="AA652" s="1"/>
      <c r="AB652" s="1"/>
      <c r="AG652" s="1"/>
      <c r="AH652" s="1"/>
      <c r="AK652" s="1"/>
      <c r="AL652" s="1"/>
      <c r="AM652" s="2"/>
      <c r="AN652" s="2"/>
      <c r="AQ652" s="1"/>
      <c r="BG652" s="1"/>
    </row>
    <row r="653" spans="15:59">
      <c r="O653" s="1"/>
      <c r="P653" s="1"/>
      <c r="AA653" s="1"/>
      <c r="AB653" s="1"/>
      <c r="AG653" s="1"/>
      <c r="AH653" s="1"/>
      <c r="AK653" s="1"/>
      <c r="AL653" s="1"/>
      <c r="AM653" s="2"/>
      <c r="AN653" s="2"/>
      <c r="AQ653" s="1"/>
      <c r="BG653" s="1"/>
    </row>
    <row r="654" spans="15:59">
      <c r="O654" s="1"/>
      <c r="P654" s="1"/>
      <c r="AA654" s="1"/>
      <c r="AB654" s="1"/>
      <c r="AG654" s="1"/>
      <c r="AH654" s="1"/>
      <c r="AK654" s="1"/>
      <c r="AL654" s="1"/>
      <c r="AM654" s="2"/>
      <c r="AN654" s="2"/>
      <c r="AQ654" s="1"/>
      <c r="BG654" s="1"/>
    </row>
    <row r="655" spans="15:59">
      <c r="O655" s="1"/>
      <c r="P655" s="1"/>
      <c r="AA655" s="1"/>
      <c r="AB655" s="1"/>
      <c r="AG655" s="1"/>
      <c r="AH655" s="1"/>
      <c r="AK655" s="1"/>
      <c r="AL655" s="1"/>
      <c r="AM655" s="2"/>
      <c r="AN655" s="2"/>
      <c r="AQ655" s="1"/>
      <c r="BG655" s="1"/>
    </row>
    <row r="656" spans="15:59">
      <c r="O656" s="1"/>
      <c r="P656" s="1"/>
      <c r="AA656" s="1"/>
      <c r="AB656" s="1"/>
      <c r="AG656" s="1"/>
      <c r="AH656" s="1"/>
      <c r="AK656" s="1"/>
      <c r="AL656" s="1"/>
      <c r="AM656" s="2"/>
      <c r="AN656" s="2"/>
      <c r="AQ656" s="1"/>
      <c r="BG656" s="1"/>
    </row>
    <row r="657" spans="15:59">
      <c r="O657" s="1"/>
      <c r="P657" s="1"/>
      <c r="AA657" s="1"/>
      <c r="AB657" s="1"/>
      <c r="AG657" s="1"/>
      <c r="AH657" s="1"/>
      <c r="AK657" s="1"/>
      <c r="AL657" s="1"/>
      <c r="AM657" s="2"/>
      <c r="AN657" s="2"/>
      <c r="AQ657" s="1"/>
      <c r="BG657" s="1"/>
    </row>
    <row r="658" spans="15:59">
      <c r="O658" s="1"/>
      <c r="P658" s="1"/>
      <c r="AA658" s="1"/>
      <c r="AB658" s="1"/>
      <c r="AG658" s="1"/>
      <c r="AH658" s="1"/>
      <c r="AK658" s="1"/>
      <c r="AL658" s="1"/>
      <c r="AM658" s="2"/>
      <c r="AN658" s="2"/>
      <c r="AQ658" s="1"/>
      <c r="BG658" s="1"/>
    </row>
    <row r="659" spans="15:59">
      <c r="O659" s="1"/>
      <c r="P659" s="1"/>
      <c r="AA659" s="1"/>
      <c r="AB659" s="1"/>
      <c r="AG659" s="1"/>
      <c r="AH659" s="1"/>
      <c r="AK659" s="1"/>
      <c r="AL659" s="1"/>
      <c r="AM659" s="2"/>
      <c r="AN659" s="2"/>
      <c r="AQ659" s="1"/>
      <c r="BG659" s="1"/>
    </row>
    <row r="660" spans="15:59">
      <c r="O660" s="1"/>
      <c r="P660" s="1"/>
      <c r="AA660" s="1"/>
      <c r="AB660" s="1"/>
      <c r="AG660" s="1"/>
      <c r="AH660" s="1"/>
      <c r="AK660" s="1"/>
      <c r="AL660" s="1"/>
      <c r="AM660" s="2"/>
      <c r="AN660" s="2"/>
      <c r="AQ660" s="1"/>
      <c r="BG660" s="1"/>
    </row>
    <row r="661" spans="15:59">
      <c r="O661" s="1"/>
      <c r="P661" s="1"/>
      <c r="AA661" s="1"/>
      <c r="AB661" s="1"/>
      <c r="AG661" s="1"/>
      <c r="AH661" s="1"/>
      <c r="AK661" s="1"/>
      <c r="AL661" s="1"/>
      <c r="AM661" s="2"/>
      <c r="AN661" s="2"/>
      <c r="AQ661" s="1"/>
      <c r="BG661" s="1"/>
    </row>
    <row r="662" spans="15:59">
      <c r="O662" s="1"/>
      <c r="P662" s="1"/>
      <c r="AA662" s="1"/>
      <c r="AB662" s="1"/>
      <c r="AG662" s="1"/>
      <c r="AH662" s="1"/>
      <c r="AK662" s="1"/>
      <c r="AL662" s="1"/>
      <c r="AM662" s="2"/>
      <c r="AN662" s="2"/>
      <c r="AQ662" s="1"/>
      <c r="BG662" s="1"/>
    </row>
    <row r="663" spans="15:59">
      <c r="O663" s="1"/>
      <c r="P663" s="1"/>
      <c r="AA663" s="1"/>
      <c r="AB663" s="1"/>
      <c r="AG663" s="1"/>
      <c r="AH663" s="1"/>
      <c r="AK663" s="1"/>
      <c r="AL663" s="1"/>
      <c r="AM663" s="2"/>
      <c r="AN663" s="2"/>
      <c r="AQ663" s="1"/>
      <c r="BG663" s="1"/>
    </row>
    <row r="664" spans="15:59">
      <c r="O664" s="1"/>
      <c r="P664" s="1"/>
      <c r="AA664" s="1"/>
      <c r="AB664" s="1"/>
      <c r="AG664" s="1"/>
      <c r="AH664" s="1"/>
      <c r="AK664" s="1"/>
      <c r="AL664" s="1"/>
      <c r="AM664" s="2"/>
      <c r="AN664" s="2"/>
      <c r="AQ664" s="1"/>
      <c r="BG664" s="1"/>
    </row>
    <row r="665" spans="15:59">
      <c r="O665" s="1"/>
      <c r="P665" s="1"/>
      <c r="AA665" s="1"/>
      <c r="AB665" s="1"/>
      <c r="AG665" s="1"/>
      <c r="AH665" s="1"/>
      <c r="AK665" s="1"/>
      <c r="AL665" s="1"/>
      <c r="AM665" s="2"/>
      <c r="AN665" s="2"/>
      <c r="AQ665" s="1"/>
      <c r="BG665" s="1"/>
    </row>
    <row r="666" spans="15:59">
      <c r="O666" s="1"/>
      <c r="P666" s="1"/>
      <c r="AA666" s="1"/>
      <c r="AB666" s="1"/>
      <c r="AG666" s="1"/>
      <c r="AH666" s="1"/>
      <c r="AK666" s="1"/>
      <c r="AL666" s="1"/>
      <c r="AM666" s="2"/>
      <c r="AN666" s="2"/>
      <c r="AQ666" s="1"/>
      <c r="BG666" s="1"/>
    </row>
    <row r="667" spans="15:59">
      <c r="O667" s="1"/>
      <c r="P667" s="1"/>
      <c r="AA667" s="1"/>
      <c r="AB667" s="1"/>
      <c r="AG667" s="1"/>
      <c r="AH667" s="1"/>
      <c r="AK667" s="1"/>
      <c r="AL667" s="1"/>
      <c r="AM667" s="2"/>
      <c r="AN667" s="2"/>
      <c r="AQ667" s="1"/>
      <c r="BG667" s="1"/>
    </row>
    <row r="668" spans="15:59">
      <c r="O668" s="1"/>
      <c r="P668" s="1"/>
      <c r="AA668" s="1"/>
      <c r="AB668" s="1"/>
      <c r="AG668" s="1"/>
      <c r="AH668" s="1"/>
      <c r="AK668" s="1"/>
      <c r="AL668" s="1"/>
      <c r="AM668" s="2"/>
      <c r="AN668" s="2"/>
      <c r="AQ668" s="1"/>
      <c r="BG668" s="1"/>
    </row>
    <row r="669" spans="15:59">
      <c r="O669" s="1"/>
      <c r="P669" s="1"/>
      <c r="AA669" s="1"/>
      <c r="AB669" s="1"/>
      <c r="AG669" s="1"/>
      <c r="AH669" s="1"/>
      <c r="AK669" s="1"/>
      <c r="AL669" s="1"/>
      <c r="AM669" s="2"/>
      <c r="AN669" s="2"/>
      <c r="AQ669" s="1"/>
      <c r="BG669" s="1"/>
    </row>
    <row r="670" spans="15:59">
      <c r="O670" s="1"/>
      <c r="P670" s="1"/>
      <c r="AA670" s="1"/>
      <c r="AB670" s="1"/>
      <c r="AG670" s="1"/>
      <c r="AH670" s="1"/>
      <c r="AK670" s="1"/>
      <c r="AL670" s="1"/>
      <c r="AM670" s="2"/>
      <c r="AN670" s="2"/>
      <c r="AQ670" s="1"/>
      <c r="BG670" s="1"/>
    </row>
    <row r="671" spans="15:59">
      <c r="O671" s="1"/>
      <c r="P671" s="1"/>
      <c r="AA671" s="1"/>
      <c r="AB671" s="1"/>
      <c r="AG671" s="1"/>
      <c r="AH671" s="1"/>
      <c r="AK671" s="1"/>
      <c r="AL671" s="1"/>
      <c r="AM671" s="2"/>
      <c r="AN671" s="2"/>
      <c r="AQ671" s="1"/>
      <c r="BG671" s="1"/>
    </row>
    <row r="672" spans="15:59">
      <c r="O672" s="1"/>
      <c r="P672" s="1"/>
      <c r="AA672" s="1"/>
      <c r="AB672" s="1"/>
      <c r="AG672" s="1"/>
      <c r="AH672" s="1"/>
      <c r="AK672" s="1"/>
      <c r="AL672" s="1"/>
      <c r="AM672" s="2"/>
      <c r="AN672" s="2"/>
      <c r="AQ672" s="1"/>
      <c r="BG672" s="1"/>
    </row>
    <row r="673" spans="15:59">
      <c r="O673" s="1"/>
      <c r="P673" s="1"/>
      <c r="AA673" s="1"/>
      <c r="AB673" s="1"/>
      <c r="AG673" s="1"/>
      <c r="AH673" s="1"/>
      <c r="AK673" s="1"/>
      <c r="AL673" s="1"/>
      <c r="AM673" s="2"/>
      <c r="AN673" s="2"/>
      <c r="AQ673" s="1"/>
      <c r="BG673" s="1"/>
    </row>
    <row r="674" spans="15:59">
      <c r="O674" s="1"/>
      <c r="P674" s="1"/>
      <c r="AA674" s="1"/>
      <c r="AB674" s="1"/>
      <c r="AG674" s="1"/>
      <c r="AH674" s="1"/>
      <c r="AK674" s="1"/>
      <c r="AL674" s="1"/>
      <c r="AM674" s="2"/>
      <c r="AN674" s="2"/>
      <c r="AQ674" s="1"/>
      <c r="BG674" s="1"/>
    </row>
    <row r="675" spans="15:59">
      <c r="O675" s="1"/>
      <c r="P675" s="1"/>
      <c r="AA675" s="1"/>
      <c r="AB675" s="1"/>
      <c r="AG675" s="1"/>
      <c r="AH675" s="1"/>
      <c r="AK675" s="1"/>
      <c r="AL675" s="1"/>
      <c r="AM675" s="2"/>
      <c r="AN675" s="2"/>
      <c r="AQ675" s="1"/>
      <c r="BG675" s="1"/>
    </row>
    <row r="676" spans="15:59">
      <c r="O676" s="1"/>
      <c r="P676" s="1"/>
      <c r="AA676" s="1"/>
      <c r="AB676" s="1"/>
      <c r="AG676" s="1"/>
      <c r="AH676" s="1"/>
      <c r="AK676" s="1"/>
      <c r="AL676" s="1"/>
      <c r="AM676" s="2"/>
      <c r="AN676" s="2"/>
      <c r="AQ676" s="1"/>
      <c r="BG676" s="1"/>
    </row>
    <row r="677" spans="15:59">
      <c r="O677" s="1"/>
      <c r="P677" s="1"/>
      <c r="AA677" s="1"/>
      <c r="AB677" s="1"/>
      <c r="AG677" s="1"/>
      <c r="AH677" s="1"/>
      <c r="AK677" s="1"/>
      <c r="AL677" s="1"/>
      <c r="AM677" s="2"/>
      <c r="AN677" s="2"/>
      <c r="AQ677" s="1"/>
      <c r="BG677" s="1"/>
    </row>
    <row r="678" spans="15:59">
      <c r="O678" s="1"/>
      <c r="P678" s="1"/>
      <c r="AA678" s="1"/>
      <c r="AB678" s="1"/>
      <c r="AG678" s="1"/>
      <c r="AH678" s="1"/>
      <c r="AK678" s="1"/>
      <c r="AL678" s="1"/>
      <c r="AM678" s="2"/>
      <c r="AN678" s="2"/>
      <c r="AQ678" s="1"/>
      <c r="BG678" s="1"/>
    </row>
    <row r="679" spans="15:59">
      <c r="O679" s="1"/>
      <c r="P679" s="1"/>
      <c r="AA679" s="1"/>
      <c r="AB679" s="1"/>
      <c r="AG679" s="1"/>
      <c r="AH679" s="1"/>
      <c r="AK679" s="1"/>
      <c r="AL679" s="1"/>
      <c r="AM679" s="2"/>
      <c r="AN679" s="2"/>
      <c r="AQ679" s="1"/>
      <c r="BG679" s="1"/>
    </row>
    <row r="680" spans="15:59">
      <c r="O680" s="1"/>
      <c r="P680" s="1"/>
      <c r="AA680" s="1"/>
      <c r="AB680" s="1"/>
      <c r="AG680" s="1"/>
      <c r="AH680" s="1"/>
      <c r="AK680" s="1"/>
      <c r="AL680" s="1"/>
      <c r="AM680" s="2"/>
      <c r="AN680" s="2"/>
      <c r="AQ680" s="1"/>
      <c r="BG680" s="1"/>
    </row>
    <row r="681" spans="15:59">
      <c r="O681" s="1"/>
      <c r="P681" s="1"/>
      <c r="AA681" s="1"/>
      <c r="AB681" s="1"/>
      <c r="AG681" s="1"/>
      <c r="AH681" s="1"/>
      <c r="AK681" s="1"/>
      <c r="AL681" s="1"/>
      <c r="AM681" s="2"/>
      <c r="AN681" s="2"/>
      <c r="AQ681" s="1"/>
      <c r="BG681" s="1"/>
    </row>
    <row r="682" spans="15:59">
      <c r="O682" s="1"/>
      <c r="P682" s="1"/>
      <c r="AA682" s="1"/>
      <c r="AB682" s="1"/>
      <c r="AG682" s="1"/>
      <c r="AH682" s="1"/>
      <c r="AK682" s="1"/>
      <c r="AL682" s="1"/>
      <c r="AM682" s="2"/>
      <c r="AN682" s="2"/>
      <c r="AQ682" s="1"/>
      <c r="BG682" s="1"/>
    </row>
    <row r="683" spans="15:59">
      <c r="O683" s="1"/>
      <c r="P683" s="1"/>
      <c r="AA683" s="1"/>
      <c r="AB683" s="1"/>
      <c r="AG683" s="1"/>
      <c r="AH683" s="1"/>
      <c r="AK683" s="1"/>
      <c r="AL683" s="1"/>
      <c r="AM683" s="2"/>
      <c r="AN683" s="2"/>
      <c r="AQ683" s="1"/>
      <c r="BG683" s="1"/>
    </row>
    <row r="684" spans="15:59">
      <c r="O684" s="1"/>
      <c r="P684" s="1"/>
      <c r="AA684" s="1"/>
      <c r="AB684" s="1"/>
      <c r="AG684" s="1"/>
      <c r="AH684" s="1"/>
      <c r="AK684" s="1"/>
      <c r="AL684" s="1"/>
      <c r="AM684" s="2"/>
      <c r="AN684" s="2"/>
      <c r="AQ684" s="1"/>
      <c r="BG684" s="1"/>
    </row>
    <row r="685" spans="15:59">
      <c r="O685" s="1"/>
      <c r="P685" s="1"/>
      <c r="AA685" s="1"/>
      <c r="AB685" s="1"/>
      <c r="AG685" s="1"/>
      <c r="AH685" s="1"/>
      <c r="AK685" s="1"/>
      <c r="AL685" s="1"/>
      <c r="AM685" s="2"/>
      <c r="AN685" s="2"/>
      <c r="AQ685" s="1"/>
      <c r="BG685" s="1"/>
    </row>
    <row r="686" spans="15:59">
      <c r="O686" s="1"/>
      <c r="P686" s="1"/>
      <c r="AA686" s="1"/>
      <c r="AB686" s="1"/>
      <c r="AG686" s="1"/>
      <c r="AH686" s="1"/>
      <c r="AK686" s="1"/>
      <c r="AL686" s="1"/>
      <c r="AM686" s="2"/>
      <c r="AN686" s="2"/>
      <c r="AQ686" s="1"/>
      <c r="BG686" s="1"/>
    </row>
    <row r="687" spans="15:59">
      <c r="O687" s="1"/>
      <c r="P687" s="1"/>
      <c r="AA687" s="1"/>
      <c r="AB687" s="1"/>
      <c r="AG687" s="1"/>
      <c r="AH687" s="1"/>
      <c r="AK687" s="1"/>
      <c r="AL687" s="1"/>
      <c r="AM687" s="2"/>
      <c r="AN687" s="2"/>
      <c r="AQ687" s="1"/>
      <c r="BG687" s="1"/>
    </row>
    <row r="688" spans="15:59">
      <c r="O688" s="1"/>
      <c r="P688" s="1"/>
      <c r="AA688" s="1"/>
      <c r="AB688" s="1"/>
      <c r="AG688" s="1"/>
      <c r="AH688" s="1"/>
      <c r="AK688" s="1"/>
      <c r="AL688" s="1"/>
      <c r="AM688" s="2"/>
      <c r="AN688" s="2"/>
      <c r="AQ688" s="1"/>
      <c r="BG688" s="1"/>
    </row>
    <row r="689" spans="15:59">
      <c r="O689" s="1"/>
      <c r="P689" s="1"/>
      <c r="AA689" s="1"/>
      <c r="AB689" s="1"/>
      <c r="AG689" s="1"/>
      <c r="AH689" s="1"/>
      <c r="AK689" s="1"/>
      <c r="AL689" s="1"/>
      <c r="AM689" s="2"/>
      <c r="AN689" s="2"/>
      <c r="AQ689" s="1"/>
      <c r="BG689" s="1"/>
    </row>
    <row r="690" spans="15:59">
      <c r="O690" s="1"/>
      <c r="P690" s="1"/>
      <c r="AA690" s="1"/>
      <c r="AB690" s="1"/>
      <c r="AG690" s="1"/>
      <c r="AH690" s="1"/>
      <c r="AK690" s="1"/>
      <c r="AL690" s="1"/>
      <c r="AM690" s="2"/>
      <c r="AN690" s="2"/>
      <c r="AQ690" s="1"/>
      <c r="BG690" s="1"/>
    </row>
    <row r="691" spans="15:59">
      <c r="O691" s="1"/>
      <c r="P691" s="1"/>
      <c r="AA691" s="1"/>
      <c r="AB691" s="1"/>
      <c r="AG691" s="1"/>
      <c r="AH691" s="1"/>
      <c r="AK691" s="1"/>
      <c r="AL691" s="1"/>
      <c r="AM691" s="2"/>
      <c r="AN691" s="2"/>
      <c r="AQ691" s="1"/>
      <c r="BG691" s="1"/>
    </row>
    <row r="692" spans="15:59">
      <c r="O692" s="1"/>
      <c r="P692" s="1"/>
      <c r="AA692" s="1"/>
      <c r="AB692" s="1"/>
      <c r="AG692" s="1"/>
      <c r="AH692" s="1"/>
      <c r="AK692" s="1"/>
      <c r="AL692" s="1"/>
      <c r="AM692" s="2"/>
      <c r="AN692" s="2"/>
      <c r="AQ692" s="1"/>
      <c r="BG692" s="1"/>
    </row>
    <row r="693" spans="15:59">
      <c r="O693" s="1"/>
      <c r="P693" s="1"/>
      <c r="AA693" s="1"/>
      <c r="AB693" s="1"/>
      <c r="AG693" s="1"/>
      <c r="AH693" s="1"/>
      <c r="AK693" s="1"/>
      <c r="AL693" s="1"/>
      <c r="AM693" s="2"/>
      <c r="AN693" s="2"/>
      <c r="AQ693" s="1"/>
      <c r="BG693" s="1"/>
    </row>
    <row r="694" spans="15:59">
      <c r="O694" s="1"/>
      <c r="P694" s="1"/>
      <c r="AA694" s="1"/>
      <c r="AB694" s="1"/>
      <c r="AG694" s="1"/>
      <c r="AH694" s="1"/>
      <c r="AK694" s="1"/>
      <c r="AL694" s="1"/>
      <c r="AM694" s="2"/>
      <c r="AN694" s="2"/>
      <c r="AQ694" s="1"/>
      <c r="BG694" s="1"/>
    </row>
    <row r="695" spans="15:59">
      <c r="O695" s="1"/>
      <c r="P695" s="1"/>
      <c r="AA695" s="1"/>
      <c r="AB695" s="1"/>
      <c r="AG695" s="1"/>
      <c r="AH695" s="1"/>
      <c r="AK695" s="1"/>
      <c r="AL695" s="1"/>
      <c r="AM695" s="2"/>
      <c r="AN695" s="2"/>
      <c r="AQ695" s="1"/>
      <c r="BG695" s="1"/>
    </row>
    <row r="696" spans="15:59">
      <c r="O696" s="1"/>
      <c r="P696" s="1"/>
      <c r="AA696" s="1"/>
      <c r="AB696" s="1"/>
      <c r="AG696" s="1"/>
      <c r="AH696" s="1"/>
      <c r="AK696" s="1"/>
      <c r="AL696" s="1"/>
      <c r="AM696" s="2"/>
      <c r="AN696" s="2"/>
      <c r="AQ696" s="1"/>
      <c r="BG696" s="1"/>
    </row>
    <row r="697" spans="15:59">
      <c r="O697" s="1"/>
      <c r="P697" s="1"/>
      <c r="AA697" s="1"/>
      <c r="AB697" s="1"/>
      <c r="AG697" s="1"/>
      <c r="AH697" s="1"/>
      <c r="AK697" s="1"/>
      <c r="AL697" s="1"/>
      <c r="AM697" s="2"/>
      <c r="AN697" s="2"/>
      <c r="AQ697" s="1"/>
      <c r="BG697" s="1"/>
    </row>
    <row r="698" spans="15:59">
      <c r="O698" s="1"/>
      <c r="P698" s="1"/>
      <c r="AA698" s="1"/>
      <c r="AB698" s="1"/>
      <c r="AG698" s="1"/>
      <c r="AH698" s="1"/>
      <c r="AK698" s="1"/>
      <c r="AL698" s="1"/>
      <c r="AM698" s="2"/>
      <c r="AN698" s="2"/>
      <c r="AQ698" s="1"/>
      <c r="BG698" s="1"/>
    </row>
    <row r="699" spans="15:59">
      <c r="O699" s="1"/>
      <c r="P699" s="1"/>
      <c r="AA699" s="1"/>
      <c r="AB699" s="1"/>
      <c r="AG699" s="1"/>
      <c r="AH699" s="1"/>
      <c r="AK699" s="1"/>
      <c r="AL699" s="1"/>
      <c r="AM699" s="2"/>
      <c r="AN699" s="2"/>
      <c r="AQ699" s="1"/>
      <c r="BG699" s="1"/>
    </row>
    <row r="700" spans="15:59">
      <c r="O700" s="1"/>
      <c r="P700" s="1"/>
      <c r="AA700" s="1"/>
      <c r="AB700" s="1"/>
      <c r="AG700" s="1"/>
      <c r="AH700" s="1"/>
      <c r="AK700" s="1"/>
      <c r="AL700" s="1"/>
      <c r="AM700" s="2"/>
      <c r="AN700" s="2"/>
      <c r="AQ700" s="1"/>
      <c r="BG700" s="1"/>
    </row>
    <row r="701" spans="15:59">
      <c r="O701" s="1"/>
      <c r="P701" s="1"/>
      <c r="AA701" s="1"/>
      <c r="AB701" s="1"/>
      <c r="AG701" s="1"/>
      <c r="AH701" s="1"/>
      <c r="AK701" s="1"/>
      <c r="AL701" s="1"/>
      <c r="AM701" s="2"/>
      <c r="AN701" s="2"/>
      <c r="AQ701" s="1"/>
      <c r="BG701" s="1"/>
    </row>
    <row r="702" spans="15:59">
      <c r="O702" s="1"/>
      <c r="P702" s="1"/>
      <c r="AA702" s="1"/>
      <c r="AB702" s="1"/>
      <c r="AG702" s="1"/>
      <c r="AH702" s="1"/>
      <c r="AK702" s="1"/>
      <c r="AL702" s="1"/>
      <c r="AM702" s="2"/>
      <c r="AN702" s="2"/>
      <c r="AQ702" s="1"/>
      <c r="BG702" s="1"/>
    </row>
    <row r="703" spans="15:59">
      <c r="O703" s="1"/>
      <c r="P703" s="1"/>
      <c r="AA703" s="1"/>
      <c r="AB703" s="1"/>
      <c r="AG703" s="1"/>
      <c r="AH703" s="1"/>
      <c r="AK703" s="1"/>
      <c r="AL703" s="1"/>
      <c r="AM703" s="2"/>
      <c r="AN703" s="2"/>
      <c r="AQ703" s="1"/>
      <c r="BG703" s="1"/>
    </row>
    <row r="704" spans="15:59">
      <c r="O704" s="1"/>
      <c r="P704" s="1"/>
      <c r="AA704" s="1"/>
      <c r="AB704" s="1"/>
      <c r="AG704" s="1"/>
      <c r="AH704" s="1"/>
      <c r="AK704" s="1"/>
      <c r="AL704" s="1"/>
      <c r="AM704" s="2"/>
      <c r="AN704" s="2"/>
      <c r="AQ704" s="1"/>
      <c r="BG704" s="1"/>
    </row>
    <row r="705" spans="15:59">
      <c r="O705" s="1"/>
      <c r="P705" s="1"/>
      <c r="AA705" s="1"/>
      <c r="AB705" s="1"/>
      <c r="AG705" s="1"/>
      <c r="AH705" s="1"/>
      <c r="AK705" s="1"/>
      <c r="AL705" s="1"/>
      <c r="AM705" s="2"/>
      <c r="AN705" s="2"/>
      <c r="AQ705" s="1"/>
      <c r="BG705" s="1"/>
    </row>
    <row r="706" spans="15:59">
      <c r="O706" s="1"/>
      <c r="P706" s="1"/>
      <c r="AA706" s="1"/>
      <c r="AB706" s="1"/>
      <c r="AG706" s="1"/>
      <c r="AH706" s="1"/>
      <c r="AK706" s="1"/>
      <c r="AL706" s="1"/>
      <c r="AM706" s="2"/>
      <c r="AN706" s="2"/>
      <c r="AQ706" s="1"/>
      <c r="BG706" s="1"/>
    </row>
    <row r="707" spans="15:59">
      <c r="O707" s="1"/>
      <c r="P707" s="1"/>
      <c r="AA707" s="1"/>
      <c r="AB707" s="1"/>
      <c r="AG707" s="1"/>
      <c r="AH707" s="1"/>
      <c r="AK707" s="1"/>
      <c r="AL707" s="1"/>
      <c r="AM707" s="2"/>
      <c r="AN707" s="2"/>
      <c r="AQ707" s="1"/>
      <c r="BG707" s="1"/>
    </row>
    <row r="708" spans="15:59">
      <c r="O708" s="1"/>
      <c r="P708" s="1"/>
      <c r="AA708" s="1"/>
      <c r="AB708" s="1"/>
      <c r="AG708" s="1"/>
      <c r="AH708" s="1"/>
      <c r="AK708" s="1"/>
      <c r="AL708" s="1"/>
      <c r="AM708" s="2"/>
      <c r="AN708" s="2"/>
      <c r="AQ708" s="1"/>
      <c r="BG708" s="1"/>
    </row>
    <row r="709" spans="15:59">
      <c r="O709" s="1"/>
      <c r="P709" s="1"/>
      <c r="AA709" s="1"/>
      <c r="AB709" s="1"/>
      <c r="AG709" s="1"/>
      <c r="AH709" s="1"/>
      <c r="AK709" s="1"/>
      <c r="AL709" s="1"/>
      <c r="AM709" s="2"/>
      <c r="AN709" s="2"/>
      <c r="AQ709" s="1"/>
      <c r="BG709" s="1"/>
    </row>
    <row r="710" spans="15:59">
      <c r="O710" s="1"/>
      <c r="P710" s="1"/>
      <c r="AA710" s="1"/>
      <c r="AB710" s="1"/>
      <c r="AG710" s="1"/>
      <c r="AH710" s="1"/>
      <c r="AK710" s="1"/>
      <c r="AL710" s="1"/>
      <c r="AM710" s="2"/>
      <c r="AN710" s="2"/>
      <c r="AQ710" s="1"/>
      <c r="BG710" s="1"/>
    </row>
    <row r="711" spans="15:59">
      <c r="O711" s="1"/>
      <c r="P711" s="1"/>
      <c r="AA711" s="1"/>
      <c r="AB711" s="1"/>
      <c r="AG711" s="1"/>
      <c r="AH711" s="1"/>
      <c r="AK711" s="1"/>
      <c r="AL711" s="1"/>
      <c r="AM711" s="2"/>
      <c r="AN711" s="2"/>
      <c r="AQ711" s="1"/>
      <c r="BG711" s="1"/>
    </row>
    <row r="712" spans="15:59">
      <c r="O712" s="1"/>
      <c r="P712" s="1"/>
      <c r="AA712" s="1"/>
      <c r="AB712" s="1"/>
      <c r="AG712" s="1"/>
      <c r="AH712" s="1"/>
      <c r="AK712" s="1"/>
      <c r="AL712" s="1"/>
      <c r="AM712" s="2"/>
      <c r="AN712" s="2"/>
      <c r="AQ712" s="1"/>
      <c r="BG712" s="1"/>
    </row>
    <row r="713" spans="15:59">
      <c r="O713" s="1"/>
      <c r="P713" s="1"/>
      <c r="AA713" s="1"/>
      <c r="AB713" s="1"/>
      <c r="AG713" s="1"/>
      <c r="AH713" s="1"/>
      <c r="AK713" s="1"/>
      <c r="AL713" s="1"/>
      <c r="AM713" s="2"/>
      <c r="AN713" s="2"/>
      <c r="AQ713" s="1"/>
      <c r="BG713" s="1"/>
    </row>
    <row r="714" spans="15:59">
      <c r="O714" s="1"/>
      <c r="P714" s="1"/>
      <c r="AA714" s="1"/>
      <c r="AB714" s="1"/>
      <c r="AG714" s="1"/>
      <c r="AH714" s="1"/>
      <c r="AK714" s="1"/>
      <c r="AL714" s="1"/>
      <c r="AM714" s="2"/>
      <c r="AN714" s="2"/>
      <c r="AQ714" s="1"/>
      <c r="BG714" s="1"/>
    </row>
    <row r="715" spans="15:59">
      <c r="O715" s="1"/>
      <c r="P715" s="1"/>
      <c r="AA715" s="1"/>
      <c r="AB715" s="1"/>
      <c r="AG715" s="1"/>
      <c r="AH715" s="1"/>
      <c r="AK715" s="1"/>
      <c r="AL715" s="1"/>
      <c r="AM715" s="2"/>
      <c r="AN715" s="2"/>
      <c r="AQ715" s="1"/>
      <c r="BG715" s="1"/>
    </row>
    <row r="716" spans="15:59">
      <c r="O716" s="1"/>
      <c r="P716" s="1"/>
      <c r="AA716" s="1"/>
      <c r="AB716" s="1"/>
      <c r="AG716" s="1"/>
      <c r="AH716" s="1"/>
      <c r="AK716" s="1"/>
      <c r="AL716" s="1"/>
      <c r="AM716" s="2"/>
      <c r="AN716" s="2"/>
      <c r="AQ716" s="1"/>
      <c r="BG716" s="1"/>
    </row>
    <row r="717" spans="15:59">
      <c r="O717" s="1"/>
      <c r="P717" s="1"/>
      <c r="AA717" s="1"/>
      <c r="AB717" s="1"/>
      <c r="AG717" s="1"/>
      <c r="AH717" s="1"/>
      <c r="AK717" s="1"/>
      <c r="AL717" s="1"/>
      <c r="AM717" s="2"/>
      <c r="AN717" s="2"/>
      <c r="AQ717" s="1"/>
      <c r="BG717" s="1"/>
    </row>
    <row r="718" spans="15:59">
      <c r="O718" s="1"/>
      <c r="P718" s="1"/>
      <c r="AA718" s="1"/>
      <c r="AB718" s="1"/>
      <c r="AG718" s="1"/>
      <c r="AH718" s="1"/>
      <c r="AK718" s="1"/>
      <c r="AL718" s="1"/>
      <c r="AM718" s="2"/>
      <c r="AN718" s="2"/>
      <c r="AQ718" s="1"/>
      <c r="BG718" s="1"/>
    </row>
    <row r="719" spans="15:59">
      <c r="O719" s="1"/>
      <c r="P719" s="1"/>
      <c r="AA719" s="1"/>
      <c r="AB719" s="1"/>
      <c r="AG719" s="1"/>
      <c r="AH719" s="1"/>
      <c r="AK719" s="1"/>
      <c r="AL719" s="1"/>
      <c r="AM719" s="2"/>
      <c r="AN719" s="2"/>
      <c r="AQ719" s="1"/>
      <c r="BG719" s="1"/>
    </row>
    <row r="720" spans="15:59">
      <c r="O720" s="1"/>
      <c r="P720" s="1"/>
      <c r="AA720" s="1"/>
      <c r="AB720" s="1"/>
      <c r="AG720" s="1"/>
      <c r="AH720" s="1"/>
      <c r="AK720" s="1"/>
      <c r="AL720" s="1"/>
      <c r="AM720" s="2"/>
      <c r="AN720" s="2"/>
      <c r="AQ720" s="1"/>
      <c r="BG720" s="1"/>
    </row>
    <row r="721" spans="15:59">
      <c r="O721" s="1"/>
      <c r="P721" s="1"/>
      <c r="AA721" s="1"/>
      <c r="AB721" s="1"/>
      <c r="AG721" s="1"/>
      <c r="AH721" s="1"/>
      <c r="AK721" s="1"/>
      <c r="AL721" s="1"/>
      <c r="AM721" s="2"/>
      <c r="AN721" s="2"/>
      <c r="AQ721" s="1"/>
      <c r="BG721" s="1"/>
    </row>
    <row r="722" spans="15:59">
      <c r="O722" s="1"/>
      <c r="P722" s="1"/>
      <c r="AA722" s="1"/>
      <c r="AB722" s="1"/>
      <c r="AG722" s="1"/>
      <c r="AH722" s="1"/>
      <c r="AK722" s="1"/>
      <c r="AL722" s="1"/>
      <c r="AM722" s="2"/>
      <c r="AN722" s="2"/>
      <c r="AQ722" s="1"/>
      <c r="BG722" s="1"/>
    </row>
    <row r="723" spans="15:59">
      <c r="O723" s="1"/>
      <c r="P723" s="1"/>
      <c r="AA723" s="1"/>
      <c r="AB723" s="1"/>
      <c r="AG723" s="1"/>
      <c r="AH723" s="1"/>
      <c r="AK723" s="1"/>
      <c r="AL723" s="1"/>
      <c r="AM723" s="2"/>
      <c r="AN723" s="2"/>
      <c r="AQ723" s="1"/>
      <c r="BG723" s="1"/>
    </row>
    <row r="724" spans="15:59">
      <c r="O724" s="1"/>
      <c r="P724" s="1"/>
      <c r="AA724" s="1"/>
      <c r="AB724" s="1"/>
      <c r="AG724" s="1"/>
      <c r="AH724" s="1"/>
      <c r="AK724" s="1"/>
      <c r="AL724" s="1"/>
      <c r="AM724" s="2"/>
      <c r="AN724" s="2"/>
      <c r="AQ724" s="1"/>
      <c r="BG724" s="1"/>
    </row>
    <row r="725" spans="15:59">
      <c r="O725" s="1"/>
      <c r="P725" s="1"/>
      <c r="AA725" s="1"/>
      <c r="AB725" s="1"/>
      <c r="AG725" s="1"/>
      <c r="AH725" s="1"/>
      <c r="AK725" s="1"/>
      <c r="AL725" s="1"/>
      <c r="AM725" s="2"/>
      <c r="AN725" s="2"/>
      <c r="AQ725" s="1"/>
      <c r="BG725" s="1"/>
    </row>
    <row r="726" spans="15:59">
      <c r="O726" s="1"/>
      <c r="P726" s="1"/>
      <c r="AA726" s="1"/>
      <c r="AB726" s="1"/>
      <c r="AG726" s="1"/>
      <c r="AH726" s="1"/>
      <c r="AK726" s="1"/>
      <c r="AL726" s="1"/>
      <c r="AM726" s="2"/>
      <c r="AN726" s="2"/>
      <c r="AQ726" s="1"/>
      <c r="BG726" s="1"/>
    </row>
    <row r="727" spans="15:59">
      <c r="O727" s="1"/>
      <c r="P727" s="1"/>
      <c r="AA727" s="1"/>
      <c r="AB727" s="1"/>
      <c r="AG727" s="1"/>
      <c r="AH727" s="1"/>
      <c r="AK727" s="1"/>
      <c r="AL727" s="1"/>
      <c r="AM727" s="2"/>
      <c r="AN727" s="2"/>
      <c r="AQ727" s="1"/>
      <c r="BG727" s="1"/>
    </row>
    <row r="728" spans="15:59">
      <c r="O728" s="1"/>
      <c r="P728" s="1"/>
      <c r="AA728" s="1"/>
      <c r="AB728" s="1"/>
      <c r="AG728" s="1"/>
      <c r="AH728" s="1"/>
      <c r="AK728" s="1"/>
      <c r="AL728" s="1"/>
      <c r="AM728" s="2"/>
      <c r="AN728" s="2"/>
      <c r="AQ728" s="1"/>
      <c r="BG728" s="1"/>
    </row>
    <row r="729" spans="15:59">
      <c r="O729" s="1"/>
      <c r="P729" s="1"/>
      <c r="AA729" s="1"/>
      <c r="AB729" s="1"/>
      <c r="AG729" s="1"/>
      <c r="AH729" s="1"/>
      <c r="AK729" s="1"/>
      <c r="AL729" s="1"/>
      <c r="AM729" s="2"/>
      <c r="AN729" s="2"/>
      <c r="AQ729" s="1"/>
      <c r="BG729" s="1"/>
    </row>
    <row r="730" spans="15:59">
      <c r="O730" s="1"/>
      <c r="P730" s="1"/>
      <c r="AA730" s="1"/>
      <c r="AB730" s="1"/>
      <c r="AG730" s="1"/>
      <c r="AH730" s="1"/>
      <c r="AK730" s="1"/>
      <c r="AL730" s="1"/>
      <c r="AM730" s="2"/>
      <c r="AN730" s="2"/>
      <c r="AQ730" s="1"/>
      <c r="BG730" s="1"/>
    </row>
    <row r="731" spans="15:59">
      <c r="O731" s="1"/>
      <c r="P731" s="1"/>
      <c r="AA731" s="1"/>
      <c r="AB731" s="1"/>
      <c r="AG731" s="1"/>
      <c r="AH731" s="1"/>
      <c r="AK731" s="1"/>
      <c r="AL731" s="1"/>
      <c r="AM731" s="2"/>
      <c r="AN731" s="2"/>
      <c r="AQ731" s="1"/>
      <c r="BG731" s="1"/>
    </row>
    <row r="732" spans="15:59">
      <c r="O732" s="1"/>
      <c r="P732" s="1"/>
      <c r="AA732" s="1"/>
      <c r="AB732" s="1"/>
      <c r="AG732" s="1"/>
      <c r="AH732" s="1"/>
      <c r="AK732" s="1"/>
      <c r="AL732" s="1"/>
      <c r="AM732" s="2"/>
      <c r="AN732" s="2"/>
      <c r="AQ732" s="1"/>
      <c r="BG732" s="1"/>
    </row>
    <row r="733" spans="15:59">
      <c r="O733" s="1"/>
      <c r="P733" s="1"/>
      <c r="AA733" s="1"/>
      <c r="AB733" s="1"/>
      <c r="AG733" s="1"/>
      <c r="AH733" s="1"/>
      <c r="AK733" s="1"/>
      <c r="AL733" s="1"/>
      <c r="AM733" s="2"/>
      <c r="AN733" s="2"/>
      <c r="AQ733" s="1"/>
      <c r="BG733" s="1"/>
    </row>
    <row r="734" spans="15:59">
      <c r="O734" s="1"/>
      <c r="P734" s="1"/>
      <c r="AA734" s="1"/>
      <c r="AB734" s="1"/>
      <c r="AG734" s="1"/>
      <c r="AH734" s="1"/>
      <c r="AK734" s="1"/>
      <c r="AL734" s="1"/>
      <c r="AM734" s="2"/>
      <c r="AN734" s="2"/>
      <c r="AQ734" s="1"/>
      <c r="BG734" s="1"/>
    </row>
    <row r="735" spans="15:59">
      <c r="O735" s="1"/>
      <c r="P735" s="1"/>
      <c r="AA735" s="1"/>
      <c r="AB735" s="1"/>
      <c r="AG735" s="1"/>
      <c r="AH735" s="1"/>
      <c r="AK735" s="1"/>
      <c r="AL735" s="1"/>
      <c r="AM735" s="2"/>
      <c r="AN735" s="2"/>
      <c r="AQ735" s="1"/>
      <c r="BG735" s="1"/>
    </row>
    <row r="736" spans="15:59">
      <c r="O736" s="1"/>
      <c r="P736" s="1"/>
      <c r="AA736" s="1"/>
      <c r="AB736" s="1"/>
      <c r="AG736" s="1"/>
      <c r="AH736" s="1"/>
      <c r="AK736" s="1"/>
      <c r="AL736" s="1"/>
      <c r="AM736" s="2"/>
      <c r="AN736" s="2"/>
      <c r="AQ736" s="1"/>
      <c r="BG736" s="1"/>
    </row>
    <row r="737" spans="15:59">
      <c r="O737" s="1"/>
      <c r="P737" s="1"/>
      <c r="AA737" s="1"/>
      <c r="AB737" s="1"/>
      <c r="AG737" s="1"/>
      <c r="AH737" s="1"/>
      <c r="AK737" s="1"/>
      <c r="AL737" s="1"/>
      <c r="AM737" s="2"/>
      <c r="AN737" s="2"/>
      <c r="AQ737" s="1"/>
      <c r="BG737" s="1"/>
    </row>
    <row r="738" spans="15:59">
      <c r="O738" s="1"/>
      <c r="P738" s="1"/>
      <c r="AA738" s="1"/>
      <c r="AB738" s="1"/>
      <c r="AG738" s="1"/>
      <c r="AH738" s="1"/>
      <c r="AK738" s="1"/>
      <c r="AL738" s="1"/>
      <c r="AM738" s="2"/>
      <c r="AN738" s="2"/>
      <c r="AQ738" s="1"/>
      <c r="BG738" s="1"/>
    </row>
    <row r="739" spans="15:59">
      <c r="O739" s="1"/>
      <c r="P739" s="1"/>
      <c r="AA739" s="1"/>
      <c r="AB739" s="1"/>
      <c r="AG739" s="1"/>
      <c r="AH739" s="1"/>
      <c r="AK739" s="1"/>
      <c r="AL739" s="1"/>
      <c r="AM739" s="2"/>
      <c r="AN739" s="2"/>
      <c r="AQ739" s="1"/>
      <c r="BG739" s="1"/>
    </row>
    <row r="740" spans="15:59">
      <c r="O740" s="1"/>
      <c r="P740" s="1"/>
      <c r="AA740" s="1"/>
      <c r="AB740" s="1"/>
      <c r="AG740" s="1"/>
      <c r="AH740" s="1"/>
      <c r="AK740" s="1"/>
      <c r="AL740" s="1"/>
      <c r="AM740" s="2"/>
      <c r="AN740" s="2"/>
      <c r="AQ740" s="1"/>
      <c r="BG740" s="1"/>
    </row>
    <row r="741" spans="15:59">
      <c r="O741" s="1"/>
      <c r="P741" s="1"/>
      <c r="AA741" s="1"/>
      <c r="AB741" s="1"/>
      <c r="AG741" s="1"/>
      <c r="AH741" s="1"/>
      <c r="AK741" s="1"/>
      <c r="AL741" s="1"/>
      <c r="AM741" s="2"/>
      <c r="AN741" s="2"/>
      <c r="AQ741" s="1"/>
      <c r="BG741" s="1"/>
    </row>
    <row r="742" spans="15:59">
      <c r="O742" s="1"/>
      <c r="P742" s="1"/>
      <c r="AA742" s="1"/>
      <c r="AB742" s="1"/>
      <c r="AG742" s="1"/>
      <c r="AH742" s="1"/>
      <c r="AK742" s="1"/>
      <c r="AL742" s="1"/>
      <c r="AM742" s="2"/>
      <c r="AN742" s="2"/>
      <c r="AQ742" s="1"/>
      <c r="BG742" s="1"/>
    </row>
    <row r="743" spans="15:59">
      <c r="O743" s="1"/>
      <c r="P743" s="1"/>
      <c r="AA743" s="1"/>
      <c r="AB743" s="1"/>
      <c r="AG743" s="1"/>
      <c r="AH743" s="1"/>
      <c r="AK743" s="1"/>
      <c r="AL743" s="1"/>
      <c r="AM743" s="2"/>
      <c r="AN743" s="2"/>
      <c r="AQ743" s="1"/>
      <c r="BG743" s="1"/>
    </row>
    <row r="744" spans="15:59">
      <c r="O744" s="1"/>
      <c r="P744" s="1"/>
      <c r="AA744" s="1"/>
      <c r="AB744" s="1"/>
      <c r="AG744" s="1"/>
      <c r="AH744" s="1"/>
      <c r="AK744" s="1"/>
      <c r="AL744" s="1"/>
      <c r="AM744" s="2"/>
      <c r="AN744" s="2"/>
      <c r="AQ744" s="1"/>
      <c r="BG744" s="1"/>
    </row>
    <row r="745" spans="15:59">
      <c r="O745" s="1"/>
      <c r="P745" s="1"/>
      <c r="AA745" s="1"/>
      <c r="AB745" s="1"/>
      <c r="AG745" s="1"/>
      <c r="AH745" s="1"/>
      <c r="AK745" s="1"/>
      <c r="AL745" s="1"/>
      <c r="AM745" s="2"/>
      <c r="AN745" s="2"/>
      <c r="AQ745" s="1"/>
      <c r="BG745" s="1"/>
    </row>
    <row r="746" spans="15:59">
      <c r="O746" s="1"/>
      <c r="P746" s="1"/>
      <c r="AA746" s="1"/>
      <c r="AB746" s="1"/>
      <c r="AG746" s="1"/>
      <c r="AH746" s="1"/>
      <c r="AK746" s="1"/>
      <c r="AL746" s="1"/>
      <c r="AM746" s="2"/>
      <c r="AN746" s="2"/>
      <c r="AQ746" s="1"/>
      <c r="BG746" s="1"/>
    </row>
    <row r="747" spans="15:59">
      <c r="O747" s="1"/>
      <c r="P747" s="1"/>
      <c r="AA747" s="1"/>
      <c r="AB747" s="1"/>
      <c r="AG747" s="1"/>
      <c r="AH747" s="1"/>
      <c r="AK747" s="1"/>
      <c r="AL747" s="1"/>
      <c r="AM747" s="2"/>
      <c r="AN747" s="2"/>
      <c r="AQ747" s="1"/>
      <c r="BG747" s="1"/>
    </row>
    <row r="748" spans="15:59">
      <c r="O748" s="1"/>
      <c r="P748" s="1"/>
      <c r="AA748" s="1"/>
      <c r="AB748" s="1"/>
      <c r="AG748" s="1"/>
      <c r="AH748" s="1"/>
      <c r="AK748" s="1"/>
      <c r="AL748" s="1"/>
      <c r="AM748" s="2"/>
      <c r="AN748" s="2"/>
      <c r="AQ748" s="1"/>
      <c r="BG748" s="1"/>
    </row>
    <row r="749" spans="15:59">
      <c r="O749" s="1"/>
      <c r="P749" s="1"/>
      <c r="AA749" s="1"/>
      <c r="AB749" s="1"/>
      <c r="AG749" s="1"/>
      <c r="AH749" s="1"/>
      <c r="AK749" s="1"/>
      <c r="AL749" s="1"/>
      <c r="AM749" s="2"/>
      <c r="AN749" s="2"/>
      <c r="AQ749" s="1"/>
      <c r="BG749" s="1"/>
    </row>
    <row r="750" spans="15:59">
      <c r="O750" s="1"/>
      <c r="P750" s="1"/>
      <c r="AA750" s="1"/>
      <c r="AB750" s="1"/>
      <c r="AG750" s="1"/>
      <c r="AH750" s="1"/>
      <c r="AK750" s="1"/>
      <c r="AL750" s="1"/>
      <c r="AM750" s="2"/>
      <c r="AN750" s="2"/>
      <c r="AQ750" s="1"/>
      <c r="BG750" s="1"/>
    </row>
    <row r="751" spans="15:59">
      <c r="O751" s="1"/>
      <c r="P751" s="1"/>
      <c r="AA751" s="1"/>
      <c r="AB751" s="1"/>
      <c r="AG751" s="1"/>
      <c r="AH751" s="1"/>
      <c r="AK751" s="1"/>
      <c r="AL751" s="1"/>
      <c r="AM751" s="2"/>
      <c r="AN751" s="2"/>
      <c r="AQ751" s="1"/>
      <c r="BG751" s="1"/>
    </row>
    <row r="752" spans="15:59">
      <c r="O752" s="1"/>
      <c r="P752" s="1"/>
      <c r="AA752" s="1"/>
      <c r="AB752" s="1"/>
      <c r="AG752" s="1"/>
      <c r="AH752" s="1"/>
      <c r="AK752" s="1"/>
      <c r="AL752" s="1"/>
      <c r="AM752" s="2"/>
      <c r="AN752" s="2"/>
      <c r="AQ752" s="1"/>
      <c r="BG752" s="1"/>
    </row>
    <row r="753" spans="15:59">
      <c r="O753" s="1"/>
      <c r="P753" s="1"/>
      <c r="AA753" s="1"/>
      <c r="AB753" s="1"/>
      <c r="AG753" s="1"/>
      <c r="AH753" s="1"/>
      <c r="AK753" s="1"/>
      <c r="AL753" s="1"/>
      <c r="AM753" s="2"/>
      <c r="AN753" s="2"/>
      <c r="AQ753" s="1"/>
      <c r="BG753" s="1"/>
    </row>
    <row r="754" spans="15:59">
      <c r="O754" s="1"/>
      <c r="P754" s="1"/>
      <c r="AA754" s="1"/>
      <c r="AB754" s="1"/>
      <c r="AG754" s="1"/>
      <c r="AH754" s="1"/>
      <c r="AK754" s="1"/>
      <c r="AL754" s="1"/>
      <c r="AM754" s="2"/>
      <c r="AN754" s="2"/>
      <c r="AQ754" s="1"/>
      <c r="BG754" s="1"/>
    </row>
    <row r="755" spans="15:59">
      <c r="O755" s="1"/>
      <c r="P755" s="1"/>
      <c r="AA755" s="1"/>
      <c r="AB755" s="1"/>
      <c r="AG755" s="1"/>
      <c r="AH755" s="1"/>
      <c r="AK755" s="1"/>
      <c r="AL755" s="1"/>
      <c r="AM755" s="2"/>
      <c r="AN755" s="2"/>
      <c r="AQ755" s="1"/>
      <c r="BG755" s="1"/>
    </row>
    <row r="756" spans="15:59">
      <c r="O756" s="1"/>
      <c r="P756" s="1"/>
      <c r="AA756" s="1"/>
      <c r="AB756" s="1"/>
      <c r="AG756" s="1"/>
      <c r="AH756" s="1"/>
      <c r="AK756" s="1"/>
      <c r="AL756" s="1"/>
      <c r="AM756" s="2"/>
      <c r="AN756" s="2"/>
      <c r="AQ756" s="1"/>
      <c r="BG756" s="1"/>
    </row>
    <row r="757" spans="15:59">
      <c r="O757" s="1"/>
      <c r="P757" s="1"/>
      <c r="AA757" s="1"/>
      <c r="AB757" s="1"/>
      <c r="AG757" s="1"/>
      <c r="AH757" s="1"/>
      <c r="AK757" s="1"/>
      <c r="AL757" s="1"/>
      <c r="AM757" s="2"/>
      <c r="AN757" s="2"/>
      <c r="AQ757" s="1"/>
      <c r="BG757" s="1"/>
    </row>
    <row r="758" spans="15:59">
      <c r="O758" s="1"/>
      <c r="P758" s="1"/>
      <c r="AA758" s="1"/>
      <c r="AB758" s="1"/>
      <c r="AG758" s="1"/>
      <c r="AH758" s="1"/>
      <c r="AK758" s="1"/>
      <c r="AL758" s="1"/>
      <c r="AM758" s="2"/>
      <c r="AN758" s="2"/>
      <c r="AQ758" s="1"/>
      <c r="BG758" s="1"/>
    </row>
    <row r="759" spans="15:59">
      <c r="O759" s="1"/>
      <c r="P759" s="1"/>
      <c r="AA759" s="1"/>
      <c r="AB759" s="1"/>
      <c r="AG759" s="1"/>
      <c r="AH759" s="1"/>
      <c r="AK759" s="1"/>
      <c r="AL759" s="1"/>
      <c r="AM759" s="2"/>
      <c r="AN759" s="2"/>
      <c r="AQ759" s="1"/>
      <c r="BG759" s="1"/>
    </row>
    <row r="760" spans="15:59">
      <c r="O760" s="1"/>
      <c r="P760" s="1"/>
      <c r="AA760" s="1"/>
      <c r="AB760" s="1"/>
      <c r="AG760" s="1"/>
      <c r="AH760" s="1"/>
      <c r="AK760" s="1"/>
      <c r="AL760" s="1"/>
      <c r="AM760" s="2"/>
      <c r="AN760" s="2"/>
      <c r="AQ760" s="1"/>
      <c r="BG760" s="1"/>
    </row>
    <row r="761" spans="15:59">
      <c r="O761" s="1"/>
      <c r="P761" s="1"/>
      <c r="AA761" s="1"/>
      <c r="AB761" s="1"/>
      <c r="AG761" s="1"/>
      <c r="AH761" s="1"/>
      <c r="AK761" s="1"/>
      <c r="AL761" s="1"/>
      <c r="AM761" s="2"/>
      <c r="AN761" s="2"/>
      <c r="AQ761" s="1"/>
      <c r="BG761" s="1"/>
    </row>
    <row r="762" spans="15:59">
      <c r="O762" s="1"/>
      <c r="P762" s="1"/>
      <c r="AA762" s="1"/>
      <c r="AB762" s="1"/>
      <c r="AG762" s="1"/>
      <c r="AH762" s="1"/>
      <c r="AK762" s="1"/>
      <c r="AL762" s="1"/>
      <c r="AM762" s="2"/>
      <c r="AN762" s="2"/>
      <c r="AQ762" s="1"/>
      <c r="BG762" s="1"/>
    </row>
    <row r="763" spans="15:59">
      <c r="O763" s="1"/>
      <c r="P763" s="1"/>
      <c r="AA763" s="1"/>
      <c r="AB763" s="1"/>
      <c r="AG763" s="1"/>
      <c r="AH763" s="1"/>
      <c r="AK763" s="1"/>
      <c r="AL763" s="1"/>
      <c r="AM763" s="2"/>
      <c r="AN763" s="2"/>
      <c r="AQ763" s="1"/>
      <c r="BG763" s="1"/>
    </row>
    <row r="764" spans="15:59">
      <c r="O764" s="1"/>
      <c r="P764" s="1"/>
      <c r="AA764" s="1"/>
      <c r="AB764" s="1"/>
      <c r="AG764" s="1"/>
      <c r="AH764" s="1"/>
      <c r="AK764" s="1"/>
      <c r="AL764" s="1"/>
      <c r="AM764" s="2"/>
      <c r="AN764" s="2"/>
      <c r="AQ764" s="1"/>
      <c r="BG764" s="1"/>
    </row>
    <row r="765" spans="15:59">
      <c r="O765" s="1"/>
      <c r="P765" s="1"/>
      <c r="AA765" s="1"/>
      <c r="AB765" s="1"/>
      <c r="AG765" s="1"/>
      <c r="AH765" s="1"/>
      <c r="AK765" s="1"/>
      <c r="AL765" s="1"/>
      <c r="AM765" s="2"/>
      <c r="AN765" s="2"/>
      <c r="AQ765" s="1"/>
      <c r="BG765" s="1"/>
    </row>
    <row r="766" spans="15:59">
      <c r="O766" s="1"/>
      <c r="P766" s="1"/>
      <c r="AA766" s="1"/>
      <c r="AB766" s="1"/>
      <c r="AG766" s="1"/>
      <c r="AH766" s="1"/>
      <c r="AK766" s="1"/>
      <c r="AL766" s="1"/>
      <c r="AM766" s="2"/>
      <c r="AN766" s="2"/>
      <c r="AQ766" s="1"/>
      <c r="BG766" s="1"/>
    </row>
    <row r="767" spans="15:59">
      <c r="O767" s="1"/>
      <c r="P767" s="1"/>
      <c r="AA767" s="1"/>
      <c r="AB767" s="1"/>
      <c r="AG767" s="1"/>
      <c r="AH767" s="1"/>
      <c r="AK767" s="1"/>
      <c r="AL767" s="1"/>
      <c r="AM767" s="2"/>
      <c r="AN767" s="2"/>
      <c r="AQ767" s="1"/>
      <c r="BG767" s="1"/>
    </row>
    <row r="768" spans="15:59">
      <c r="O768" s="1"/>
      <c r="P768" s="1"/>
      <c r="AA768" s="1"/>
      <c r="AB768" s="1"/>
      <c r="AG768" s="1"/>
      <c r="AH768" s="1"/>
      <c r="AK768" s="1"/>
      <c r="AL768" s="1"/>
      <c r="AM768" s="2"/>
      <c r="AN768" s="2"/>
      <c r="AQ768" s="1"/>
      <c r="BG768" s="1"/>
    </row>
    <row r="769" spans="15:59">
      <c r="O769" s="1"/>
      <c r="P769" s="1"/>
      <c r="AA769" s="1"/>
      <c r="AB769" s="1"/>
      <c r="AG769" s="1"/>
      <c r="AH769" s="1"/>
      <c r="AK769" s="1"/>
      <c r="AL769" s="1"/>
      <c r="AM769" s="2"/>
      <c r="AN769" s="2"/>
      <c r="AQ769" s="1"/>
      <c r="BG769" s="1"/>
    </row>
    <row r="770" spans="15:59">
      <c r="O770" s="1"/>
      <c r="P770" s="1"/>
      <c r="AA770" s="1"/>
      <c r="AB770" s="1"/>
      <c r="AG770" s="1"/>
      <c r="AH770" s="1"/>
      <c r="AK770" s="1"/>
      <c r="AL770" s="1"/>
      <c r="AM770" s="2"/>
      <c r="AN770" s="2"/>
      <c r="AQ770" s="1"/>
      <c r="BG770" s="1"/>
    </row>
    <row r="771" spans="15:59">
      <c r="O771" s="1"/>
      <c r="P771" s="1"/>
      <c r="AA771" s="1"/>
      <c r="AB771" s="1"/>
      <c r="AG771" s="1"/>
      <c r="AH771" s="1"/>
      <c r="AK771" s="1"/>
      <c r="AL771" s="1"/>
      <c r="AM771" s="2"/>
      <c r="AN771" s="2"/>
      <c r="AQ771" s="1"/>
      <c r="BG771" s="1"/>
    </row>
    <row r="772" spans="15:59">
      <c r="O772" s="1"/>
      <c r="P772" s="1"/>
      <c r="AA772" s="1"/>
      <c r="AB772" s="1"/>
      <c r="AG772" s="1"/>
      <c r="AH772" s="1"/>
      <c r="AK772" s="1"/>
      <c r="AL772" s="1"/>
      <c r="AM772" s="2"/>
      <c r="AN772" s="2"/>
      <c r="AQ772" s="1"/>
      <c r="BG772" s="1"/>
    </row>
    <row r="773" spans="15:59">
      <c r="O773" s="1"/>
      <c r="P773" s="1"/>
      <c r="AA773" s="1"/>
      <c r="AB773" s="1"/>
      <c r="AG773" s="1"/>
      <c r="AH773" s="1"/>
      <c r="AK773" s="1"/>
      <c r="AL773" s="1"/>
      <c r="AM773" s="2"/>
      <c r="AN773" s="2"/>
      <c r="AQ773" s="1"/>
      <c r="BG773" s="1"/>
    </row>
    <row r="774" spans="15:59">
      <c r="O774" s="1"/>
      <c r="P774" s="1"/>
      <c r="AA774" s="1"/>
      <c r="AB774" s="1"/>
      <c r="AG774" s="1"/>
      <c r="AH774" s="1"/>
      <c r="AK774" s="1"/>
      <c r="AL774" s="1"/>
      <c r="AM774" s="2"/>
      <c r="AN774" s="2"/>
      <c r="AQ774" s="1"/>
      <c r="BG774" s="1"/>
    </row>
    <row r="775" spans="15:59">
      <c r="O775" s="1"/>
      <c r="P775" s="1"/>
      <c r="AA775" s="1"/>
      <c r="AB775" s="1"/>
      <c r="AG775" s="1"/>
      <c r="AH775" s="1"/>
      <c r="AK775" s="1"/>
      <c r="AL775" s="1"/>
      <c r="AM775" s="2"/>
      <c r="AN775" s="2"/>
      <c r="AQ775" s="1"/>
      <c r="BG775" s="1"/>
    </row>
    <row r="776" spans="15:59">
      <c r="O776" s="1"/>
      <c r="P776" s="1"/>
      <c r="AA776" s="1"/>
      <c r="AB776" s="1"/>
      <c r="AG776" s="1"/>
      <c r="AH776" s="1"/>
      <c r="AK776" s="1"/>
      <c r="AL776" s="1"/>
      <c r="AM776" s="2"/>
      <c r="AN776" s="2"/>
      <c r="AQ776" s="1"/>
      <c r="BG776" s="1"/>
    </row>
    <row r="777" spans="15:59">
      <c r="O777" s="1"/>
      <c r="P777" s="1"/>
      <c r="AA777" s="1"/>
      <c r="AB777" s="1"/>
      <c r="AG777" s="1"/>
      <c r="AH777" s="1"/>
      <c r="AK777" s="1"/>
      <c r="AL777" s="1"/>
      <c r="AM777" s="2"/>
      <c r="AN777" s="2"/>
      <c r="AQ777" s="1"/>
      <c r="BG777" s="1"/>
    </row>
    <row r="778" spans="15:59">
      <c r="O778" s="1"/>
      <c r="P778" s="1"/>
      <c r="AA778" s="1"/>
      <c r="AB778" s="1"/>
      <c r="AG778" s="1"/>
      <c r="AH778" s="1"/>
      <c r="AK778" s="1"/>
      <c r="AL778" s="1"/>
      <c r="AM778" s="2"/>
      <c r="AN778" s="2"/>
      <c r="AQ778" s="1"/>
      <c r="BG778" s="1"/>
    </row>
    <row r="779" spans="15:59">
      <c r="O779" s="1"/>
      <c r="P779" s="1"/>
      <c r="AA779" s="1"/>
      <c r="AB779" s="1"/>
      <c r="AG779" s="1"/>
      <c r="AH779" s="1"/>
      <c r="AK779" s="1"/>
      <c r="AL779" s="1"/>
      <c r="AM779" s="2"/>
      <c r="AN779" s="2"/>
      <c r="AQ779" s="1"/>
      <c r="BG779" s="1"/>
    </row>
    <row r="780" spans="15:59">
      <c r="O780" s="1"/>
      <c r="P780" s="1"/>
      <c r="AA780" s="1"/>
      <c r="AB780" s="1"/>
      <c r="AG780" s="1"/>
      <c r="AH780" s="1"/>
      <c r="AK780" s="1"/>
      <c r="AL780" s="1"/>
      <c r="AM780" s="2"/>
      <c r="AN780" s="2"/>
      <c r="AQ780" s="1"/>
      <c r="BG780" s="1"/>
    </row>
    <row r="781" spans="15:59">
      <c r="O781" s="1"/>
      <c r="P781" s="1"/>
      <c r="AA781" s="1"/>
      <c r="AB781" s="1"/>
      <c r="AG781" s="1"/>
      <c r="AH781" s="1"/>
      <c r="AK781" s="1"/>
      <c r="AL781" s="1"/>
      <c r="AM781" s="2"/>
      <c r="AN781" s="2"/>
      <c r="AQ781" s="1"/>
      <c r="BG781" s="1"/>
    </row>
    <row r="782" spans="15:59">
      <c r="O782" s="1"/>
      <c r="P782" s="1"/>
      <c r="AA782" s="1"/>
      <c r="AB782" s="1"/>
      <c r="AG782" s="1"/>
      <c r="AH782" s="1"/>
      <c r="AK782" s="1"/>
      <c r="AL782" s="1"/>
      <c r="AM782" s="2"/>
      <c r="AN782" s="2"/>
      <c r="AQ782" s="1"/>
      <c r="BG782" s="1"/>
    </row>
    <row r="783" spans="15:59">
      <c r="O783" s="1"/>
      <c r="P783" s="1"/>
      <c r="AA783" s="1"/>
      <c r="AB783" s="1"/>
      <c r="AG783" s="1"/>
      <c r="AH783" s="1"/>
      <c r="AK783" s="1"/>
      <c r="AL783" s="1"/>
      <c r="AM783" s="2"/>
      <c r="AN783" s="2"/>
      <c r="AQ783" s="1"/>
      <c r="BG783" s="1"/>
    </row>
    <row r="784" spans="15:59">
      <c r="O784" s="1"/>
      <c r="P784" s="1"/>
      <c r="AA784" s="1"/>
      <c r="AB784" s="1"/>
      <c r="AG784" s="1"/>
      <c r="AH784" s="1"/>
      <c r="AK784" s="1"/>
      <c r="AL784" s="1"/>
      <c r="AM784" s="2"/>
      <c r="AN784" s="2"/>
      <c r="AQ784" s="1"/>
      <c r="BG784" s="1"/>
    </row>
    <row r="785" spans="15:59">
      <c r="O785" s="1"/>
      <c r="P785" s="1"/>
      <c r="AA785" s="1"/>
      <c r="AB785" s="1"/>
      <c r="AG785" s="1"/>
      <c r="AH785" s="1"/>
      <c r="AK785" s="1"/>
      <c r="AL785" s="1"/>
      <c r="AM785" s="2"/>
      <c r="AN785" s="2"/>
      <c r="AQ785" s="1"/>
      <c r="BG785" s="1"/>
    </row>
    <row r="786" spans="15:59">
      <c r="O786" s="1"/>
      <c r="P786" s="1"/>
      <c r="AA786" s="1"/>
      <c r="AB786" s="1"/>
      <c r="AG786" s="1"/>
      <c r="AH786" s="1"/>
      <c r="AK786" s="1"/>
      <c r="AL786" s="1"/>
      <c r="AM786" s="2"/>
      <c r="AN786" s="2"/>
      <c r="AQ786" s="1"/>
      <c r="BG786" s="1"/>
    </row>
    <row r="787" spans="15:59">
      <c r="O787" s="1"/>
      <c r="P787" s="1"/>
      <c r="AA787" s="1"/>
      <c r="AB787" s="1"/>
      <c r="AG787" s="1"/>
      <c r="AH787" s="1"/>
      <c r="AK787" s="1"/>
      <c r="AL787" s="1"/>
      <c r="AM787" s="2"/>
      <c r="AN787" s="2"/>
      <c r="AQ787" s="1"/>
      <c r="BG787" s="1"/>
    </row>
    <row r="788" spans="15:59">
      <c r="O788" s="1"/>
      <c r="P788" s="1"/>
      <c r="AA788" s="1"/>
      <c r="AB788" s="1"/>
      <c r="AG788" s="1"/>
      <c r="AH788" s="1"/>
      <c r="AK788" s="1"/>
      <c r="AL788" s="1"/>
      <c r="AM788" s="2"/>
      <c r="AN788" s="2"/>
      <c r="AQ788" s="1"/>
      <c r="BG788" s="1"/>
    </row>
    <row r="789" spans="15:59">
      <c r="O789" s="1"/>
      <c r="P789" s="1"/>
      <c r="AA789" s="1"/>
      <c r="AB789" s="1"/>
      <c r="AG789" s="1"/>
      <c r="AH789" s="1"/>
      <c r="AK789" s="1"/>
      <c r="AL789" s="1"/>
      <c r="AM789" s="2"/>
      <c r="AN789" s="2"/>
      <c r="AQ789" s="1"/>
      <c r="BG789" s="1"/>
    </row>
    <row r="790" spans="15:59">
      <c r="O790" s="1"/>
      <c r="P790" s="1"/>
      <c r="AA790" s="1"/>
      <c r="AB790" s="1"/>
      <c r="AG790" s="1"/>
      <c r="AH790" s="1"/>
      <c r="AK790" s="1"/>
      <c r="AL790" s="1"/>
      <c r="AM790" s="2"/>
      <c r="AN790" s="2"/>
      <c r="AQ790" s="1"/>
      <c r="BG790" s="1"/>
    </row>
    <row r="791" spans="15:59">
      <c r="O791" s="1"/>
      <c r="P791" s="1"/>
      <c r="AA791" s="1"/>
      <c r="AB791" s="1"/>
      <c r="AG791" s="1"/>
      <c r="AH791" s="1"/>
      <c r="AK791" s="1"/>
      <c r="AL791" s="1"/>
      <c r="AM791" s="2"/>
      <c r="AN791" s="2"/>
      <c r="AQ791" s="1"/>
      <c r="BG791" s="1"/>
    </row>
    <row r="792" spans="15:59">
      <c r="O792" s="1"/>
      <c r="P792" s="1"/>
      <c r="AA792" s="1"/>
      <c r="AB792" s="1"/>
      <c r="AG792" s="1"/>
      <c r="AH792" s="1"/>
      <c r="AK792" s="1"/>
      <c r="AL792" s="1"/>
      <c r="AM792" s="2"/>
      <c r="AN792" s="2"/>
      <c r="AQ792" s="1"/>
      <c r="BG792" s="1"/>
    </row>
    <row r="793" spans="15:59">
      <c r="O793" s="1"/>
      <c r="P793" s="1"/>
      <c r="AA793" s="1"/>
      <c r="AB793" s="1"/>
      <c r="AG793" s="1"/>
      <c r="AH793" s="1"/>
      <c r="AK793" s="1"/>
      <c r="AL793" s="1"/>
      <c r="AM793" s="2"/>
      <c r="AN793" s="2"/>
      <c r="AQ793" s="1"/>
      <c r="BG793" s="1"/>
    </row>
    <row r="794" spans="15:59">
      <c r="O794" s="1"/>
      <c r="P794" s="1"/>
      <c r="AA794" s="1"/>
      <c r="AB794" s="1"/>
      <c r="AG794" s="1"/>
      <c r="AH794" s="1"/>
      <c r="AK794" s="1"/>
      <c r="AL794" s="1"/>
      <c r="AM794" s="2"/>
      <c r="AN794" s="2"/>
      <c r="AQ794" s="1"/>
      <c r="BG794" s="1"/>
    </row>
    <row r="795" spans="15:59">
      <c r="O795" s="1"/>
      <c r="P795" s="1"/>
      <c r="AA795" s="1"/>
      <c r="AB795" s="1"/>
      <c r="AG795" s="1"/>
      <c r="AH795" s="1"/>
      <c r="AK795" s="1"/>
      <c r="AL795" s="1"/>
      <c r="AM795" s="2"/>
      <c r="AN795" s="2"/>
      <c r="AQ795" s="1"/>
      <c r="BG795" s="1"/>
    </row>
    <row r="796" spans="15:59">
      <c r="O796" s="1"/>
      <c r="P796" s="1"/>
      <c r="AA796" s="1"/>
      <c r="AB796" s="1"/>
      <c r="AG796" s="1"/>
      <c r="AH796" s="1"/>
      <c r="AK796" s="1"/>
      <c r="AL796" s="1"/>
      <c r="AM796" s="2"/>
      <c r="AN796" s="2"/>
      <c r="AQ796" s="1"/>
      <c r="BG796" s="1"/>
    </row>
    <row r="797" spans="15:59">
      <c r="O797" s="1"/>
      <c r="P797" s="1"/>
      <c r="AA797" s="1"/>
      <c r="AB797" s="1"/>
      <c r="AG797" s="1"/>
      <c r="AH797" s="1"/>
      <c r="AK797" s="1"/>
      <c r="AL797" s="1"/>
      <c r="AM797" s="2"/>
      <c r="AN797" s="2"/>
      <c r="AQ797" s="1"/>
      <c r="BG797" s="1"/>
    </row>
    <row r="798" spans="15:59">
      <c r="O798" s="1"/>
      <c r="P798" s="1"/>
      <c r="AA798" s="1"/>
      <c r="AB798" s="1"/>
      <c r="AG798" s="1"/>
      <c r="AH798" s="1"/>
      <c r="AK798" s="1"/>
      <c r="AL798" s="1"/>
      <c r="AM798" s="2"/>
      <c r="AN798" s="2"/>
      <c r="AQ798" s="1"/>
      <c r="BG798" s="1"/>
    </row>
    <row r="799" spans="15:59">
      <c r="O799" s="1"/>
      <c r="P799" s="1"/>
      <c r="AA799" s="1"/>
      <c r="AB799" s="1"/>
      <c r="AG799" s="1"/>
      <c r="AH799" s="1"/>
      <c r="AK799" s="1"/>
      <c r="AL799" s="1"/>
      <c r="AM799" s="2"/>
      <c r="AN799" s="2"/>
      <c r="AQ799" s="1"/>
      <c r="BG799" s="1"/>
    </row>
    <row r="800" spans="15:59">
      <c r="O800" s="1"/>
      <c r="P800" s="1"/>
      <c r="AA800" s="1"/>
      <c r="AB800" s="1"/>
      <c r="AG800" s="1"/>
      <c r="AH800" s="1"/>
      <c r="AK800" s="1"/>
      <c r="AL800" s="1"/>
      <c r="AM800" s="2"/>
      <c r="AN800" s="2"/>
      <c r="AQ800" s="1"/>
      <c r="BG800" s="1"/>
    </row>
    <row r="801" spans="15:59">
      <c r="O801" s="1"/>
      <c r="P801" s="1"/>
      <c r="AA801" s="1"/>
      <c r="AB801" s="1"/>
      <c r="AG801" s="1"/>
      <c r="AH801" s="1"/>
      <c r="AK801" s="1"/>
      <c r="AL801" s="1"/>
      <c r="AM801" s="2"/>
      <c r="AN801" s="2"/>
      <c r="AQ801" s="1"/>
      <c r="BG801" s="1"/>
    </row>
    <row r="802" spans="15:59">
      <c r="O802" s="1"/>
      <c r="P802" s="1"/>
      <c r="AA802" s="1"/>
      <c r="AB802" s="1"/>
      <c r="AG802" s="1"/>
      <c r="AH802" s="1"/>
      <c r="AK802" s="1"/>
      <c r="AL802" s="1"/>
      <c r="AM802" s="2"/>
      <c r="AN802" s="2"/>
      <c r="AQ802" s="1"/>
      <c r="BG802" s="1"/>
    </row>
    <row r="803" spans="15:59">
      <c r="O803" s="1"/>
      <c r="P803" s="1"/>
      <c r="AA803" s="1"/>
      <c r="AB803" s="1"/>
      <c r="AG803" s="1"/>
      <c r="AH803" s="1"/>
      <c r="AK803" s="1"/>
      <c r="AL803" s="1"/>
      <c r="AM803" s="2"/>
      <c r="AN803" s="2"/>
      <c r="AQ803" s="1"/>
      <c r="BG803" s="1"/>
    </row>
    <row r="804" spans="15:59">
      <c r="O804" s="1"/>
      <c r="P804" s="1"/>
      <c r="AA804" s="1"/>
      <c r="AB804" s="1"/>
      <c r="AG804" s="1"/>
      <c r="AH804" s="1"/>
      <c r="AK804" s="1"/>
      <c r="AL804" s="1"/>
      <c r="AM804" s="2"/>
      <c r="AN804" s="2"/>
      <c r="AQ804" s="1"/>
      <c r="BG804" s="1"/>
    </row>
    <row r="805" spans="15:59">
      <c r="O805" s="1"/>
      <c r="P805" s="1"/>
      <c r="AA805" s="1"/>
      <c r="AB805" s="1"/>
      <c r="AG805" s="1"/>
      <c r="AH805" s="1"/>
      <c r="AK805" s="1"/>
      <c r="AL805" s="1"/>
      <c r="AM805" s="2"/>
      <c r="AN805" s="2"/>
      <c r="AQ805" s="1"/>
      <c r="BG805" s="1"/>
    </row>
    <row r="806" spans="15:59">
      <c r="O806" s="1"/>
      <c r="P806" s="1"/>
      <c r="AA806" s="1"/>
      <c r="AB806" s="1"/>
      <c r="AG806" s="1"/>
      <c r="AH806" s="1"/>
      <c r="AK806" s="1"/>
      <c r="AL806" s="1"/>
      <c r="AM806" s="2"/>
      <c r="AN806" s="2"/>
      <c r="AQ806" s="1"/>
      <c r="BG806" s="1"/>
    </row>
    <row r="807" spans="15:59">
      <c r="O807" s="1"/>
      <c r="P807" s="1"/>
      <c r="AA807" s="1"/>
      <c r="AB807" s="1"/>
      <c r="AG807" s="1"/>
      <c r="AH807" s="1"/>
      <c r="AK807" s="1"/>
      <c r="AL807" s="1"/>
      <c r="AM807" s="2"/>
      <c r="AN807" s="2"/>
      <c r="AQ807" s="1"/>
      <c r="BG807" s="1"/>
    </row>
    <row r="808" spans="15:59">
      <c r="O808" s="1"/>
      <c r="P808" s="1"/>
      <c r="AA808" s="1"/>
      <c r="AB808" s="1"/>
      <c r="AG808" s="1"/>
      <c r="AH808" s="1"/>
      <c r="AK808" s="1"/>
      <c r="AL808" s="1"/>
      <c r="AM808" s="2"/>
      <c r="AN808" s="2"/>
      <c r="AQ808" s="1"/>
      <c r="BG808" s="1"/>
    </row>
    <row r="809" spans="15:59">
      <c r="O809" s="1"/>
      <c r="P809" s="1"/>
      <c r="AA809" s="1"/>
      <c r="AB809" s="1"/>
      <c r="AG809" s="1"/>
      <c r="AH809" s="1"/>
      <c r="AK809" s="1"/>
      <c r="AL809" s="1"/>
      <c r="AM809" s="2"/>
      <c r="AN809" s="2"/>
      <c r="AQ809" s="1"/>
      <c r="BG809" s="1"/>
    </row>
    <row r="810" spans="15:59">
      <c r="O810" s="1"/>
      <c r="P810" s="1"/>
      <c r="AA810" s="1"/>
      <c r="AB810" s="1"/>
      <c r="AG810" s="1"/>
      <c r="AH810" s="1"/>
      <c r="AK810" s="1"/>
      <c r="AL810" s="1"/>
      <c r="AM810" s="2"/>
      <c r="AN810" s="2"/>
      <c r="AQ810" s="1"/>
      <c r="BG810" s="1"/>
    </row>
    <row r="811" spans="15:59">
      <c r="O811" s="1"/>
      <c r="P811" s="1"/>
      <c r="AA811" s="1"/>
      <c r="AB811" s="1"/>
      <c r="AG811" s="1"/>
      <c r="AH811" s="1"/>
      <c r="AK811" s="1"/>
      <c r="AL811" s="1"/>
      <c r="AM811" s="2"/>
      <c r="AN811" s="2"/>
      <c r="AQ811" s="1"/>
      <c r="BG811" s="1"/>
    </row>
    <row r="812" spans="15:59">
      <c r="O812" s="1"/>
      <c r="P812" s="1"/>
      <c r="AA812" s="1"/>
      <c r="AB812" s="1"/>
      <c r="AG812" s="1"/>
      <c r="AH812" s="1"/>
      <c r="AK812" s="1"/>
      <c r="AL812" s="1"/>
      <c r="AM812" s="2"/>
      <c r="AN812" s="2"/>
      <c r="AQ812" s="1"/>
      <c r="BG812" s="1"/>
    </row>
    <row r="813" spans="15:59">
      <c r="O813" s="1"/>
      <c r="P813" s="1"/>
      <c r="AA813" s="1"/>
      <c r="AB813" s="1"/>
      <c r="AG813" s="1"/>
      <c r="AH813" s="1"/>
      <c r="AK813" s="1"/>
      <c r="AL813" s="1"/>
      <c r="AM813" s="2"/>
      <c r="AN813" s="2"/>
      <c r="AQ813" s="1"/>
      <c r="BG813" s="1"/>
    </row>
    <row r="814" spans="15:59">
      <c r="O814" s="1"/>
      <c r="P814" s="1"/>
      <c r="AA814" s="1"/>
      <c r="AB814" s="1"/>
      <c r="AG814" s="1"/>
      <c r="AH814" s="1"/>
      <c r="AK814" s="1"/>
      <c r="AL814" s="1"/>
      <c r="AM814" s="2"/>
      <c r="AN814" s="2"/>
      <c r="AQ814" s="1"/>
      <c r="BG814" s="1"/>
    </row>
    <row r="815" spans="15:59">
      <c r="O815" s="1"/>
      <c r="P815" s="1"/>
      <c r="AA815" s="1"/>
      <c r="AB815" s="1"/>
      <c r="AG815" s="1"/>
      <c r="AH815" s="1"/>
      <c r="AK815" s="1"/>
      <c r="AL815" s="1"/>
      <c r="AM815" s="2"/>
      <c r="AN815" s="2"/>
      <c r="AQ815" s="1"/>
      <c r="BG815" s="1"/>
    </row>
    <row r="816" spans="15:59">
      <c r="O816" s="1"/>
      <c r="P816" s="1"/>
      <c r="AA816" s="1"/>
      <c r="AB816" s="1"/>
      <c r="AG816" s="1"/>
      <c r="AH816" s="1"/>
      <c r="AK816" s="1"/>
      <c r="AL816" s="1"/>
      <c r="AM816" s="2"/>
      <c r="AN816" s="2"/>
      <c r="AQ816" s="1"/>
      <c r="BG816" s="1"/>
    </row>
    <row r="817" spans="15:59">
      <c r="O817" s="1"/>
      <c r="P817" s="1"/>
      <c r="AA817" s="1"/>
      <c r="AB817" s="1"/>
      <c r="AG817" s="1"/>
      <c r="AH817" s="1"/>
      <c r="AK817" s="1"/>
      <c r="AL817" s="1"/>
      <c r="AM817" s="2"/>
      <c r="AN817" s="2"/>
      <c r="AQ817" s="1"/>
      <c r="BG817" s="1"/>
    </row>
    <row r="818" spans="15:59">
      <c r="O818" s="1"/>
      <c r="P818" s="1"/>
      <c r="AA818" s="1"/>
      <c r="AB818" s="1"/>
      <c r="AG818" s="1"/>
      <c r="AH818" s="1"/>
      <c r="AK818" s="1"/>
      <c r="AL818" s="1"/>
      <c r="AM818" s="2"/>
      <c r="AN818" s="2"/>
      <c r="AQ818" s="1"/>
      <c r="BG818" s="1"/>
    </row>
    <row r="819" spans="15:59">
      <c r="O819" s="1"/>
      <c r="P819" s="1"/>
      <c r="AA819" s="1"/>
      <c r="AB819" s="1"/>
      <c r="AG819" s="1"/>
      <c r="AH819" s="1"/>
      <c r="AK819" s="1"/>
      <c r="AL819" s="1"/>
      <c r="AM819" s="2"/>
      <c r="AN819" s="2"/>
      <c r="AQ819" s="1"/>
      <c r="BG819" s="1"/>
    </row>
    <row r="820" spans="15:59">
      <c r="O820" s="1"/>
      <c r="P820" s="1"/>
      <c r="AA820" s="1"/>
      <c r="AB820" s="1"/>
      <c r="AG820" s="1"/>
      <c r="AH820" s="1"/>
      <c r="AK820" s="1"/>
      <c r="AL820" s="1"/>
      <c r="AM820" s="2"/>
      <c r="AN820" s="2"/>
      <c r="AQ820" s="1"/>
      <c r="BG820" s="1"/>
    </row>
    <row r="821" spans="15:59">
      <c r="O821" s="1"/>
      <c r="P821" s="1"/>
      <c r="AA821" s="1"/>
      <c r="AB821" s="1"/>
      <c r="AG821" s="1"/>
      <c r="AH821" s="1"/>
      <c r="AK821" s="1"/>
      <c r="AL821" s="1"/>
      <c r="AM821" s="2"/>
      <c r="AN821" s="2"/>
      <c r="AQ821" s="1"/>
      <c r="BG821" s="1"/>
    </row>
    <row r="822" spans="15:59">
      <c r="O822" s="1"/>
      <c r="P822" s="1"/>
      <c r="AA822" s="1"/>
      <c r="AB822" s="1"/>
      <c r="AG822" s="1"/>
      <c r="AH822" s="1"/>
      <c r="AK822" s="1"/>
      <c r="AL822" s="1"/>
      <c r="AM822" s="2"/>
      <c r="AN822" s="2"/>
      <c r="AQ822" s="1"/>
      <c r="BG822" s="1"/>
    </row>
    <row r="823" spans="15:59">
      <c r="O823" s="1"/>
      <c r="P823" s="1"/>
      <c r="AA823" s="1"/>
      <c r="AB823" s="1"/>
      <c r="AG823" s="1"/>
      <c r="AH823" s="1"/>
      <c r="AK823" s="1"/>
      <c r="AL823" s="1"/>
      <c r="AM823" s="2"/>
      <c r="AN823" s="2"/>
      <c r="AQ823" s="1"/>
      <c r="BG823" s="1"/>
    </row>
    <row r="824" spans="15:59">
      <c r="O824" s="1"/>
      <c r="P824" s="1"/>
      <c r="AA824" s="1"/>
      <c r="AB824" s="1"/>
      <c r="AG824" s="1"/>
      <c r="AH824" s="1"/>
      <c r="AK824" s="1"/>
      <c r="AL824" s="1"/>
      <c r="AM824" s="2"/>
      <c r="AN824" s="2"/>
      <c r="AQ824" s="1"/>
      <c r="BG824" s="1"/>
    </row>
    <row r="825" spans="15:59">
      <c r="O825" s="1"/>
      <c r="P825" s="1"/>
      <c r="AA825" s="1"/>
      <c r="AB825" s="1"/>
      <c r="AG825" s="1"/>
      <c r="AH825" s="1"/>
      <c r="AK825" s="1"/>
      <c r="AL825" s="1"/>
      <c r="AM825" s="2"/>
      <c r="AN825" s="2"/>
      <c r="AQ825" s="1"/>
      <c r="BG825" s="1"/>
    </row>
    <row r="826" spans="15:59">
      <c r="O826" s="1"/>
      <c r="P826" s="1"/>
      <c r="AA826" s="1"/>
      <c r="AB826" s="1"/>
      <c r="AG826" s="1"/>
      <c r="AH826" s="1"/>
      <c r="AK826" s="1"/>
      <c r="AL826" s="1"/>
      <c r="AM826" s="2"/>
      <c r="AN826" s="2"/>
      <c r="AQ826" s="1"/>
      <c r="BG826" s="1"/>
    </row>
    <row r="827" spans="15:59">
      <c r="O827" s="1"/>
      <c r="P827" s="1"/>
      <c r="AA827" s="1"/>
      <c r="AB827" s="1"/>
      <c r="AG827" s="1"/>
      <c r="AH827" s="1"/>
      <c r="AK827" s="1"/>
      <c r="AL827" s="1"/>
      <c r="AM827" s="2"/>
      <c r="AN827" s="2"/>
      <c r="AQ827" s="1"/>
      <c r="BG827" s="1"/>
    </row>
    <row r="828" spans="15:59">
      <c r="O828" s="1"/>
      <c r="P828" s="1"/>
      <c r="AA828" s="1"/>
      <c r="AB828" s="1"/>
      <c r="AG828" s="1"/>
      <c r="AH828" s="1"/>
      <c r="AK828" s="1"/>
      <c r="AL828" s="1"/>
      <c r="AM828" s="2"/>
      <c r="AN828" s="2"/>
      <c r="AQ828" s="1"/>
      <c r="BG828" s="1"/>
    </row>
    <row r="829" spans="15:59">
      <c r="O829" s="1"/>
      <c r="P829" s="1"/>
      <c r="AA829" s="1"/>
      <c r="AB829" s="1"/>
      <c r="AG829" s="1"/>
      <c r="AH829" s="1"/>
      <c r="AK829" s="1"/>
      <c r="AL829" s="1"/>
      <c r="AM829" s="2"/>
      <c r="AN829" s="2"/>
      <c r="AQ829" s="1"/>
      <c r="BG829" s="1"/>
    </row>
    <row r="830" spans="15:59">
      <c r="O830" s="1"/>
      <c r="P830" s="1"/>
      <c r="AA830" s="1"/>
      <c r="AB830" s="1"/>
      <c r="AG830" s="1"/>
      <c r="AH830" s="1"/>
      <c r="AK830" s="1"/>
      <c r="AL830" s="1"/>
      <c r="AM830" s="2"/>
      <c r="AN830" s="2"/>
      <c r="AQ830" s="1"/>
      <c r="BG830" s="1"/>
    </row>
    <row r="831" spans="15:59">
      <c r="O831" s="1"/>
      <c r="P831" s="1"/>
      <c r="AA831" s="1"/>
      <c r="AB831" s="1"/>
      <c r="AG831" s="1"/>
      <c r="AH831" s="1"/>
      <c r="AK831" s="1"/>
      <c r="AL831" s="1"/>
      <c r="AM831" s="2"/>
      <c r="AN831" s="2"/>
      <c r="AQ831" s="1"/>
      <c r="BG831" s="1"/>
    </row>
    <row r="832" spans="15:59">
      <c r="O832" s="1"/>
      <c r="P832" s="1"/>
      <c r="AA832" s="1"/>
      <c r="AB832" s="1"/>
      <c r="AG832" s="1"/>
      <c r="AH832" s="1"/>
      <c r="AK832" s="1"/>
      <c r="AL832" s="1"/>
      <c r="AM832" s="2"/>
      <c r="AN832" s="2"/>
      <c r="AQ832" s="1"/>
      <c r="BG832" s="1"/>
    </row>
    <row r="833" spans="15:59">
      <c r="O833" s="1"/>
      <c r="P833" s="1"/>
      <c r="AA833" s="1"/>
      <c r="AB833" s="1"/>
      <c r="AG833" s="1"/>
      <c r="AH833" s="1"/>
      <c r="AK833" s="1"/>
      <c r="AL833" s="1"/>
      <c r="AM833" s="2"/>
      <c r="AN833" s="2"/>
      <c r="AQ833" s="1"/>
      <c r="BG833" s="1"/>
    </row>
    <row r="834" spans="15:59">
      <c r="O834" s="1"/>
      <c r="P834" s="1"/>
      <c r="AA834" s="1"/>
      <c r="AB834" s="1"/>
      <c r="AG834" s="1"/>
      <c r="AH834" s="1"/>
      <c r="AK834" s="1"/>
      <c r="AL834" s="1"/>
      <c r="AM834" s="2"/>
      <c r="AN834" s="2"/>
      <c r="AQ834" s="1"/>
      <c r="BG834" s="1"/>
    </row>
    <row r="835" spans="15:59">
      <c r="O835" s="1"/>
      <c r="P835" s="1"/>
      <c r="AA835" s="1"/>
      <c r="AB835" s="1"/>
      <c r="AG835" s="1"/>
      <c r="AH835" s="1"/>
      <c r="AK835" s="1"/>
      <c r="AL835" s="1"/>
      <c r="AM835" s="2"/>
      <c r="AN835" s="2"/>
      <c r="AQ835" s="1"/>
      <c r="BG835" s="1"/>
    </row>
    <row r="836" spans="15:59">
      <c r="O836" s="1"/>
      <c r="P836" s="1"/>
      <c r="AA836" s="1"/>
      <c r="AB836" s="1"/>
      <c r="AG836" s="1"/>
      <c r="AH836" s="1"/>
      <c r="AK836" s="1"/>
      <c r="AL836" s="1"/>
      <c r="AM836" s="2"/>
      <c r="AN836" s="2"/>
      <c r="AQ836" s="1"/>
      <c r="BG836" s="1"/>
    </row>
    <row r="837" spans="15:59">
      <c r="O837" s="1"/>
      <c r="P837" s="1"/>
      <c r="AA837" s="1"/>
      <c r="AB837" s="1"/>
      <c r="AG837" s="1"/>
      <c r="AH837" s="1"/>
      <c r="AK837" s="1"/>
      <c r="AL837" s="1"/>
      <c r="AM837" s="2"/>
      <c r="AN837" s="2"/>
      <c r="AQ837" s="1"/>
      <c r="BG837" s="1"/>
    </row>
    <row r="838" spans="15:59">
      <c r="O838" s="1"/>
      <c r="P838" s="1"/>
      <c r="AA838" s="1"/>
      <c r="AB838" s="1"/>
      <c r="AG838" s="1"/>
      <c r="AH838" s="1"/>
      <c r="AK838" s="1"/>
      <c r="AL838" s="1"/>
      <c r="AM838" s="2"/>
      <c r="AN838" s="2"/>
      <c r="AQ838" s="1"/>
      <c r="BG838" s="1"/>
    </row>
    <row r="839" spans="15:59">
      <c r="O839" s="1"/>
      <c r="P839" s="1"/>
      <c r="AA839" s="1"/>
      <c r="AB839" s="1"/>
      <c r="AG839" s="1"/>
      <c r="AH839" s="1"/>
      <c r="AK839" s="1"/>
      <c r="AL839" s="1"/>
      <c r="AM839" s="2"/>
      <c r="AN839" s="2"/>
      <c r="AQ839" s="1"/>
      <c r="BG839" s="1"/>
    </row>
    <row r="840" spans="15:59">
      <c r="O840" s="1"/>
      <c r="P840" s="1"/>
      <c r="AA840" s="1"/>
      <c r="AB840" s="1"/>
      <c r="AG840" s="1"/>
      <c r="AH840" s="1"/>
      <c r="AK840" s="1"/>
      <c r="AL840" s="1"/>
      <c r="AM840" s="2"/>
      <c r="AN840" s="2"/>
      <c r="AQ840" s="1"/>
      <c r="BG840" s="1"/>
    </row>
    <row r="841" spans="15:59">
      <c r="O841" s="1"/>
      <c r="P841" s="1"/>
      <c r="AA841" s="1"/>
      <c r="AB841" s="1"/>
      <c r="AG841" s="1"/>
      <c r="AH841" s="1"/>
      <c r="AK841" s="1"/>
      <c r="AL841" s="1"/>
      <c r="AM841" s="2"/>
      <c r="AN841" s="2"/>
      <c r="AQ841" s="1"/>
      <c r="BG841" s="1"/>
    </row>
    <row r="842" spans="15:59">
      <c r="O842" s="1"/>
      <c r="P842" s="1"/>
      <c r="AA842" s="1"/>
      <c r="AB842" s="1"/>
      <c r="AG842" s="1"/>
      <c r="AH842" s="1"/>
      <c r="AK842" s="1"/>
      <c r="AL842" s="1"/>
      <c r="AM842" s="2"/>
      <c r="AN842" s="2"/>
      <c r="AQ842" s="1"/>
      <c r="BG842" s="1"/>
    </row>
    <row r="843" spans="15:59">
      <c r="O843" s="1"/>
      <c r="P843" s="1"/>
      <c r="AA843" s="1"/>
      <c r="AB843" s="1"/>
      <c r="AG843" s="1"/>
      <c r="AH843" s="1"/>
      <c r="AK843" s="1"/>
      <c r="AL843" s="1"/>
      <c r="AM843" s="2"/>
      <c r="AN843" s="2"/>
      <c r="AQ843" s="1"/>
      <c r="BG843" s="1"/>
    </row>
    <row r="844" spans="15:59">
      <c r="O844" s="1"/>
      <c r="P844" s="1"/>
      <c r="AA844" s="1"/>
      <c r="AB844" s="1"/>
      <c r="AG844" s="1"/>
      <c r="AH844" s="1"/>
      <c r="AK844" s="1"/>
      <c r="AL844" s="1"/>
      <c r="AM844" s="2"/>
      <c r="AN844" s="2"/>
      <c r="AQ844" s="1"/>
      <c r="BG844" s="1"/>
    </row>
    <row r="845" spans="15:59">
      <c r="O845" s="1"/>
      <c r="P845" s="1"/>
      <c r="AA845" s="1"/>
      <c r="AB845" s="1"/>
      <c r="AG845" s="1"/>
      <c r="AH845" s="1"/>
      <c r="AK845" s="1"/>
      <c r="AL845" s="1"/>
      <c r="AM845" s="2"/>
      <c r="AN845" s="2"/>
      <c r="AQ845" s="1"/>
      <c r="BG845" s="1"/>
    </row>
    <row r="846" spans="15:59">
      <c r="O846" s="1"/>
      <c r="P846" s="1"/>
      <c r="AA846" s="1"/>
      <c r="AB846" s="1"/>
      <c r="AG846" s="1"/>
      <c r="AH846" s="1"/>
      <c r="AK846" s="1"/>
      <c r="AL846" s="1"/>
      <c r="AM846" s="2"/>
      <c r="AN846" s="2"/>
      <c r="AQ846" s="1"/>
      <c r="BG846" s="1"/>
    </row>
    <row r="847" spans="15:59">
      <c r="O847" s="1"/>
      <c r="P847" s="1"/>
      <c r="AA847" s="1"/>
      <c r="AB847" s="1"/>
      <c r="AG847" s="1"/>
      <c r="AH847" s="1"/>
      <c r="AK847" s="1"/>
      <c r="AL847" s="1"/>
      <c r="AM847" s="2"/>
      <c r="AN847" s="2"/>
      <c r="AQ847" s="1"/>
      <c r="BG847" s="1"/>
    </row>
    <row r="848" spans="15:59">
      <c r="O848" s="1"/>
      <c r="P848" s="1"/>
      <c r="AA848" s="1"/>
      <c r="AB848" s="1"/>
      <c r="AG848" s="1"/>
      <c r="AH848" s="1"/>
      <c r="AK848" s="1"/>
      <c r="AL848" s="1"/>
      <c r="AM848" s="2"/>
      <c r="AN848" s="2"/>
      <c r="AQ848" s="1"/>
      <c r="BG848" s="1"/>
    </row>
    <row r="849" spans="15:59">
      <c r="O849" s="1"/>
      <c r="P849" s="1"/>
      <c r="AA849" s="1"/>
      <c r="AB849" s="1"/>
      <c r="AG849" s="1"/>
      <c r="AH849" s="1"/>
      <c r="AK849" s="1"/>
      <c r="AL849" s="1"/>
      <c r="AM849" s="2"/>
      <c r="AN849" s="2"/>
      <c r="AQ849" s="1"/>
      <c r="BG849" s="1"/>
    </row>
    <row r="850" spans="15:59">
      <c r="O850" s="1"/>
      <c r="P850" s="1"/>
      <c r="AA850" s="1"/>
      <c r="AB850" s="1"/>
      <c r="AG850" s="1"/>
      <c r="AH850" s="1"/>
      <c r="AK850" s="1"/>
      <c r="AL850" s="1"/>
      <c r="AM850" s="2"/>
      <c r="AN850" s="2"/>
      <c r="AQ850" s="1"/>
      <c r="BG850" s="1"/>
    </row>
    <row r="851" spans="15:59">
      <c r="O851" s="1"/>
      <c r="P851" s="1"/>
      <c r="AA851" s="1"/>
      <c r="AB851" s="1"/>
      <c r="AG851" s="1"/>
      <c r="AH851" s="1"/>
      <c r="AK851" s="1"/>
      <c r="AL851" s="1"/>
      <c r="AM851" s="2"/>
      <c r="AN851" s="2"/>
      <c r="AQ851" s="1"/>
      <c r="BG851" s="1"/>
    </row>
    <row r="852" spans="15:59">
      <c r="O852" s="1"/>
      <c r="P852" s="1"/>
      <c r="AA852" s="1"/>
      <c r="AB852" s="1"/>
      <c r="AG852" s="1"/>
      <c r="AH852" s="1"/>
      <c r="AK852" s="1"/>
      <c r="AL852" s="1"/>
      <c r="AM852" s="2"/>
      <c r="AN852" s="2"/>
      <c r="AQ852" s="1"/>
      <c r="BG852" s="1"/>
    </row>
    <row r="853" spans="15:59">
      <c r="O853" s="1"/>
      <c r="P853" s="1"/>
      <c r="AA853" s="1"/>
      <c r="AB853" s="1"/>
      <c r="AG853" s="1"/>
      <c r="AH853" s="1"/>
      <c r="AK853" s="1"/>
      <c r="AL853" s="1"/>
      <c r="AM853" s="2"/>
      <c r="AN853" s="2"/>
      <c r="AQ853" s="1"/>
      <c r="BG853" s="1"/>
    </row>
    <row r="854" spans="15:59">
      <c r="O854" s="1"/>
      <c r="P854" s="1"/>
      <c r="AA854" s="1"/>
      <c r="AB854" s="1"/>
      <c r="AG854" s="1"/>
      <c r="AH854" s="1"/>
      <c r="AK854" s="1"/>
      <c r="AL854" s="1"/>
      <c r="AM854" s="2"/>
      <c r="AN854" s="2"/>
      <c r="AQ854" s="1"/>
      <c r="BG854" s="1"/>
    </row>
    <row r="855" spans="15:59">
      <c r="O855" s="1"/>
      <c r="P855" s="1"/>
      <c r="AA855" s="1"/>
      <c r="AB855" s="1"/>
      <c r="AG855" s="1"/>
      <c r="AH855" s="1"/>
      <c r="AK855" s="1"/>
      <c r="AL855" s="1"/>
      <c r="AM855" s="2"/>
      <c r="AN855" s="2"/>
      <c r="AQ855" s="1"/>
      <c r="BG855" s="1"/>
    </row>
    <row r="856" spans="15:59">
      <c r="O856" s="1"/>
      <c r="P856" s="1"/>
      <c r="AA856" s="1"/>
      <c r="AB856" s="1"/>
      <c r="AG856" s="1"/>
      <c r="AH856" s="1"/>
      <c r="AK856" s="1"/>
      <c r="AL856" s="1"/>
      <c r="AM856" s="2"/>
      <c r="AN856" s="2"/>
      <c r="AQ856" s="1"/>
      <c r="BG856" s="1"/>
    </row>
    <row r="857" spans="15:59">
      <c r="O857" s="1"/>
      <c r="P857" s="1"/>
      <c r="AA857" s="1"/>
      <c r="AB857" s="1"/>
      <c r="AG857" s="1"/>
      <c r="AH857" s="1"/>
      <c r="AK857" s="1"/>
      <c r="AL857" s="1"/>
      <c r="AM857" s="2"/>
      <c r="AN857" s="2"/>
      <c r="AQ857" s="1"/>
      <c r="BG857" s="1"/>
    </row>
    <row r="858" spans="15:59">
      <c r="O858" s="1"/>
      <c r="P858" s="1"/>
      <c r="AA858" s="1"/>
      <c r="AB858" s="1"/>
      <c r="AG858" s="1"/>
      <c r="AH858" s="1"/>
      <c r="AK858" s="1"/>
      <c r="AL858" s="1"/>
      <c r="AM858" s="2"/>
      <c r="AN858" s="2"/>
      <c r="AQ858" s="1"/>
      <c r="BG858" s="1"/>
    </row>
    <row r="859" spans="15:59">
      <c r="O859" s="1"/>
      <c r="P859" s="1"/>
      <c r="AA859" s="1"/>
      <c r="AB859" s="1"/>
      <c r="AG859" s="1"/>
      <c r="AH859" s="1"/>
      <c r="AK859" s="1"/>
      <c r="AL859" s="1"/>
      <c r="AM859" s="2"/>
      <c r="AN859" s="2"/>
      <c r="AQ859" s="1"/>
      <c r="BG859" s="1"/>
    </row>
    <row r="860" spans="15:59">
      <c r="O860" s="1"/>
      <c r="P860" s="1"/>
      <c r="AA860" s="1"/>
      <c r="AB860" s="1"/>
      <c r="AG860" s="1"/>
      <c r="AH860" s="1"/>
      <c r="AK860" s="1"/>
      <c r="AL860" s="1"/>
      <c r="AM860" s="2"/>
      <c r="AN860" s="2"/>
      <c r="AQ860" s="1"/>
      <c r="BG860" s="1"/>
    </row>
    <row r="861" spans="15:59">
      <c r="O861" s="1"/>
      <c r="P861" s="1"/>
      <c r="AA861" s="1"/>
      <c r="AB861" s="1"/>
      <c r="AG861" s="1"/>
      <c r="AH861" s="1"/>
      <c r="AK861" s="1"/>
      <c r="AL861" s="1"/>
      <c r="AM861" s="2"/>
      <c r="AN861" s="2"/>
      <c r="AQ861" s="1"/>
      <c r="BG861" s="1"/>
    </row>
    <row r="862" spans="15:59">
      <c r="O862" s="1"/>
      <c r="P862" s="1"/>
      <c r="AA862" s="1"/>
      <c r="AB862" s="1"/>
      <c r="AG862" s="1"/>
      <c r="AH862" s="1"/>
      <c r="AK862" s="1"/>
      <c r="AL862" s="1"/>
      <c r="AM862" s="2"/>
      <c r="AN862" s="2"/>
      <c r="AQ862" s="1"/>
      <c r="BG862" s="1"/>
    </row>
    <row r="863" spans="15:59">
      <c r="O863" s="1"/>
      <c r="P863" s="1"/>
      <c r="AA863" s="1"/>
      <c r="AB863" s="1"/>
      <c r="AG863" s="1"/>
      <c r="AH863" s="1"/>
      <c r="AK863" s="1"/>
      <c r="AL863" s="1"/>
      <c r="AM863" s="2"/>
      <c r="AN863" s="2"/>
      <c r="AQ863" s="1"/>
      <c r="BG863" s="1"/>
    </row>
    <row r="864" spans="15:59">
      <c r="O864" s="1"/>
      <c r="P864" s="1"/>
      <c r="AA864" s="1"/>
      <c r="AB864" s="1"/>
      <c r="AG864" s="1"/>
      <c r="AH864" s="1"/>
      <c r="AK864" s="1"/>
      <c r="AL864" s="1"/>
      <c r="AM864" s="2"/>
      <c r="AN864" s="2"/>
      <c r="AQ864" s="1"/>
      <c r="BG864" s="1"/>
    </row>
    <row r="865" spans="15:59">
      <c r="O865" s="1"/>
      <c r="P865" s="1"/>
      <c r="AA865" s="1"/>
      <c r="AB865" s="1"/>
      <c r="AG865" s="1"/>
      <c r="AH865" s="1"/>
      <c r="AK865" s="1"/>
      <c r="AL865" s="1"/>
      <c r="AM865" s="2"/>
      <c r="AN865" s="2"/>
      <c r="AQ865" s="1"/>
      <c r="BG865" s="1"/>
    </row>
    <row r="866" spans="15:59">
      <c r="O866" s="1"/>
      <c r="P866" s="1"/>
      <c r="AA866" s="1"/>
      <c r="AB866" s="1"/>
      <c r="AG866" s="1"/>
      <c r="AH866" s="1"/>
      <c r="AK866" s="1"/>
      <c r="AL866" s="1"/>
      <c r="AM866" s="2"/>
      <c r="AN866" s="2"/>
      <c r="AQ866" s="1"/>
      <c r="BG866" s="1"/>
    </row>
    <row r="867" spans="15:59">
      <c r="O867" s="1"/>
      <c r="P867" s="1"/>
      <c r="AA867" s="1"/>
      <c r="AB867" s="1"/>
      <c r="AG867" s="1"/>
      <c r="AH867" s="1"/>
      <c r="AK867" s="1"/>
      <c r="AL867" s="1"/>
      <c r="AM867" s="2"/>
      <c r="AN867" s="2"/>
      <c r="AQ867" s="1"/>
      <c r="BG867" s="1"/>
    </row>
    <row r="868" spans="15:59">
      <c r="O868" s="1"/>
      <c r="P868" s="1"/>
      <c r="AA868" s="1"/>
      <c r="AB868" s="1"/>
      <c r="AG868" s="1"/>
      <c r="AH868" s="1"/>
      <c r="AK868" s="1"/>
      <c r="AL868" s="1"/>
      <c r="AM868" s="2"/>
      <c r="AN868" s="2"/>
      <c r="AQ868" s="1"/>
      <c r="BG868" s="1"/>
    </row>
    <row r="869" spans="15:59">
      <c r="O869" s="1"/>
      <c r="P869" s="1"/>
      <c r="AA869" s="1"/>
      <c r="AB869" s="1"/>
      <c r="AG869" s="1"/>
      <c r="AH869" s="1"/>
      <c r="AK869" s="1"/>
      <c r="AL869" s="1"/>
      <c r="AM869" s="2"/>
      <c r="AN869" s="2"/>
      <c r="AQ869" s="1"/>
      <c r="BG869" s="1"/>
    </row>
    <row r="870" spans="15:59">
      <c r="O870" s="1"/>
      <c r="P870" s="1"/>
      <c r="AA870" s="1"/>
      <c r="AB870" s="1"/>
      <c r="AG870" s="1"/>
      <c r="AH870" s="1"/>
      <c r="AK870" s="1"/>
      <c r="AL870" s="1"/>
      <c r="AM870" s="2"/>
      <c r="AN870" s="2"/>
      <c r="AQ870" s="1"/>
      <c r="BG870" s="1"/>
    </row>
    <row r="871" spans="15:59">
      <c r="O871" s="1"/>
      <c r="P871" s="1"/>
      <c r="AA871" s="1"/>
      <c r="AB871" s="1"/>
      <c r="AG871" s="1"/>
      <c r="AH871" s="1"/>
      <c r="AK871" s="1"/>
      <c r="AL871" s="1"/>
      <c r="AM871" s="2"/>
      <c r="AN871" s="2"/>
      <c r="AQ871" s="1"/>
      <c r="BG871" s="1"/>
    </row>
    <row r="872" spans="15:59">
      <c r="O872" s="1"/>
      <c r="P872" s="1"/>
      <c r="AA872" s="1"/>
      <c r="AB872" s="1"/>
      <c r="AG872" s="1"/>
      <c r="AH872" s="1"/>
      <c r="AK872" s="1"/>
      <c r="AL872" s="1"/>
      <c r="AM872" s="2"/>
      <c r="AN872" s="2"/>
      <c r="AQ872" s="1"/>
      <c r="BG872" s="1"/>
    </row>
    <row r="873" spans="15:59">
      <c r="O873" s="1"/>
      <c r="P873" s="1"/>
      <c r="AA873" s="1"/>
      <c r="AB873" s="1"/>
      <c r="AG873" s="1"/>
      <c r="AH873" s="1"/>
      <c r="AK873" s="1"/>
      <c r="AL873" s="1"/>
      <c r="AM873" s="2"/>
      <c r="AN873" s="2"/>
      <c r="AQ873" s="1"/>
      <c r="BG873" s="1"/>
    </row>
    <row r="874" spans="15:59">
      <c r="O874" s="1"/>
      <c r="P874" s="1"/>
      <c r="AA874" s="1"/>
      <c r="AB874" s="1"/>
      <c r="AG874" s="1"/>
      <c r="AH874" s="1"/>
      <c r="AK874" s="1"/>
      <c r="AL874" s="1"/>
      <c r="AM874" s="2"/>
      <c r="AN874" s="2"/>
      <c r="AQ874" s="1"/>
      <c r="BG874" s="1"/>
    </row>
    <row r="875" spans="15:59">
      <c r="O875" s="1"/>
      <c r="P875" s="1"/>
      <c r="AA875" s="1"/>
      <c r="AB875" s="1"/>
      <c r="AG875" s="1"/>
      <c r="AH875" s="1"/>
      <c r="AK875" s="1"/>
      <c r="AL875" s="1"/>
      <c r="AM875" s="2"/>
      <c r="AN875" s="2"/>
      <c r="AQ875" s="1"/>
      <c r="BG875" s="1"/>
    </row>
    <row r="876" spans="15:59">
      <c r="O876" s="1"/>
      <c r="P876" s="1"/>
      <c r="AA876" s="1"/>
      <c r="AB876" s="1"/>
      <c r="AG876" s="1"/>
      <c r="AH876" s="1"/>
      <c r="AK876" s="1"/>
      <c r="AL876" s="1"/>
      <c r="AM876" s="2"/>
      <c r="AN876" s="2"/>
      <c r="AQ876" s="1"/>
      <c r="BG876" s="1"/>
    </row>
    <row r="877" spans="15:59">
      <c r="O877" s="1"/>
      <c r="P877" s="1"/>
      <c r="AA877" s="1"/>
      <c r="AB877" s="1"/>
      <c r="AG877" s="1"/>
      <c r="AH877" s="1"/>
      <c r="AK877" s="1"/>
      <c r="AL877" s="1"/>
      <c r="AM877" s="2"/>
      <c r="AN877" s="2"/>
      <c r="AQ877" s="1"/>
      <c r="BG877" s="1"/>
    </row>
    <row r="878" spans="15:59">
      <c r="O878" s="1"/>
      <c r="P878" s="1"/>
      <c r="AA878" s="1"/>
      <c r="AB878" s="1"/>
      <c r="AG878" s="1"/>
      <c r="AH878" s="1"/>
      <c r="AK878" s="1"/>
      <c r="AL878" s="1"/>
      <c r="AM878" s="2"/>
      <c r="AN878" s="2"/>
      <c r="AQ878" s="1"/>
      <c r="BG878" s="1"/>
    </row>
    <row r="879" spans="15:59">
      <c r="O879" s="1"/>
      <c r="P879" s="1"/>
      <c r="AA879" s="1"/>
      <c r="AB879" s="1"/>
      <c r="AG879" s="1"/>
      <c r="AH879" s="1"/>
      <c r="AK879" s="1"/>
      <c r="AL879" s="1"/>
      <c r="AM879" s="2"/>
      <c r="AN879" s="2"/>
      <c r="AQ879" s="1"/>
      <c r="BG879" s="1"/>
    </row>
    <row r="880" spans="15:59">
      <c r="O880" s="1"/>
      <c r="P880" s="1"/>
      <c r="AA880" s="1"/>
      <c r="AB880" s="1"/>
      <c r="AG880" s="1"/>
      <c r="AH880" s="1"/>
      <c r="AK880" s="1"/>
      <c r="AL880" s="1"/>
      <c r="AM880" s="2"/>
      <c r="AN880" s="2"/>
      <c r="AQ880" s="1"/>
      <c r="BG880" s="1"/>
    </row>
    <row r="881" spans="15:59">
      <c r="O881" s="1"/>
      <c r="P881" s="1"/>
      <c r="AA881" s="1"/>
      <c r="AB881" s="1"/>
      <c r="AG881" s="1"/>
      <c r="AH881" s="1"/>
      <c r="AK881" s="1"/>
      <c r="AL881" s="1"/>
      <c r="AM881" s="2"/>
      <c r="AN881" s="2"/>
      <c r="AQ881" s="1"/>
      <c r="BG881" s="1"/>
    </row>
    <row r="882" spans="15:59">
      <c r="O882" s="1"/>
      <c r="P882" s="1"/>
      <c r="AA882" s="1"/>
      <c r="AB882" s="1"/>
      <c r="AG882" s="1"/>
      <c r="AH882" s="1"/>
      <c r="AK882" s="1"/>
      <c r="AL882" s="1"/>
      <c r="AM882" s="2"/>
      <c r="AN882" s="2"/>
      <c r="AQ882" s="1"/>
      <c r="BG882" s="1"/>
    </row>
    <row r="883" spans="15:59">
      <c r="O883" s="1"/>
      <c r="P883" s="1"/>
      <c r="AA883" s="1"/>
      <c r="AB883" s="1"/>
      <c r="AG883" s="1"/>
      <c r="AH883" s="1"/>
      <c r="AK883" s="1"/>
      <c r="AL883" s="1"/>
      <c r="AM883" s="2"/>
      <c r="AN883" s="2"/>
      <c r="AQ883" s="1"/>
      <c r="BG883" s="1"/>
    </row>
    <row r="884" spans="15:59">
      <c r="O884" s="1"/>
      <c r="P884" s="1"/>
      <c r="AA884" s="1"/>
      <c r="AB884" s="1"/>
      <c r="AG884" s="1"/>
      <c r="AH884" s="1"/>
      <c r="AK884" s="1"/>
      <c r="AL884" s="1"/>
      <c r="AM884" s="2"/>
      <c r="AN884" s="2"/>
      <c r="AQ884" s="1"/>
      <c r="BG884" s="1"/>
    </row>
    <row r="885" spans="15:59">
      <c r="O885" s="1"/>
      <c r="P885" s="1"/>
      <c r="AA885" s="1"/>
      <c r="AB885" s="1"/>
      <c r="AG885" s="1"/>
      <c r="AH885" s="1"/>
      <c r="AK885" s="1"/>
      <c r="AL885" s="1"/>
      <c r="AM885" s="2"/>
      <c r="AN885" s="2"/>
      <c r="AQ885" s="1"/>
      <c r="BG885" s="1"/>
    </row>
    <row r="886" spans="15:59">
      <c r="O886" s="1"/>
      <c r="P886" s="1"/>
      <c r="AA886" s="1"/>
      <c r="AB886" s="1"/>
      <c r="AG886" s="1"/>
      <c r="AH886" s="1"/>
      <c r="AK886" s="1"/>
      <c r="AL886" s="1"/>
      <c r="AM886" s="2"/>
      <c r="AN886" s="2"/>
      <c r="AQ886" s="1"/>
      <c r="BG886" s="1"/>
    </row>
    <row r="887" spans="15:59">
      <c r="O887" s="1"/>
      <c r="P887" s="1"/>
      <c r="AA887" s="1"/>
      <c r="AB887" s="1"/>
      <c r="AG887" s="1"/>
      <c r="AH887" s="1"/>
      <c r="AK887" s="1"/>
      <c r="AL887" s="1"/>
      <c r="AM887" s="2"/>
      <c r="AN887" s="2"/>
      <c r="AQ887" s="1"/>
      <c r="BG887" s="1"/>
    </row>
    <row r="888" spans="15:59">
      <c r="O888" s="1"/>
      <c r="P888" s="1"/>
      <c r="AA888" s="1"/>
      <c r="AB888" s="1"/>
      <c r="AG888" s="1"/>
      <c r="AH888" s="1"/>
      <c r="AK888" s="1"/>
      <c r="AL888" s="1"/>
      <c r="AM888" s="2"/>
      <c r="AN888" s="2"/>
      <c r="AQ888" s="1"/>
      <c r="BG888" s="1"/>
    </row>
    <row r="889" spans="15:59">
      <c r="O889" s="1"/>
      <c r="P889" s="1"/>
      <c r="AA889" s="1"/>
      <c r="AB889" s="1"/>
      <c r="AG889" s="1"/>
      <c r="AH889" s="1"/>
      <c r="AK889" s="1"/>
      <c r="AL889" s="1"/>
      <c r="AM889" s="2"/>
      <c r="AN889" s="2"/>
      <c r="AQ889" s="1"/>
      <c r="BG889" s="1"/>
    </row>
    <row r="890" spans="15:59">
      <c r="O890" s="1"/>
      <c r="P890" s="1"/>
      <c r="AA890" s="1"/>
      <c r="AB890" s="1"/>
      <c r="AG890" s="1"/>
      <c r="AH890" s="1"/>
      <c r="AK890" s="1"/>
      <c r="AL890" s="1"/>
      <c r="AM890" s="2"/>
      <c r="AN890" s="2"/>
      <c r="AQ890" s="1"/>
      <c r="BG890" s="1"/>
    </row>
    <row r="891" spans="15:59">
      <c r="O891" s="1"/>
      <c r="P891" s="1"/>
      <c r="AA891" s="1"/>
      <c r="AB891" s="1"/>
      <c r="AG891" s="1"/>
      <c r="AH891" s="1"/>
      <c r="AK891" s="1"/>
      <c r="AL891" s="1"/>
      <c r="AM891" s="2"/>
      <c r="AN891" s="2"/>
      <c r="AQ891" s="1"/>
      <c r="BG891" s="1"/>
    </row>
    <row r="892" spans="15:59">
      <c r="O892" s="1"/>
      <c r="P892" s="1"/>
      <c r="AA892" s="1"/>
      <c r="AB892" s="1"/>
      <c r="AG892" s="1"/>
      <c r="AH892" s="1"/>
      <c r="AK892" s="1"/>
      <c r="AL892" s="1"/>
      <c r="AM892" s="2"/>
      <c r="AN892" s="2"/>
      <c r="AQ892" s="1"/>
      <c r="BG892" s="1"/>
    </row>
    <row r="893" spans="15:59">
      <c r="O893" s="1"/>
      <c r="P893" s="1"/>
      <c r="AA893" s="1"/>
      <c r="AB893" s="1"/>
      <c r="AG893" s="1"/>
      <c r="AH893" s="1"/>
      <c r="AK893" s="1"/>
      <c r="AL893" s="1"/>
      <c r="AM893" s="2"/>
      <c r="AN893" s="2"/>
      <c r="AQ893" s="1"/>
      <c r="BG893" s="1"/>
    </row>
    <row r="894" spans="15:59">
      <c r="O894" s="1"/>
      <c r="P894" s="1"/>
      <c r="AA894" s="1"/>
      <c r="AB894" s="1"/>
      <c r="AG894" s="1"/>
      <c r="AH894" s="1"/>
      <c r="AK894" s="1"/>
      <c r="AL894" s="1"/>
      <c r="AM894" s="2"/>
      <c r="AN894" s="2"/>
      <c r="AQ894" s="1"/>
      <c r="BG894" s="1"/>
    </row>
    <row r="895" spans="15:59">
      <c r="O895" s="1"/>
      <c r="P895" s="1"/>
      <c r="AA895" s="1"/>
      <c r="AB895" s="1"/>
      <c r="AG895" s="1"/>
      <c r="AH895" s="1"/>
      <c r="AK895" s="1"/>
      <c r="AL895" s="1"/>
      <c r="AM895" s="2"/>
      <c r="AN895" s="2"/>
      <c r="AQ895" s="1"/>
      <c r="BG895" s="1"/>
    </row>
    <row r="896" spans="15:59">
      <c r="O896" s="1"/>
      <c r="P896" s="1"/>
      <c r="AA896" s="1"/>
      <c r="AB896" s="1"/>
      <c r="AG896" s="1"/>
      <c r="AH896" s="1"/>
      <c r="AK896" s="1"/>
      <c r="AL896" s="1"/>
      <c r="AM896" s="2"/>
      <c r="AN896" s="2"/>
      <c r="AQ896" s="1"/>
      <c r="BG896" s="1"/>
    </row>
    <row r="897" spans="15:59">
      <c r="O897" s="1"/>
      <c r="P897" s="1"/>
      <c r="AA897" s="1"/>
      <c r="AB897" s="1"/>
      <c r="AG897" s="1"/>
      <c r="AH897" s="1"/>
      <c r="AK897" s="1"/>
      <c r="AL897" s="1"/>
      <c r="AM897" s="2"/>
      <c r="AN897" s="2"/>
      <c r="AQ897" s="1"/>
      <c r="BG897" s="1"/>
    </row>
    <row r="898" spans="15:59">
      <c r="O898" s="1"/>
      <c r="P898" s="1"/>
      <c r="AA898" s="1"/>
      <c r="AB898" s="1"/>
      <c r="AG898" s="1"/>
      <c r="AH898" s="1"/>
      <c r="AK898" s="1"/>
      <c r="AL898" s="1"/>
      <c r="AM898" s="2"/>
      <c r="AN898" s="2"/>
      <c r="AQ898" s="1"/>
      <c r="BG898" s="1"/>
    </row>
    <row r="899" spans="15:59">
      <c r="O899" s="1"/>
      <c r="P899" s="1"/>
      <c r="AA899" s="1"/>
      <c r="AB899" s="1"/>
      <c r="AG899" s="1"/>
      <c r="AH899" s="1"/>
      <c r="AK899" s="1"/>
      <c r="AL899" s="1"/>
      <c r="AM899" s="2"/>
      <c r="AN899" s="2"/>
      <c r="AQ899" s="1"/>
      <c r="BG899" s="1"/>
    </row>
    <row r="900" spans="15:59">
      <c r="O900" s="1"/>
      <c r="P900" s="1"/>
      <c r="AA900" s="1"/>
      <c r="AB900" s="1"/>
      <c r="AG900" s="1"/>
      <c r="AH900" s="1"/>
      <c r="AK900" s="1"/>
      <c r="AL900" s="1"/>
      <c r="AM900" s="2"/>
      <c r="AN900" s="2"/>
      <c r="AQ900" s="1"/>
      <c r="BG900" s="1"/>
    </row>
    <row r="901" spans="15:59">
      <c r="O901" s="1"/>
      <c r="P901" s="1"/>
      <c r="AA901" s="1"/>
      <c r="AB901" s="1"/>
      <c r="AG901" s="1"/>
      <c r="AH901" s="1"/>
      <c r="AK901" s="1"/>
      <c r="AL901" s="1"/>
      <c r="AM901" s="2"/>
      <c r="AN901" s="2"/>
      <c r="AQ901" s="1"/>
      <c r="BG901" s="1"/>
    </row>
    <row r="902" spans="15:59">
      <c r="O902" s="1"/>
      <c r="P902" s="1"/>
      <c r="AA902" s="1"/>
      <c r="AB902" s="1"/>
      <c r="AG902" s="1"/>
      <c r="AH902" s="1"/>
      <c r="AK902" s="1"/>
      <c r="AL902" s="1"/>
      <c r="AM902" s="2"/>
      <c r="AN902" s="2"/>
      <c r="AQ902" s="1"/>
      <c r="BG902" s="1"/>
    </row>
    <row r="903" spans="15:59">
      <c r="O903" s="1"/>
      <c r="P903" s="1"/>
      <c r="AA903" s="1"/>
      <c r="AB903" s="1"/>
      <c r="AG903" s="1"/>
      <c r="AH903" s="1"/>
      <c r="AK903" s="1"/>
      <c r="AL903" s="1"/>
      <c r="AM903" s="2"/>
      <c r="AN903" s="2"/>
      <c r="AQ903" s="1"/>
      <c r="BG903" s="1"/>
    </row>
    <row r="904" spans="15:59">
      <c r="O904" s="1"/>
      <c r="P904" s="1"/>
      <c r="AA904" s="1"/>
      <c r="AB904" s="1"/>
      <c r="AG904" s="1"/>
      <c r="AH904" s="1"/>
      <c r="AK904" s="1"/>
      <c r="AL904" s="1"/>
      <c r="AM904" s="2"/>
      <c r="AN904" s="2"/>
      <c r="AQ904" s="1"/>
      <c r="BG904" s="1"/>
    </row>
    <row r="905" spans="15:59">
      <c r="O905" s="1"/>
      <c r="P905" s="1"/>
      <c r="AA905" s="1"/>
      <c r="AB905" s="1"/>
      <c r="AG905" s="1"/>
      <c r="AH905" s="1"/>
      <c r="AK905" s="1"/>
      <c r="AL905" s="1"/>
      <c r="AM905" s="2"/>
      <c r="AN905" s="2"/>
      <c r="AQ905" s="1"/>
      <c r="BG905" s="1"/>
    </row>
    <row r="906" spans="15:59">
      <c r="O906" s="1"/>
      <c r="P906" s="1"/>
      <c r="AA906" s="1"/>
      <c r="AB906" s="1"/>
      <c r="AG906" s="1"/>
      <c r="AH906" s="1"/>
      <c r="AK906" s="1"/>
      <c r="AL906" s="1"/>
      <c r="AM906" s="2"/>
      <c r="AN906" s="2"/>
      <c r="AQ906" s="1"/>
      <c r="BG906" s="1"/>
    </row>
    <row r="907" spans="15:59">
      <c r="O907" s="1"/>
      <c r="P907" s="1"/>
      <c r="AA907" s="1"/>
      <c r="AB907" s="1"/>
      <c r="AG907" s="1"/>
      <c r="AH907" s="1"/>
      <c r="AK907" s="1"/>
      <c r="AL907" s="1"/>
      <c r="AM907" s="2"/>
      <c r="AN907" s="2"/>
      <c r="AQ907" s="1"/>
      <c r="BG907" s="1"/>
    </row>
    <row r="908" spans="15:59">
      <c r="O908" s="1"/>
      <c r="P908" s="1"/>
      <c r="AA908" s="1"/>
      <c r="AB908" s="1"/>
      <c r="AG908" s="1"/>
      <c r="AH908" s="1"/>
      <c r="AK908" s="1"/>
      <c r="AL908" s="1"/>
      <c r="AM908" s="2"/>
      <c r="AN908" s="2"/>
      <c r="AQ908" s="1"/>
      <c r="BG908" s="1"/>
    </row>
    <row r="909" spans="15:59">
      <c r="O909" s="1"/>
      <c r="P909" s="1"/>
      <c r="AA909" s="1"/>
      <c r="AB909" s="1"/>
      <c r="AG909" s="1"/>
      <c r="AH909" s="1"/>
      <c r="AK909" s="1"/>
      <c r="AL909" s="1"/>
      <c r="AM909" s="2"/>
      <c r="AN909" s="2"/>
      <c r="AQ909" s="1"/>
      <c r="BG909" s="1"/>
    </row>
    <row r="910" spans="15:59">
      <c r="O910" s="1"/>
      <c r="P910" s="1"/>
      <c r="AA910" s="1"/>
      <c r="AB910" s="1"/>
      <c r="AG910" s="1"/>
      <c r="AH910" s="1"/>
      <c r="AK910" s="1"/>
      <c r="AL910" s="1"/>
      <c r="AM910" s="2"/>
      <c r="AN910" s="2"/>
      <c r="AQ910" s="1"/>
      <c r="BG910" s="1"/>
    </row>
    <row r="911" spans="15:59">
      <c r="O911" s="1"/>
      <c r="P911" s="1"/>
      <c r="AA911" s="1"/>
      <c r="AB911" s="1"/>
      <c r="AG911" s="1"/>
      <c r="AH911" s="1"/>
      <c r="AK911" s="1"/>
      <c r="AL911" s="1"/>
      <c r="AM911" s="2"/>
      <c r="AN911" s="2"/>
      <c r="AQ911" s="1"/>
      <c r="BG911" s="1"/>
    </row>
    <row r="912" spans="15:59">
      <c r="O912" s="1"/>
      <c r="P912" s="1"/>
      <c r="AA912" s="1"/>
      <c r="AB912" s="1"/>
      <c r="AG912" s="1"/>
      <c r="AH912" s="1"/>
      <c r="AK912" s="1"/>
      <c r="AL912" s="1"/>
      <c r="AM912" s="2"/>
      <c r="AN912" s="2"/>
      <c r="AQ912" s="1"/>
      <c r="BG912" s="1"/>
    </row>
    <row r="913" spans="15:59">
      <c r="O913" s="1"/>
      <c r="P913" s="1"/>
      <c r="AA913" s="1"/>
      <c r="AB913" s="1"/>
      <c r="AG913" s="1"/>
      <c r="AH913" s="1"/>
      <c r="AK913" s="1"/>
      <c r="AL913" s="1"/>
      <c r="AM913" s="2"/>
      <c r="AN913" s="2"/>
      <c r="AQ913" s="1"/>
      <c r="BG913" s="1"/>
    </row>
    <row r="914" spans="15:59">
      <c r="O914" s="1"/>
      <c r="P914" s="1"/>
      <c r="AA914" s="1"/>
      <c r="AB914" s="1"/>
      <c r="AG914" s="1"/>
      <c r="AH914" s="1"/>
      <c r="AK914" s="1"/>
      <c r="AL914" s="1"/>
      <c r="AM914" s="2"/>
      <c r="AN914" s="2"/>
      <c r="AQ914" s="1"/>
      <c r="BG914" s="1"/>
    </row>
    <row r="915" spans="15:59">
      <c r="O915" s="1"/>
      <c r="P915" s="1"/>
      <c r="AA915" s="1"/>
      <c r="AB915" s="1"/>
      <c r="AG915" s="1"/>
      <c r="AH915" s="1"/>
      <c r="AK915" s="1"/>
      <c r="AL915" s="1"/>
      <c r="AM915" s="2"/>
      <c r="AN915" s="2"/>
      <c r="AQ915" s="1"/>
      <c r="BG915" s="1"/>
    </row>
    <row r="916" spans="15:59">
      <c r="O916" s="1"/>
      <c r="P916" s="1"/>
      <c r="AA916" s="1"/>
      <c r="AB916" s="1"/>
      <c r="AG916" s="1"/>
      <c r="AH916" s="1"/>
      <c r="AK916" s="1"/>
      <c r="AL916" s="1"/>
      <c r="AM916" s="2"/>
      <c r="AN916" s="2"/>
      <c r="AQ916" s="1"/>
      <c r="BG916" s="1"/>
    </row>
    <row r="917" spans="15:59">
      <c r="O917" s="1"/>
      <c r="P917" s="1"/>
      <c r="AA917" s="1"/>
      <c r="AB917" s="1"/>
      <c r="AG917" s="1"/>
      <c r="AH917" s="1"/>
      <c r="AK917" s="1"/>
      <c r="AL917" s="1"/>
      <c r="AM917" s="2"/>
      <c r="AN917" s="2"/>
      <c r="AQ917" s="1"/>
      <c r="BG917" s="1"/>
    </row>
    <row r="918" spans="15:59">
      <c r="O918" s="1"/>
      <c r="P918" s="1"/>
      <c r="AA918" s="1"/>
      <c r="AB918" s="1"/>
      <c r="AG918" s="1"/>
      <c r="AH918" s="1"/>
      <c r="AK918" s="1"/>
      <c r="AL918" s="1"/>
      <c r="AM918" s="2"/>
      <c r="AN918" s="2"/>
      <c r="AQ918" s="1"/>
      <c r="BG918" s="1"/>
    </row>
    <row r="919" spans="15:59">
      <c r="O919" s="1"/>
      <c r="P919" s="1"/>
      <c r="AA919" s="1"/>
      <c r="AB919" s="1"/>
      <c r="AG919" s="1"/>
      <c r="AH919" s="1"/>
      <c r="AK919" s="1"/>
      <c r="AL919" s="1"/>
      <c r="AM919" s="2"/>
      <c r="AN919" s="2"/>
      <c r="AQ919" s="1"/>
      <c r="BG919" s="1"/>
    </row>
    <row r="920" spans="15:59">
      <c r="O920" s="1"/>
      <c r="P920" s="1"/>
      <c r="AA920" s="1"/>
      <c r="AB920" s="1"/>
      <c r="AG920" s="1"/>
      <c r="AH920" s="1"/>
      <c r="AK920" s="1"/>
      <c r="AL920" s="1"/>
      <c r="AM920" s="2"/>
      <c r="AN920" s="2"/>
      <c r="AQ920" s="1"/>
      <c r="BG920" s="1"/>
    </row>
    <row r="921" spans="15:59">
      <c r="O921" s="1"/>
      <c r="P921" s="1"/>
      <c r="AA921" s="1"/>
      <c r="AB921" s="1"/>
      <c r="AG921" s="1"/>
      <c r="AH921" s="1"/>
      <c r="AK921" s="1"/>
      <c r="AL921" s="1"/>
      <c r="AM921" s="2"/>
      <c r="AN921" s="2"/>
      <c r="AQ921" s="1"/>
      <c r="BG921" s="1"/>
    </row>
    <row r="922" spans="15:59">
      <c r="O922" s="1"/>
      <c r="P922" s="1"/>
      <c r="AA922" s="1"/>
      <c r="AB922" s="1"/>
      <c r="AG922" s="1"/>
      <c r="AH922" s="1"/>
      <c r="AK922" s="1"/>
      <c r="AL922" s="1"/>
      <c r="AM922" s="2"/>
      <c r="AN922" s="2"/>
      <c r="AQ922" s="1"/>
      <c r="BG922" s="1"/>
    </row>
    <row r="923" spans="15:59">
      <c r="O923" s="1"/>
      <c r="P923" s="1"/>
      <c r="AA923" s="1"/>
      <c r="AB923" s="1"/>
      <c r="AG923" s="1"/>
      <c r="AH923" s="1"/>
      <c r="AK923" s="1"/>
      <c r="AL923" s="1"/>
      <c r="AM923" s="2"/>
      <c r="AN923" s="2"/>
      <c r="AQ923" s="1"/>
      <c r="BG923" s="1"/>
    </row>
    <row r="924" spans="15:59">
      <c r="O924" s="1"/>
      <c r="P924" s="1"/>
      <c r="AA924" s="1"/>
      <c r="AB924" s="1"/>
      <c r="AG924" s="1"/>
      <c r="AH924" s="1"/>
      <c r="AK924" s="1"/>
      <c r="AL924" s="1"/>
      <c r="AM924" s="2"/>
      <c r="AN924" s="2"/>
      <c r="AQ924" s="1"/>
      <c r="BG924" s="1"/>
    </row>
    <row r="925" spans="15:59">
      <c r="O925" s="1"/>
      <c r="P925" s="1"/>
      <c r="AA925" s="1"/>
      <c r="AB925" s="1"/>
      <c r="AG925" s="1"/>
      <c r="AH925" s="1"/>
      <c r="AK925" s="1"/>
      <c r="AL925" s="1"/>
      <c r="AM925" s="2"/>
      <c r="AN925" s="2"/>
      <c r="AQ925" s="1"/>
      <c r="BG925" s="1"/>
    </row>
    <row r="926" spans="15:59">
      <c r="O926" s="1"/>
      <c r="P926" s="1"/>
      <c r="AA926" s="1"/>
      <c r="AB926" s="1"/>
      <c r="AG926" s="1"/>
      <c r="AH926" s="1"/>
      <c r="AK926" s="1"/>
      <c r="AL926" s="1"/>
      <c r="AM926" s="2"/>
      <c r="AN926" s="2"/>
      <c r="AQ926" s="1"/>
      <c r="BG926" s="1"/>
    </row>
    <row r="927" spans="15:59">
      <c r="O927" s="1"/>
      <c r="P927" s="1"/>
      <c r="AA927" s="1"/>
      <c r="AB927" s="1"/>
      <c r="AG927" s="1"/>
      <c r="AH927" s="1"/>
      <c r="AK927" s="1"/>
      <c r="AL927" s="1"/>
      <c r="AM927" s="2"/>
      <c r="AN927" s="2"/>
      <c r="AQ927" s="1"/>
      <c r="BG927" s="1"/>
    </row>
    <row r="928" spans="15:59">
      <c r="O928" s="1"/>
      <c r="P928" s="1"/>
      <c r="AA928" s="1"/>
      <c r="AB928" s="1"/>
      <c r="AG928" s="1"/>
      <c r="AH928" s="1"/>
      <c r="AK928" s="1"/>
      <c r="AL928" s="1"/>
      <c r="AM928" s="2"/>
      <c r="AN928" s="2"/>
      <c r="AQ928" s="1"/>
      <c r="BG928" s="1"/>
    </row>
    <row r="929" spans="15:59">
      <c r="O929" s="1"/>
      <c r="P929" s="1"/>
      <c r="AA929" s="1"/>
      <c r="AB929" s="1"/>
      <c r="AG929" s="1"/>
      <c r="AH929" s="1"/>
      <c r="AK929" s="1"/>
      <c r="AL929" s="1"/>
      <c r="AM929" s="2"/>
      <c r="AN929" s="2"/>
      <c r="AQ929" s="1"/>
      <c r="BG929" s="1"/>
    </row>
    <row r="930" spans="15:59">
      <c r="O930" s="1"/>
      <c r="P930" s="1"/>
      <c r="AA930" s="1"/>
      <c r="AB930" s="1"/>
      <c r="AG930" s="1"/>
      <c r="AH930" s="1"/>
      <c r="AK930" s="1"/>
      <c r="AL930" s="1"/>
      <c r="AM930" s="2"/>
      <c r="AN930" s="2"/>
      <c r="AQ930" s="1"/>
      <c r="BG930" s="1"/>
    </row>
    <row r="931" spans="15:59">
      <c r="O931" s="1"/>
      <c r="P931" s="1"/>
      <c r="AA931" s="1"/>
      <c r="AB931" s="1"/>
      <c r="AG931" s="1"/>
      <c r="AH931" s="1"/>
      <c r="AK931" s="1"/>
      <c r="AL931" s="1"/>
      <c r="AM931" s="2"/>
      <c r="AN931" s="2"/>
      <c r="AQ931" s="1"/>
      <c r="BG931" s="1"/>
    </row>
    <row r="932" spans="15:59">
      <c r="O932" s="1"/>
      <c r="P932" s="1"/>
      <c r="AA932" s="1"/>
      <c r="AB932" s="1"/>
      <c r="AG932" s="1"/>
      <c r="AH932" s="1"/>
      <c r="AK932" s="1"/>
      <c r="AL932" s="1"/>
      <c r="AM932" s="2"/>
      <c r="AN932" s="2"/>
      <c r="AQ932" s="1"/>
      <c r="BG932" s="1"/>
    </row>
    <row r="933" spans="15:59">
      <c r="O933" s="1"/>
      <c r="P933" s="1"/>
      <c r="AA933" s="1"/>
      <c r="AB933" s="1"/>
      <c r="AG933" s="1"/>
      <c r="AH933" s="1"/>
      <c r="AK933" s="1"/>
      <c r="AL933" s="1"/>
      <c r="AM933" s="2"/>
      <c r="AN933" s="2"/>
      <c r="AQ933" s="1"/>
      <c r="BG933" s="1"/>
    </row>
    <row r="934" spans="15:59">
      <c r="O934" s="1"/>
      <c r="P934" s="1"/>
      <c r="AA934" s="1"/>
      <c r="AB934" s="1"/>
      <c r="AG934" s="1"/>
      <c r="AH934" s="1"/>
      <c r="AK934" s="1"/>
      <c r="AL934" s="1"/>
      <c r="AM934" s="2"/>
      <c r="AN934" s="2"/>
      <c r="AQ934" s="1"/>
      <c r="BG934" s="1"/>
    </row>
    <row r="935" spans="15:59">
      <c r="O935" s="1"/>
      <c r="P935" s="1"/>
      <c r="AA935" s="1"/>
      <c r="AB935" s="1"/>
      <c r="AG935" s="1"/>
      <c r="AH935" s="1"/>
      <c r="AK935" s="1"/>
      <c r="AL935" s="1"/>
      <c r="AM935" s="2"/>
      <c r="AN935" s="2"/>
      <c r="AQ935" s="1"/>
      <c r="BG935" s="1"/>
    </row>
    <row r="936" spans="15:59">
      <c r="O936" s="1"/>
      <c r="P936" s="1"/>
      <c r="AA936" s="1"/>
      <c r="AB936" s="1"/>
      <c r="AG936" s="1"/>
      <c r="AH936" s="1"/>
      <c r="AK936" s="1"/>
      <c r="AL936" s="1"/>
      <c r="AM936" s="2"/>
      <c r="AN936" s="2"/>
      <c r="AQ936" s="1"/>
      <c r="BG936" s="1"/>
    </row>
    <row r="937" spans="15:59">
      <c r="O937" s="1"/>
      <c r="P937" s="1"/>
      <c r="AA937" s="1"/>
      <c r="AB937" s="1"/>
      <c r="AG937" s="1"/>
      <c r="AH937" s="1"/>
      <c r="AK937" s="1"/>
      <c r="AL937" s="1"/>
      <c r="AM937" s="2"/>
      <c r="AN937" s="2"/>
      <c r="AQ937" s="1"/>
      <c r="BG937" s="1"/>
    </row>
    <row r="938" spans="15:59">
      <c r="O938" s="1"/>
      <c r="P938" s="1"/>
      <c r="AA938" s="1"/>
      <c r="AB938" s="1"/>
      <c r="AG938" s="1"/>
      <c r="AH938" s="1"/>
      <c r="AK938" s="1"/>
      <c r="AL938" s="1"/>
      <c r="AM938" s="2"/>
      <c r="AN938" s="2"/>
      <c r="AQ938" s="1"/>
      <c r="BG938" s="1"/>
    </row>
    <row r="939" spans="15:59">
      <c r="O939" s="1"/>
      <c r="P939" s="1"/>
      <c r="AA939" s="1"/>
      <c r="AB939" s="1"/>
      <c r="AG939" s="1"/>
      <c r="AH939" s="1"/>
      <c r="AK939" s="1"/>
      <c r="AL939" s="1"/>
      <c r="AM939" s="2"/>
      <c r="AN939" s="2"/>
      <c r="AQ939" s="1"/>
      <c r="BG939" s="1"/>
    </row>
    <row r="940" spans="15:59">
      <c r="O940" s="1"/>
      <c r="P940" s="1"/>
      <c r="AA940" s="1"/>
      <c r="AB940" s="1"/>
      <c r="AG940" s="1"/>
      <c r="AH940" s="1"/>
      <c r="AK940" s="1"/>
      <c r="AL940" s="1"/>
      <c r="AM940" s="2"/>
      <c r="AN940" s="2"/>
      <c r="AQ940" s="1"/>
      <c r="BG940" s="1"/>
    </row>
    <row r="941" spans="15:59">
      <c r="O941" s="1"/>
      <c r="P941" s="1"/>
      <c r="AA941" s="1"/>
      <c r="AB941" s="1"/>
      <c r="AG941" s="1"/>
      <c r="AH941" s="1"/>
      <c r="AK941" s="1"/>
      <c r="AL941" s="1"/>
      <c r="AM941" s="2"/>
      <c r="AN941" s="2"/>
      <c r="AQ941" s="1"/>
      <c r="BG941" s="1"/>
    </row>
    <row r="942" spans="15:59">
      <c r="O942" s="1"/>
      <c r="P942" s="1"/>
      <c r="AA942" s="1"/>
      <c r="AB942" s="1"/>
      <c r="AG942" s="1"/>
      <c r="AH942" s="1"/>
      <c r="AK942" s="1"/>
      <c r="AL942" s="1"/>
      <c r="AM942" s="2"/>
      <c r="AN942" s="2"/>
      <c r="AQ942" s="1"/>
      <c r="BG942" s="1"/>
    </row>
    <row r="943" spans="15:59">
      <c r="O943" s="1"/>
      <c r="P943" s="1"/>
      <c r="AA943" s="1"/>
      <c r="AB943" s="1"/>
      <c r="AG943" s="1"/>
      <c r="AH943" s="1"/>
      <c r="AK943" s="1"/>
      <c r="AL943" s="1"/>
      <c r="AM943" s="2"/>
      <c r="AN943" s="2"/>
      <c r="AQ943" s="1"/>
      <c r="BG943" s="1"/>
    </row>
    <row r="944" spans="15:59">
      <c r="O944" s="1"/>
      <c r="P944" s="1"/>
      <c r="AA944" s="1"/>
      <c r="AB944" s="1"/>
      <c r="AG944" s="1"/>
      <c r="AH944" s="1"/>
      <c r="AK944" s="1"/>
      <c r="AL944" s="1"/>
      <c r="AM944" s="2"/>
      <c r="AN944" s="2"/>
      <c r="AQ944" s="1"/>
      <c r="BG944" s="1"/>
    </row>
    <row r="945" spans="15:59">
      <c r="O945" s="1"/>
      <c r="P945" s="1"/>
      <c r="AA945" s="1"/>
      <c r="AB945" s="1"/>
      <c r="AG945" s="1"/>
      <c r="AH945" s="1"/>
      <c r="AK945" s="1"/>
      <c r="AL945" s="1"/>
      <c r="AM945" s="2"/>
      <c r="AN945" s="2"/>
      <c r="AQ945" s="1"/>
      <c r="BG945" s="1"/>
    </row>
    <row r="946" spans="15:59">
      <c r="O946" s="1"/>
      <c r="P946" s="1"/>
      <c r="AA946" s="1"/>
      <c r="AB946" s="1"/>
      <c r="AG946" s="1"/>
      <c r="AH946" s="1"/>
      <c r="AK946" s="1"/>
      <c r="AL946" s="1"/>
      <c r="AM946" s="2"/>
      <c r="AN946" s="2"/>
      <c r="AQ946" s="1"/>
      <c r="BG946" s="1"/>
    </row>
    <row r="947" spans="15:59">
      <c r="O947" s="1"/>
      <c r="P947" s="1"/>
      <c r="AA947" s="1"/>
      <c r="AB947" s="1"/>
      <c r="AG947" s="1"/>
      <c r="AH947" s="1"/>
      <c r="AK947" s="1"/>
      <c r="AL947" s="1"/>
      <c r="AM947" s="2"/>
      <c r="AN947" s="2"/>
      <c r="AQ947" s="1"/>
      <c r="BG947" s="1"/>
    </row>
    <row r="948" spans="15:59">
      <c r="O948" s="1"/>
      <c r="P948" s="1"/>
      <c r="AA948" s="1"/>
      <c r="AB948" s="1"/>
      <c r="AG948" s="1"/>
      <c r="AH948" s="1"/>
      <c r="AK948" s="1"/>
      <c r="AL948" s="1"/>
      <c r="AM948" s="2"/>
      <c r="AN948" s="2"/>
      <c r="AQ948" s="1"/>
      <c r="BG948" s="1"/>
    </row>
    <row r="949" spans="15:59">
      <c r="O949" s="1"/>
      <c r="P949" s="1"/>
      <c r="AA949" s="1"/>
      <c r="AB949" s="1"/>
      <c r="AG949" s="1"/>
      <c r="AH949" s="1"/>
      <c r="AK949" s="1"/>
      <c r="AL949" s="1"/>
      <c r="AM949" s="2"/>
      <c r="AN949" s="2"/>
      <c r="AQ949" s="1"/>
      <c r="BG949" s="1"/>
    </row>
    <row r="950" spans="15:59">
      <c r="O950" s="1"/>
      <c r="P950" s="1"/>
      <c r="AA950" s="1"/>
      <c r="AB950" s="1"/>
      <c r="AG950" s="1"/>
      <c r="AH950" s="1"/>
      <c r="AK950" s="1"/>
      <c r="AL950" s="1"/>
      <c r="AM950" s="2"/>
      <c r="AN950" s="2"/>
      <c r="AQ950" s="1"/>
      <c r="BG950" s="1"/>
    </row>
    <row r="951" spans="15:59">
      <c r="O951" s="1"/>
      <c r="P951" s="1"/>
      <c r="AA951" s="1"/>
      <c r="AB951" s="1"/>
      <c r="AG951" s="1"/>
      <c r="AH951" s="1"/>
      <c r="AK951" s="1"/>
      <c r="AL951" s="1"/>
      <c r="AM951" s="2"/>
      <c r="AN951" s="2"/>
      <c r="AQ951" s="1"/>
      <c r="BG951" s="1"/>
    </row>
    <row r="952" spans="15:59">
      <c r="O952" s="1"/>
      <c r="P952" s="1"/>
      <c r="AA952" s="1"/>
      <c r="AB952" s="1"/>
      <c r="AG952" s="1"/>
      <c r="AH952" s="1"/>
      <c r="AK952" s="1"/>
      <c r="AL952" s="1"/>
      <c r="AM952" s="2"/>
      <c r="AN952" s="2"/>
      <c r="AQ952" s="1"/>
      <c r="BG952" s="1"/>
    </row>
    <row r="953" spans="15:59">
      <c r="O953" s="1"/>
      <c r="P953" s="1"/>
      <c r="AA953" s="1"/>
      <c r="AB953" s="1"/>
      <c r="AG953" s="1"/>
      <c r="AH953" s="1"/>
      <c r="AK953" s="1"/>
      <c r="AL953" s="1"/>
      <c r="AM953" s="2"/>
      <c r="AN953" s="2"/>
      <c r="AQ953" s="1"/>
      <c r="BG953" s="1"/>
    </row>
    <row r="954" spans="15:59">
      <c r="O954" s="1"/>
      <c r="P954" s="1"/>
      <c r="AA954" s="1"/>
      <c r="AB954" s="1"/>
      <c r="AG954" s="1"/>
      <c r="AH954" s="1"/>
      <c r="AK954" s="1"/>
      <c r="AL954" s="1"/>
      <c r="AM954" s="2"/>
      <c r="AN954" s="2"/>
      <c r="AQ954" s="1"/>
      <c r="BG954" s="1"/>
    </row>
    <row r="955" spans="15:59">
      <c r="O955" s="1"/>
      <c r="P955" s="1"/>
      <c r="AA955" s="1"/>
      <c r="AB955" s="1"/>
      <c r="AG955" s="1"/>
      <c r="AH955" s="1"/>
      <c r="AK955" s="1"/>
      <c r="AL955" s="1"/>
      <c r="AM955" s="2"/>
      <c r="AN955" s="2"/>
      <c r="AQ955" s="1"/>
      <c r="BG955" s="1"/>
    </row>
    <row r="956" spans="15:59">
      <c r="O956" s="1"/>
      <c r="P956" s="1"/>
      <c r="AA956" s="1"/>
      <c r="AB956" s="1"/>
      <c r="AG956" s="1"/>
      <c r="AH956" s="1"/>
      <c r="AK956" s="1"/>
      <c r="AL956" s="1"/>
      <c r="AM956" s="2"/>
      <c r="AN956" s="2"/>
      <c r="AQ956" s="1"/>
      <c r="BG956" s="1"/>
    </row>
    <row r="957" spans="15:59">
      <c r="O957" s="1"/>
      <c r="P957" s="1"/>
      <c r="AA957" s="1"/>
      <c r="AB957" s="1"/>
      <c r="AG957" s="1"/>
      <c r="AH957" s="1"/>
      <c r="AK957" s="1"/>
      <c r="AL957" s="1"/>
      <c r="AM957" s="2"/>
      <c r="AN957" s="2"/>
      <c r="AQ957" s="1"/>
      <c r="BG957" s="1"/>
    </row>
    <row r="958" spans="15:59">
      <c r="O958" s="1"/>
      <c r="P958" s="1"/>
      <c r="AA958" s="1"/>
      <c r="AB958" s="1"/>
      <c r="AG958" s="1"/>
      <c r="AH958" s="1"/>
      <c r="AK958" s="1"/>
      <c r="AL958" s="1"/>
      <c r="AM958" s="2"/>
      <c r="AN958" s="2"/>
      <c r="AQ958" s="1"/>
      <c r="BG958" s="1"/>
    </row>
    <row r="959" spans="15:59">
      <c r="O959" s="1"/>
      <c r="P959" s="1"/>
      <c r="AA959" s="1"/>
      <c r="AB959" s="1"/>
      <c r="AG959" s="1"/>
      <c r="AH959" s="1"/>
      <c r="AK959" s="1"/>
      <c r="AL959" s="1"/>
      <c r="AM959" s="2"/>
      <c r="AN959" s="2"/>
      <c r="AQ959" s="1"/>
      <c r="BG959" s="1"/>
    </row>
    <row r="960" spans="15:59">
      <c r="O960" s="1"/>
      <c r="P960" s="1"/>
      <c r="AA960" s="1"/>
      <c r="AB960" s="1"/>
      <c r="AG960" s="1"/>
      <c r="AH960" s="1"/>
      <c r="AK960" s="1"/>
      <c r="AL960" s="1"/>
      <c r="AM960" s="2"/>
      <c r="AN960" s="2"/>
      <c r="AQ960" s="1"/>
      <c r="BG960" s="1"/>
    </row>
    <row r="961" spans="15:59">
      <c r="O961" s="1"/>
      <c r="P961" s="1"/>
      <c r="AA961" s="1"/>
      <c r="AB961" s="1"/>
      <c r="AG961" s="1"/>
      <c r="AH961" s="1"/>
      <c r="AK961" s="1"/>
      <c r="AL961" s="1"/>
      <c r="AM961" s="2"/>
      <c r="AN961" s="2"/>
      <c r="AQ961" s="1"/>
      <c r="BG961" s="1"/>
    </row>
    <row r="962" spans="15:59">
      <c r="O962" s="1"/>
      <c r="P962" s="1"/>
      <c r="AA962" s="1"/>
      <c r="AB962" s="1"/>
      <c r="AG962" s="1"/>
      <c r="AH962" s="1"/>
      <c r="AK962" s="1"/>
      <c r="AL962" s="1"/>
      <c r="AM962" s="2"/>
      <c r="AN962" s="2"/>
      <c r="AQ962" s="1"/>
      <c r="BG962" s="1"/>
    </row>
    <row r="963" spans="15:59">
      <c r="O963" s="1"/>
      <c r="P963" s="1"/>
      <c r="AA963" s="1"/>
      <c r="AB963" s="1"/>
      <c r="AG963" s="1"/>
      <c r="AH963" s="1"/>
      <c r="AK963" s="1"/>
      <c r="AL963" s="1"/>
      <c r="AM963" s="2"/>
      <c r="AN963" s="2"/>
      <c r="AQ963" s="1"/>
      <c r="BG963" s="1"/>
    </row>
    <row r="964" spans="15:59">
      <c r="O964" s="1"/>
      <c r="P964" s="1"/>
      <c r="AA964" s="1"/>
      <c r="AB964" s="1"/>
      <c r="AG964" s="1"/>
      <c r="AH964" s="1"/>
      <c r="AK964" s="1"/>
      <c r="AL964" s="1"/>
      <c r="AM964" s="2"/>
      <c r="AN964" s="2"/>
      <c r="AQ964" s="1"/>
      <c r="BG964" s="1"/>
    </row>
    <row r="965" spans="15:59">
      <c r="O965" s="1"/>
      <c r="P965" s="1"/>
      <c r="AA965" s="1"/>
      <c r="AB965" s="1"/>
      <c r="AG965" s="1"/>
      <c r="AH965" s="1"/>
      <c r="AK965" s="1"/>
      <c r="AL965" s="1"/>
      <c r="AM965" s="2"/>
      <c r="AN965" s="2"/>
      <c r="AQ965" s="1"/>
      <c r="BG965" s="1"/>
    </row>
    <row r="966" spans="15:59">
      <c r="O966" s="1"/>
      <c r="P966" s="1"/>
      <c r="AA966" s="1"/>
      <c r="AB966" s="1"/>
      <c r="AG966" s="1"/>
      <c r="AH966" s="1"/>
      <c r="AK966" s="1"/>
      <c r="AL966" s="1"/>
      <c r="AM966" s="2"/>
      <c r="AN966" s="2"/>
      <c r="AQ966" s="1"/>
      <c r="BG966" s="1"/>
    </row>
    <row r="967" spans="15:59">
      <c r="O967" s="1"/>
      <c r="P967" s="1"/>
      <c r="AA967" s="1"/>
      <c r="AB967" s="1"/>
      <c r="AG967" s="1"/>
      <c r="AH967" s="1"/>
      <c r="AK967" s="1"/>
      <c r="AL967" s="1"/>
      <c r="AM967" s="2"/>
      <c r="AN967" s="2"/>
      <c r="AQ967" s="1"/>
      <c r="BG967" s="1"/>
    </row>
    <row r="968" spans="15:59">
      <c r="O968" s="1"/>
      <c r="P968" s="1"/>
      <c r="AA968" s="1"/>
      <c r="AB968" s="1"/>
      <c r="AG968" s="1"/>
      <c r="AH968" s="1"/>
      <c r="AK968" s="1"/>
      <c r="AL968" s="1"/>
      <c r="AM968" s="2"/>
      <c r="AN968" s="2"/>
      <c r="AQ968" s="1"/>
      <c r="BG968" s="1"/>
    </row>
    <row r="969" spans="15:59">
      <c r="O969" s="1"/>
      <c r="P969" s="1"/>
      <c r="AA969" s="1"/>
      <c r="AB969" s="1"/>
      <c r="AG969" s="1"/>
      <c r="AH969" s="1"/>
      <c r="AK969" s="1"/>
      <c r="AL969" s="1"/>
      <c r="AM969" s="2"/>
      <c r="AN969" s="2"/>
      <c r="AQ969" s="1"/>
      <c r="BG969" s="1"/>
    </row>
    <row r="970" spans="15:59">
      <c r="O970" s="1"/>
      <c r="P970" s="1"/>
      <c r="AA970" s="1"/>
      <c r="AB970" s="1"/>
      <c r="AG970" s="1"/>
      <c r="AH970" s="1"/>
      <c r="AK970" s="1"/>
      <c r="AL970" s="1"/>
      <c r="AM970" s="2"/>
      <c r="AN970" s="2"/>
      <c r="AQ970" s="1"/>
      <c r="BG970" s="1"/>
    </row>
    <row r="971" spans="15:59">
      <c r="O971" s="1"/>
      <c r="P971" s="1"/>
      <c r="AA971" s="1"/>
      <c r="AB971" s="1"/>
      <c r="AG971" s="1"/>
      <c r="AH971" s="1"/>
      <c r="AK971" s="1"/>
      <c r="AL971" s="1"/>
      <c r="AM971" s="2"/>
      <c r="AN971" s="2"/>
      <c r="AQ971" s="1"/>
      <c r="BG971" s="1"/>
    </row>
    <row r="972" spans="15:59">
      <c r="O972" s="1"/>
      <c r="P972" s="1"/>
      <c r="AA972" s="1"/>
      <c r="AB972" s="1"/>
      <c r="AG972" s="1"/>
      <c r="AH972" s="1"/>
      <c r="AK972" s="1"/>
      <c r="AL972" s="1"/>
      <c r="AM972" s="2"/>
      <c r="AN972" s="2"/>
      <c r="AQ972" s="1"/>
      <c r="BG972" s="1"/>
    </row>
    <row r="973" spans="15:59">
      <c r="O973" s="1"/>
      <c r="P973" s="1"/>
      <c r="AA973" s="1"/>
      <c r="AB973" s="1"/>
      <c r="AG973" s="1"/>
      <c r="AH973" s="1"/>
      <c r="AK973" s="1"/>
      <c r="AL973" s="1"/>
      <c r="AM973" s="2"/>
      <c r="AN973" s="2"/>
      <c r="AQ973" s="1"/>
      <c r="BG973" s="1"/>
    </row>
    <row r="974" spans="15:59">
      <c r="O974" s="1"/>
      <c r="P974" s="1"/>
      <c r="AA974" s="1"/>
      <c r="AB974" s="1"/>
      <c r="AG974" s="1"/>
      <c r="AH974" s="1"/>
      <c r="AK974" s="1"/>
      <c r="AL974" s="1"/>
      <c r="AM974" s="2"/>
      <c r="AN974" s="2"/>
      <c r="AQ974" s="1"/>
      <c r="BG974" s="1"/>
    </row>
    <row r="975" spans="15:59">
      <c r="O975" s="1"/>
      <c r="P975" s="1"/>
      <c r="AA975" s="1"/>
      <c r="AB975" s="1"/>
      <c r="AG975" s="1"/>
      <c r="AH975" s="1"/>
      <c r="AK975" s="1"/>
      <c r="AL975" s="1"/>
      <c r="AM975" s="2"/>
      <c r="AN975" s="2"/>
      <c r="AQ975" s="1"/>
      <c r="BG975" s="1"/>
    </row>
    <row r="976" spans="15:59">
      <c r="O976" s="1"/>
      <c r="P976" s="1"/>
      <c r="AA976" s="1"/>
      <c r="AB976" s="1"/>
      <c r="AG976" s="1"/>
      <c r="AH976" s="1"/>
      <c r="AK976" s="1"/>
      <c r="AL976" s="1"/>
      <c r="AM976" s="2"/>
      <c r="AN976" s="2"/>
      <c r="AQ976" s="1"/>
      <c r="BG976" s="1"/>
    </row>
    <row r="977" spans="15:59">
      <c r="O977" s="1"/>
      <c r="P977" s="1"/>
      <c r="AA977" s="1"/>
      <c r="AB977" s="1"/>
      <c r="AG977" s="1"/>
      <c r="AH977" s="1"/>
      <c r="AK977" s="1"/>
      <c r="AL977" s="1"/>
      <c r="AM977" s="2"/>
      <c r="AN977" s="2"/>
      <c r="AQ977" s="1"/>
      <c r="BG977" s="1"/>
    </row>
    <row r="978" spans="15:59">
      <c r="O978" s="1"/>
      <c r="P978" s="1"/>
      <c r="AA978" s="1"/>
      <c r="AB978" s="1"/>
      <c r="AG978" s="1"/>
      <c r="AH978" s="1"/>
      <c r="AK978" s="1"/>
      <c r="AL978" s="1"/>
      <c r="AM978" s="2"/>
      <c r="AN978" s="2"/>
      <c r="AQ978" s="1"/>
      <c r="BG978" s="1"/>
    </row>
    <row r="979" spans="15:59">
      <c r="O979" s="1"/>
      <c r="P979" s="1"/>
      <c r="AA979" s="1"/>
      <c r="AB979" s="1"/>
      <c r="AG979" s="1"/>
      <c r="AH979" s="1"/>
      <c r="AK979" s="1"/>
      <c r="AL979" s="1"/>
      <c r="AM979" s="2"/>
      <c r="AN979" s="2"/>
      <c r="AQ979" s="1"/>
      <c r="BG979" s="1"/>
    </row>
    <row r="980" spans="15:59">
      <c r="O980" s="1"/>
      <c r="P980" s="1"/>
      <c r="AA980" s="1"/>
      <c r="AB980" s="1"/>
      <c r="AG980" s="1"/>
      <c r="AH980" s="1"/>
      <c r="AK980" s="1"/>
      <c r="AL980" s="1"/>
      <c r="AM980" s="2"/>
      <c r="AN980" s="2"/>
      <c r="AQ980" s="1"/>
      <c r="BG980" s="1"/>
    </row>
    <row r="981" spans="15:59">
      <c r="O981" s="1"/>
      <c r="P981" s="1"/>
      <c r="AA981" s="1"/>
      <c r="AB981" s="1"/>
      <c r="AG981" s="1"/>
      <c r="AH981" s="1"/>
      <c r="AK981" s="1"/>
      <c r="AL981" s="1"/>
      <c r="AM981" s="2"/>
      <c r="AN981" s="2"/>
      <c r="AQ981" s="1"/>
      <c r="BG981" s="1"/>
    </row>
    <row r="982" spans="15:59">
      <c r="O982" s="1"/>
      <c r="P982" s="1"/>
      <c r="AA982" s="1"/>
      <c r="AB982" s="1"/>
      <c r="AG982" s="1"/>
      <c r="AH982" s="1"/>
      <c r="AK982" s="1"/>
      <c r="AL982" s="1"/>
      <c r="AM982" s="2"/>
      <c r="AN982" s="2"/>
      <c r="AQ982" s="1"/>
      <c r="BG982" s="1"/>
    </row>
    <row r="983" spans="15:59">
      <c r="O983" s="1"/>
      <c r="P983" s="1"/>
      <c r="AA983" s="1"/>
      <c r="AB983" s="1"/>
      <c r="AG983" s="1"/>
      <c r="AH983" s="1"/>
      <c r="AK983" s="1"/>
      <c r="AL983" s="1"/>
      <c r="AM983" s="2"/>
      <c r="AN983" s="2"/>
      <c r="AQ983" s="1"/>
      <c r="BG983" s="1"/>
    </row>
    <row r="984" spans="15:59">
      <c r="O984" s="1"/>
      <c r="P984" s="1"/>
      <c r="AA984" s="1"/>
      <c r="AB984" s="1"/>
      <c r="AG984" s="1"/>
      <c r="AH984" s="1"/>
      <c r="AK984" s="1"/>
      <c r="AL984" s="1"/>
      <c r="AM984" s="2"/>
      <c r="AN984" s="2"/>
      <c r="AQ984" s="1"/>
      <c r="BG984" s="1"/>
    </row>
    <row r="985" spans="15:59">
      <c r="O985" s="1"/>
      <c r="P985" s="1"/>
      <c r="AA985" s="1"/>
      <c r="AB985" s="1"/>
      <c r="AG985" s="1"/>
      <c r="AH985" s="1"/>
      <c r="AK985" s="1"/>
      <c r="AL985" s="1"/>
      <c r="AM985" s="2"/>
      <c r="AN985" s="2"/>
      <c r="AQ985" s="1"/>
      <c r="BG985" s="1"/>
    </row>
    <row r="986" spans="15:59">
      <c r="O986" s="1"/>
      <c r="P986" s="1"/>
      <c r="AA986" s="1"/>
      <c r="AB986" s="1"/>
      <c r="AG986" s="1"/>
      <c r="AH986" s="1"/>
      <c r="AK986" s="1"/>
      <c r="AL986" s="1"/>
      <c r="AM986" s="2"/>
      <c r="AN986" s="2"/>
      <c r="AQ986" s="1"/>
      <c r="BG986" s="1"/>
    </row>
    <row r="987" spans="15:59">
      <c r="O987" s="1"/>
      <c r="P987" s="1"/>
      <c r="AA987" s="1"/>
      <c r="AB987" s="1"/>
      <c r="AG987" s="1"/>
      <c r="AH987" s="1"/>
      <c r="AK987" s="1"/>
      <c r="AL987" s="1"/>
      <c r="AM987" s="2"/>
      <c r="AN987" s="2"/>
      <c r="AQ987" s="1"/>
      <c r="BG987" s="1"/>
    </row>
    <row r="988" spans="15:59">
      <c r="O988" s="1"/>
      <c r="P988" s="1"/>
      <c r="AA988" s="1"/>
      <c r="AB988" s="1"/>
      <c r="AG988" s="1"/>
      <c r="AH988" s="1"/>
      <c r="AK988" s="1"/>
      <c r="AL988" s="1"/>
      <c r="AM988" s="2"/>
      <c r="AN988" s="2"/>
      <c r="AQ988" s="1"/>
      <c r="BG988" s="1"/>
    </row>
    <row r="989" spans="15:59">
      <c r="O989" s="1"/>
      <c r="P989" s="1"/>
      <c r="AA989" s="1"/>
      <c r="AB989" s="1"/>
      <c r="AG989" s="1"/>
      <c r="AH989" s="1"/>
      <c r="AK989" s="1"/>
      <c r="AL989" s="1"/>
      <c r="AM989" s="2"/>
      <c r="AN989" s="2"/>
      <c r="AQ989" s="1"/>
      <c r="BG989" s="1"/>
    </row>
    <row r="990" spans="15:59">
      <c r="O990" s="1"/>
      <c r="P990" s="1"/>
      <c r="AA990" s="1"/>
      <c r="AB990" s="1"/>
      <c r="AG990" s="1"/>
      <c r="AH990" s="1"/>
      <c r="AK990" s="1"/>
      <c r="AL990" s="1"/>
      <c r="AM990" s="2"/>
      <c r="AN990" s="2"/>
      <c r="AQ990" s="1"/>
      <c r="BG990" s="1"/>
    </row>
    <row r="991" spans="15:59">
      <c r="O991" s="1"/>
      <c r="P991" s="1"/>
      <c r="AA991" s="1"/>
      <c r="AB991" s="1"/>
      <c r="AG991" s="1"/>
      <c r="AH991" s="1"/>
      <c r="AK991" s="1"/>
      <c r="AL991" s="1"/>
      <c r="AM991" s="2"/>
      <c r="AN991" s="2"/>
      <c r="AQ991" s="1"/>
      <c r="BG991" s="1"/>
    </row>
    <row r="992" spans="15:59">
      <c r="O992" s="1"/>
      <c r="P992" s="1"/>
      <c r="AA992" s="1"/>
      <c r="AB992" s="1"/>
      <c r="AG992" s="1"/>
      <c r="AH992" s="1"/>
      <c r="AK992" s="1"/>
      <c r="AL992" s="1"/>
      <c r="AM992" s="2"/>
      <c r="AN992" s="2"/>
      <c r="AQ992" s="1"/>
      <c r="BG992" s="1"/>
    </row>
    <row r="993" spans="15:59">
      <c r="O993" s="1"/>
      <c r="P993" s="1"/>
      <c r="AA993" s="1"/>
      <c r="AB993" s="1"/>
      <c r="AG993" s="1"/>
      <c r="AH993" s="1"/>
      <c r="AK993" s="1"/>
      <c r="AL993" s="1"/>
      <c r="AM993" s="2"/>
      <c r="AN993" s="2"/>
      <c r="AQ993" s="1"/>
      <c r="BG993" s="1"/>
    </row>
    <row r="994" spans="15:59">
      <c r="O994" s="1"/>
      <c r="P994" s="1"/>
      <c r="AA994" s="1"/>
      <c r="AB994" s="1"/>
      <c r="AG994" s="1"/>
      <c r="AH994" s="1"/>
      <c r="AK994" s="1"/>
      <c r="AL994" s="1"/>
      <c r="AM994" s="2"/>
      <c r="AN994" s="2"/>
      <c r="AQ994" s="1"/>
      <c r="BG994" s="1"/>
    </row>
    <row r="995" spans="15:59">
      <c r="O995" s="1"/>
      <c r="P995" s="1"/>
      <c r="AA995" s="1"/>
      <c r="AB995" s="1"/>
      <c r="AG995" s="1"/>
      <c r="AH995" s="1"/>
      <c r="AK995" s="1"/>
      <c r="AL995" s="1"/>
      <c r="AM995" s="2"/>
      <c r="AN995" s="2"/>
      <c r="AQ995" s="1"/>
      <c r="BG995" s="1"/>
    </row>
    <row r="996" spans="15:59">
      <c r="O996" s="1"/>
      <c r="P996" s="1"/>
      <c r="AA996" s="1"/>
      <c r="AB996" s="1"/>
      <c r="AG996" s="1"/>
      <c r="AH996" s="1"/>
      <c r="AK996" s="1"/>
      <c r="AL996" s="1"/>
      <c r="AM996" s="2"/>
      <c r="AN996" s="2"/>
      <c r="AQ996" s="1"/>
      <c r="BG996" s="1"/>
    </row>
    <row r="997" spans="15:59">
      <c r="O997" s="1"/>
      <c r="P997" s="1"/>
      <c r="AA997" s="1"/>
      <c r="AB997" s="1"/>
      <c r="AG997" s="1"/>
      <c r="AH997" s="1"/>
      <c r="AK997" s="1"/>
      <c r="AL997" s="1"/>
      <c r="AM997" s="2"/>
      <c r="AN997" s="2"/>
      <c r="AQ997" s="1"/>
      <c r="BG997" s="1"/>
    </row>
    <row r="998" spans="15:59">
      <c r="O998" s="1"/>
      <c r="P998" s="1"/>
      <c r="AA998" s="1"/>
      <c r="AB998" s="1"/>
      <c r="AG998" s="1"/>
      <c r="AH998" s="1"/>
      <c r="AK998" s="1"/>
      <c r="AL998" s="1"/>
      <c r="AM998" s="2"/>
      <c r="AN998" s="2"/>
      <c r="AQ998" s="1"/>
      <c r="BG998" s="1"/>
    </row>
    <row r="999" spans="15:59">
      <c r="O999" s="1"/>
      <c r="P999" s="1"/>
      <c r="AA999" s="1"/>
      <c r="AB999" s="1"/>
      <c r="AG999" s="1"/>
      <c r="AH999" s="1"/>
      <c r="AK999" s="1"/>
      <c r="AL999" s="1"/>
      <c r="AM999" s="2"/>
      <c r="AN999" s="2"/>
      <c r="AQ999" s="1"/>
      <c r="BG999" s="1"/>
    </row>
    <row r="1000" spans="15:59">
      <c r="O1000" s="1"/>
      <c r="P1000" s="1"/>
      <c r="AA1000" s="1"/>
      <c r="AB1000" s="1"/>
      <c r="AG1000" s="1"/>
      <c r="AH1000" s="1"/>
      <c r="AK1000" s="1"/>
      <c r="AL1000" s="1"/>
      <c r="AM1000" s="2"/>
      <c r="AN1000" s="2"/>
      <c r="AQ1000" s="1"/>
      <c r="BG1000" s="1"/>
    </row>
    <row r="1001" spans="15:59">
      <c r="O1001" s="1"/>
      <c r="P1001" s="1"/>
      <c r="AA1001" s="1"/>
      <c r="AB1001" s="1"/>
      <c r="AG1001" s="1"/>
      <c r="AH1001" s="1"/>
      <c r="AK1001" s="1"/>
      <c r="AL1001" s="1"/>
      <c r="AM1001" s="2"/>
      <c r="AN1001" s="2"/>
      <c r="AQ1001" s="1"/>
      <c r="BG1001" s="1"/>
    </row>
    <row r="1002" spans="15:59">
      <c r="O1002" s="1"/>
      <c r="P1002" s="1"/>
      <c r="AA1002" s="1"/>
      <c r="AB1002" s="1"/>
      <c r="AG1002" s="1"/>
      <c r="AH1002" s="1"/>
      <c r="AK1002" s="1"/>
      <c r="AL1002" s="1"/>
      <c r="AM1002" s="2"/>
      <c r="AN1002" s="2"/>
      <c r="AQ1002" s="1"/>
      <c r="BG1002" s="1"/>
    </row>
    <row r="1003" spans="15:59">
      <c r="O1003" s="1"/>
      <c r="P1003" s="1"/>
      <c r="AA1003" s="1"/>
      <c r="AB1003" s="1"/>
      <c r="AG1003" s="1"/>
      <c r="AH1003" s="1"/>
      <c r="AK1003" s="1"/>
      <c r="AL1003" s="1"/>
      <c r="AM1003" s="2"/>
      <c r="AN1003" s="2"/>
      <c r="AQ1003" s="1"/>
      <c r="BG1003" s="1"/>
    </row>
    <row r="1004" spans="15:59">
      <c r="O1004" s="1"/>
      <c r="P1004" s="1"/>
      <c r="AA1004" s="1"/>
      <c r="AB1004" s="1"/>
      <c r="AG1004" s="1"/>
      <c r="AH1004" s="1"/>
      <c r="AK1004" s="1"/>
      <c r="AL1004" s="1"/>
      <c r="AM1004" s="2"/>
      <c r="AN1004" s="2"/>
      <c r="AQ1004" s="1"/>
      <c r="BG1004" s="1"/>
    </row>
    <row r="1005" spans="15:59">
      <c r="O1005" s="1"/>
      <c r="P1005" s="1"/>
      <c r="AA1005" s="1"/>
      <c r="AB1005" s="1"/>
      <c r="AG1005" s="1"/>
      <c r="AH1005" s="1"/>
      <c r="AK1005" s="1"/>
      <c r="AL1005" s="1"/>
      <c r="AM1005" s="2"/>
      <c r="AN1005" s="2"/>
      <c r="AQ1005" s="1"/>
      <c r="BG1005" s="1"/>
    </row>
    <row r="1006" spans="15:59">
      <c r="O1006" s="1"/>
      <c r="P1006" s="1"/>
      <c r="AA1006" s="1"/>
      <c r="AB1006" s="1"/>
      <c r="AG1006" s="1"/>
      <c r="AH1006" s="1"/>
      <c r="AK1006" s="1"/>
      <c r="AL1006" s="1"/>
      <c r="AM1006" s="2"/>
      <c r="AN1006" s="2"/>
      <c r="AQ1006" s="1"/>
      <c r="BG1006" s="1"/>
    </row>
    <row r="1007" spans="15:59">
      <c r="O1007" s="1"/>
      <c r="P1007" s="1"/>
      <c r="AA1007" s="1"/>
      <c r="AB1007" s="1"/>
      <c r="AG1007" s="1"/>
      <c r="AH1007" s="1"/>
      <c r="AK1007" s="1"/>
      <c r="AL1007" s="1"/>
      <c r="AM1007" s="2"/>
      <c r="AN1007" s="2"/>
      <c r="AQ1007" s="1"/>
      <c r="BG1007" s="1"/>
    </row>
    <row r="1008" spans="15:59">
      <c r="O1008" s="1"/>
      <c r="P1008" s="1"/>
      <c r="AA1008" s="1"/>
      <c r="AB1008" s="1"/>
      <c r="AG1008" s="1"/>
      <c r="AH1008" s="1"/>
      <c r="AK1008" s="1"/>
      <c r="AL1008" s="1"/>
      <c r="AM1008" s="2"/>
      <c r="AN1008" s="2"/>
      <c r="AQ1008" s="1"/>
      <c r="BG1008" s="1"/>
    </row>
    <row r="1009" spans="15:59">
      <c r="O1009" s="1"/>
      <c r="P1009" s="1"/>
      <c r="AA1009" s="1"/>
      <c r="AB1009" s="1"/>
      <c r="AG1009" s="1"/>
      <c r="AH1009" s="1"/>
      <c r="AK1009" s="1"/>
      <c r="AL1009" s="1"/>
      <c r="AM1009" s="2"/>
      <c r="AN1009" s="2"/>
      <c r="AQ1009" s="1"/>
      <c r="BG1009" s="1"/>
    </row>
    <row r="1010" spans="15:59">
      <c r="O1010" s="1"/>
      <c r="P1010" s="1"/>
      <c r="AA1010" s="1"/>
      <c r="AB1010" s="1"/>
      <c r="AG1010" s="1"/>
      <c r="AH1010" s="1"/>
      <c r="AK1010" s="1"/>
      <c r="AL1010" s="1"/>
      <c r="AM1010" s="2"/>
      <c r="AN1010" s="2"/>
      <c r="AQ1010" s="1"/>
      <c r="BG1010" s="1"/>
    </row>
    <row r="1011" spans="15:59">
      <c r="O1011" s="1"/>
      <c r="P1011" s="1"/>
      <c r="AA1011" s="1"/>
      <c r="AB1011" s="1"/>
      <c r="AG1011" s="1"/>
      <c r="AH1011" s="1"/>
      <c r="AK1011" s="1"/>
      <c r="AL1011" s="1"/>
      <c r="AM1011" s="2"/>
      <c r="AN1011" s="2"/>
      <c r="AQ1011" s="1"/>
      <c r="BG1011" s="1"/>
    </row>
    <row r="1012" spans="15:59">
      <c r="O1012" s="1"/>
      <c r="P1012" s="1"/>
      <c r="AA1012" s="1"/>
      <c r="AB1012" s="1"/>
      <c r="AG1012" s="1"/>
      <c r="AH1012" s="1"/>
      <c r="AK1012" s="1"/>
      <c r="AL1012" s="1"/>
      <c r="AM1012" s="2"/>
      <c r="AN1012" s="2"/>
      <c r="AQ1012" s="1"/>
      <c r="BG1012" s="1"/>
    </row>
    <row r="1013" spans="15:59">
      <c r="O1013" s="1"/>
      <c r="P1013" s="1"/>
      <c r="AA1013" s="1"/>
      <c r="AB1013" s="1"/>
      <c r="AG1013" s="1"/>
      <c r="AH1013" s="1"/>
      <c r="AK1013" s="1"/>
      <c r="AL1013" s="1"/>
      <c r="AM1013" s="2"/>
      <c r="AN1013" s="2"/>
      <c r="AQ1013" s="1"/>
      <c r="BG1013" s="1"/>
    </row>
    <row r="1014" spans="15:59">
      <c r="O1014" s="1"/>
      <c r="P1014" s="1"/>
      <c r="AA1014" s="1"/>
      <c r="AB1014" s="1"/>
      <c r="AG1014" s="1"/>
      <c r="AH1014" s="1"/>
      <c r="AK1014" s="1"/>
      <c r="AL1014" s="1"/>
      <c r="AM1014" s="2"/>
      <c r="AN1014" s="2"/>
      <c r="AQ1014" s="1"/>
      <c r="BG1014" s="1"/>
    </row>
    <row r="1015" spans="15:59">
      <c r="O1015" s="1"/>
      <c r="P1015" s="1"/>
      <c r="AA1015" s="1"/>
      <c r="AB1015" s="1"/>
      <c r="AG1015" s="1"/>
      <c r="AH1015" s="1"/>
      <c r="AK1015" s="1"/>
      <c r="AL1015" s="1"/>
      <c r="AM1015" s="2"/>
      <c r="AN1015" s="2"/>
      <c r="AQ1015" s="1"/>
      <c r="BG1015" s="1"/>
    </row>
    <row r="1016" spans="15:59">
      <c r="O1016" s="1"/>
      <c r="P1016" s="1"/>
      <c r="AA1016" s="1"/>
      <c r="AB1016" s="1"/>
      <c r="AG1016" s="1"/>
      <c r="AH1016" s="1"/>
      <c r="AK1016" s="1"/>
      <c r="AL1016" s="1"/>
      <c r="AM1016" s="2"/>
      <c r="AN1016" s="2"/>
      <c r="AQ1016" s="1"/>
      <c r="BG1016" s="1"/>
    </row>
    <row r="1017" spans="15:59">
      <c r="O1017" s="1"/>
      <c r="P1017" s="1"/>
      <c r="AA1017" s="1"/>
      <c r="AB1017" s="1"/>
      <c r="AG1017" s="1"/>
      <c r="AH1017" s="1"/>
      <c r="AK1017" s="1"/>
      <c r="AL1017" s="1"/>
      <c r="AM1017" s="2"/>
      <c r="AN1017" s="2"/>
      <c r="AQ1017" s="1"/>
      <c r="BG1017" s="1"/>
    </row>
    <row r="1018" spans="15:59">
      <c r="O1018" s="1"/>
      <c r="P1018" s="1"/>
      <c r="AA1018" s="1"/>
      <c r="AB1018" s="1"/>
      <c r="AG1018" s="1"/>
      <c r="AH1018" s="1"/>
      <c r="AK1018" s="1"/>
      <c r="AL1018" s="1"/>
      <c r="AM1018" s="2"/>
      <c r="AN1018" s="2"/>
      <c r="AQ1018" s="1"/>
      <c r="BG1018" s="1"/>
    </row>
    <row r="1019" spans="15:59">
      <c r="O1019" s="1"/>
      <c r="P1019" s="1"/>
      <c r="AA1019" s="1"/>
      <c r="AB1019" s="1"/>
      <c r="AG1019" s="1"/>
      <c r="AH1019" s="1"/>
      <c r="AK1019" s="1"/>
      <c r="AL1019" s="1"/>
      <c r="AM1019" s="2"/>
      <c r="AN1019" s="2"/>
      <c r="AQ1019" s="1"/>
      <c r="BG1019" s="1"/>
    </row>
    <row r="1020" spans="15:59">
      <c r="O1020" s="1"/>
      <c r="P1020" s="1"/>
      <c r="AA1020" s="1"/>
      <c r="AB1020" s="1"/>
      <c r="AG1020" s="1"/>
      <c r="AH1020" s="1"/>
      <c r="AK1020" s="1"/>
      <c r="AL1020" s="1"/>
      <c r="AM1020" s="2"/>
      <c r="AN1020" s="2"/>
      <c r="AQ1020" s="1"/>
      <c r="BG1020" s="1"/>
    </row>
    <row r="1021" spans="15:59">
      <c r="O1021" s="1"/>
      <c r="P1021" s="1"/>
      <c r="AA1021" s="1"/>
      <c r="AB1021" s="1"/>
      <c r="AG1021" s="1"/>
      <c r="AH1021" s="1"/>
      <c r="AK1021" s="1"/>
      <c r="AL1021" s="1"/>
      <c r="AM1021" s="2"/>
      <c r="AN1021" s="2"/>
      <c r="AQ1021" s="1"/>
      <c r="BG1021" s="1"/>
    </row>
    <row r="1022" spans="15:59">
      <c r="O1022" s="1"/>
      <c r="P1022" s="1"/>
      <c r="AA1022" s="1"/>
      <c r="AB1022" s="1"/>
      <c r="AG1022" s="1"/>
      <c r="AH1022" s="1"/>
      <c r="AK1022" s="1"/>
      <c r="AL1022" s="1"/>
      <c r="AM1022" s="2"/>
      <c r="AN1022" s="2"/>
      <c r="AQ1022" s="1"/>
      <c r="BG1022" s="1"/>
    </row>
    <row r="1023" spans="15:59">
      <c r="O1023" s="1"/>
      <c r="P1023" s="1"/>
      <c r="AA1023" s="1"/>
      <c r="AB1023" s="1"/>
      <c r="AG1023" s="1"/>
      <c r="AH1023" s="1"/>
      <c r="AK1023" s="1"/>
      <c r="AL1023" s="1"/>
      <c r="AM1023" s="2"/>
      <c r="AN1023" s="2"/>
      <c r="AQ1023" s="1"/>
      <c r="BG1023" s="1"/>
    </row>
    <row r="1024" spans="15:59">
      <c r="O1024" s="1"/>
      <c r="P1024" s="1"/>
      <c r="AA1024" s="1"/>
      <c r="AB1024" s="1"/>
      <c r="AG1024" s="1"/>
      <c r="AH1024" s="1"/>
      <c r="AK1024" s="1"/>
      <c r="AL1024" s="1"/>
      <c r="AM1024" s="2"/>
      <c r="AN1024" s="2"/>
      <c r="AQ1024" s="1"/>
      <c r="BG1024" s="1"/>
    </row>
    <row r="1025" spans="15:59">
      <c r="O1025" s="1"/>
      <c r="P1025" s="1"/>
      <c r="AA1025" s="1"/>
      <c r="AB1025" s="1"/>
      <c r="AG1025" s="1"/>
      <c r="AH1025" s="1"/>
      <c r="AK1025" s="1"/>
      <c r="AL1025" s="1"/>
      <c r="AM1025" s="2"/>
      <c r="AN1025" s="2"/>
      <c r="AQ1025" s="1"/>
      <c r="BG1025" s="1"/>
    </row>
    <row r="1026" spans="15:59">
      <c r="O1026" s="1"/>
      <c r="P1026" s="1"/>
      <c r="AA1026" s="1"/>
      <c r="AB1026" s="1"/>
      <c r="AG1026" s="1"/>
      <c r="AH1026" s="1"/>
      <c r="AK1026" s="1"/>
      <c r="AL1026" s="1"/>
      <c r="AM1026" s="2"/>
      <c r="AN1026" s="2"/>
      <c r="AQ1026" s="1"/>
      <c r="BG1026" s="1"/>
    </row>
    <row r="1027" spans="15:59">
      <c r="O1027" s="1"/>
      <c r="P1027" s="1"/>
      <c r="AA1027" s="1"/>
      <c r="AB1027" s="1"/>
      <c r="AG1027" s="1"/>
      <c r="AH1027" s="1"/>
      <c r="AK1027" s="1"/>
      <c r="AL1027" s="1"/>
      <c r="AM1027" s="2"/>
      <c r="AN1027" s="2"/>
      <c r="AQ1027" s="1"/>
      <c r="BG1027" s="1"/>
    </row>
    <row r="1028" spans="15:59">
      <c r="O1028" s="1"/>
      <c r="P1028" s="1"/>
      <c r="AA1028" s="1"/>
      <c r="AB1028" s="1"/>
      <c r="AG1028" s="1"/>
      <c r="AH1028" s="1"/>
      <c r="AK1028" s="1"/>
      <c r="AL1028" s="1"/>
      <c r="AM1028" s="2"/>
      <c r="AN1028" s="2"/>
      <c r="AQ1028" s="1"/>
      <c r="BG1028" s="1"/>
    </row>
    <row r="1029" spans="15:59">
      <c r="O1029" s="1"/>
      <c r="P1029" s="1"/>
      <c r="AA1029" s="1"/>
      <c r="AB1029" s="1"/>
      <c r="AG1029" s="1"/>
      <c r="AH1029" s="1"/>
      <c r="AK1029" s="1"/>
      <c r="AL1029" s="1"/>
      <c r="AM1029" s="2"/>
      <c r="AN1029" s="2"/>
      <c r="AQ1029" s="1"/>
      <c r="BG1029" s="1"/>
    </row>
    <row r="1030" spans="15:59">
      <c r="O1030" s="1"/>
      <c r="P1030" s="1"/>
      <c r="AA1030" s="1"/>
      <c r="AB1030" s="1"/>
      <c r="AG1030" s="1"/>
      <c r="AH1030" s="1"/>
      <c r="AK1030" s="1"/>
      <c r="AL1030" s="1"/>
      <c r="AM1030" s="2"/>
      <c r="AN1030" s="2"/>
      <c r="AQ1030" s="1"/>
      <c r="BG1030" s="1"/>
    </row>
    <row r="1031" spans="15:59">
      <c r="O1031" s="1"/>
      <c r="P1031" s="1"/>
      <c r="AA1031" s="1"/>
      <c r="AB1031" s="1"/>
      <c r="AG1031" s="1"/>
      <c r="AH1031" s="1"/>
      <c r="AK1031" s="1"/>
      <c r="AL1031" s="1"/>
      <c r="AM1031" s="2"/>
      <c r="AN1031" s="2"/>
      <c r="AQ1031" s="1"/>
      <c r="BG1031" s="1"/>
    </row>
    <row r="1032" spans="15:59">
      <c r="O1032" s="1"/>
      <c r="P1032" s="1"/>
      <c r="AA1032" s="1"/>
      <c r="AB1032" s="1"/>
      <c r="AG1032" s="1"/>
      <c r="AH1032" s="1"/>
      <c r="AK1032" s="1"/>
      <c r="AL1032" s="1"/>
      <c r="AM1032" s="2"/>
      <c r="AN1032" s="2"/>
      <c r="AQ1032" s="1"/>
      <c r="BG1032" s="1"/>
    </row>
    <row r="1033" spans="15:59">
      <c r="O1033" s="1"/>
      <c r="P1033" s="1"/>
      <c r="AA1033" s="1"/>
      <c r="AB1033" s="1"/>
      <c r="AG1033" s="1"/>
      <c r="AH1033" s="1"/>
      <c r="AK1033" s="1"/>
      <c r="AL1033" s="1"/>
      <c r="AM1033" s="2"/>
      <c r="AN1033" s="2"/>
      <c r="AQ1033" s="1"/>
      <c r="BG1033" s="1"/>
    </row>
    <row r="1034" spans="15:59">
      <c r="O1034" s="1"/>
      <c r="P1034" s="1"/>
      <c r="AA1034" s="1"/>
      <c r="AB1034" s="1"/>
      <c r="AG1034" s="1"/>
      <c r="AH1034" s="1"/>
      <c r="AK1034" s="1"/>
      <c r="AL1034" s="1"/>
      <c r="AM1034" s="2"/>
      <c r="AN1034" s="2"/>
      <c r="AQ1034" s="1"/>
      <c r="BG1034" s="1"/>
    </row>
    <row r="1035" spans="15:59">
      <c r="O1035" s="1"/>
      <c r="P1035" s="1"/>
      <c r="AA1035" s="1"/>
      <c r="AB1035" s="1"/>
      <c r="AG1035" s="1"/>
      <c r="AH1035" s="1"/>
      <c r="AK1035" s="1"/>
      <c r="AL1035" s="1"/>
      <c r="AM1035" s="2"/>
      <c r="AN1035" s="2"/>
      <c r="AQ1035" s="1"/>
      <c r="BG1035" s="1"/>
    </row>
    <row r="1036" spans="15:59">
      <c r="O1036" s="1"/>
      <c r="P1036" s="1"/>
      <c r="AA1036" s="1"/>
      <c r="AB1036" s="1"/>
      <c r="AG1036" s="1"/>
      <c r="AH1036" s="1"/>
      <c r="AK1036" s="1"/>
      <c r="AL1036" s="1"/>
      <c r="AM1036" s="2"/>
      <c r="AN1036" s="2"/>
      <c r="AQ1036" s="1"/>
      <c r="BG1036" s="1"/>
    </row>
    <row r="1037" spans="15:59">
      <c r="O1037" s="1"/>
      <c r="P1037" s="1"/>
      <c r="AA1037" s="1"/>
      <c r="AB1037" s="1"/>
      <c r="AG1037" s="1"/>
      <c r="AH1037" s="1"/>
      <c r="AK1037" s="1"/>
      <c r="AL1037" s="1"/>
      <c r="AM1037" s="2"/>
      <c r="AN1037" s="2"/>
      <c r="AQ1037" s="1"/>
      <c r="BG1037" s="1"/>
    </row>
    <row r="1038" spans="15:59">
      <c r="O1038" s="1"/>
      <c r="P1038" s="1"/>
      <c r="AA1038" s="1"/>
      <c r="AB1038" s="1"/>
      <c r="AG1038" s="1"/>
      <c r="AH1038" s="1"/>
      <c r="AK1038" s="1"/>
      <c r="AL1038" s="1"/>
      <c r="AM1038" s="2"/>
      <c r="AN1038" s="2"/>
      <c r="AQ1038" s="1"/>
      <c r="BG1038" s="1"/>
    </row>
    <row r="1039" spans="15:59">
      <c r="O1039" s="1"/>
      <c r="P1039" s="1"/>
      <c r="AA1039" s="1"/>
      <c r="AB1039" s="1"/>
      <c r="AG1039" s="1"/>
      <c r="AH1039" s="1"/>
      <c r="AK1039" s="1"/>
      <c r="AL1039" s="1"/>
      <c r="AM1039" s="2"/>
      <c r="AN1039" s="2"/>
      <c r="AQ1039" s="1"/>
      <c r="BG1039" s="1"/>
    </row>
    <row r="1040" spans="15:59">
      <c r="O1040" s="1"/>
      <c r="P1040" s="1"/>
      <c r="AA1040" s="1"/>
      <c r="AB1040" s="1"/>
      <c r="AG1040" s="1"/>
      <c r="AH1040" s="1"/>
      <c r="AK1040" s="1"/>
      <c r="AL1040" s="1"/>
      <c r="AM1040" s="2"/>
      <c r="AN1040" s="2"/>
      <c r="AQ1040" s="1"/>
      <c r="BG1040" s="1"/>
    </row>
    <row r="1041" spans="15:59">
      <c r="O1041" s="1"/>
      <c r="P1041" s="1"/>
      <c r="AA1041" s="1"/>
      <c r="AB1041" s="1"/>
      <c r="AG1041" s="1"/>
      <c r="AH1041" s="1"/>
      <c r="AK1041" s="1"/>
      <c r="AL1041" s="1"/>
      <c r="AM1041" s="2"/>
      <c r="AN1041" s="2"/>
      <c r="AQ1041" s="1"/>
      <c r="BG1041" s="1"/>
    </row>
    <row r="1042" spans="15:59">
      <c r="O1042" s="1"/>
      <c r="P1042" s="1"/>
      <c r="AA1042" s="1"/>
      <c r="AB1042" s="1"/>
      <c r="AG1042" s="1"/>
      <c r="AH1042" s="1"/>
      <c r="AK1042" s="1"/>
      <c r="AL1042" s="1"/>
      <c r="AM1042" s="2"/>
      <c r="AN1042" s="2"/>
      <c r="AQ1042" s="1"/>
      <c r="BG1042" s="1"/>
    </row>
    <row r="1043" spans="15:59">
      <c r="O1043" s="1"/>
      <c r="P1043" s="1"/>
      <c r="AA1043" s="1"/>
      <c r="AB1043" s="1"/>
      <c r="AG1043" s="1"/>
      <c r="AH1043" s="1"/>
      <c r="AK1043" s="1"/>
      <c r="AL1043" s="1"/>
      <c r="AM1043" s="2"/>
      <c r="AN1043" s="2"/>
      <c r="AQ1043" s="1"/>
      <c r="BG1043" s="1"/>
    </row>
    <row r="1044" spans="15:59">
      <c r="O1044" s="1"/>
      <c r="P1044" s="1"/>
      <c r="AA1044" s="1"/>
      <c r="AB1044" s="1"/>
      <c r="AG1044" s="1"/>
      <c r="AH1044" s="1"/>
      <c r="AK1044" s="1"/>
      <c r="AL1044" s="1"/>
      <c r="AM1044" s="2"/>
      <c r="AN1044" s="2"/>
      <c r="AQ1044" s="1"/>
      <c r="BG1044" s="1"/>
    </row>
    <row r="1045" spans="15:59">
      <c r="O1045" s="1"/>
      <c r="P1045" s="1"/>
      <c r="AA1045" s="1"/>
      <c r="AB1045" s="1"/>
      <c r="AG1045" s="1"/>
      <c r="AH1045" s="1"/>
      <c r="AK1045" s="1"/>
      <c r="AL1045" s="1"/>
      <c r="AM1045" s="2"/>
      <c r="AN1045" s="2"/>
      <c r="AQ1045" s="1"/>
      <c r="BG1045" s="1"/>
    </row>
    <row r="1046" spans="15:59">
      <c r="O1046" s="1"/>
      <c r="P1046" s="1"/>
      <c r="AA1046" s="1"/>
      <c r="AB1046" s="1"/>
      <c r="AG1046" s="1"/>
      <c r="AH1046" s="1"/>
      <c r="AK1046" s="1"/>
      <c r="AL1046" s="1"/>
      <c r="AM1046" s="2"/>
      <c r="AN1046" s="2"/>
      <c r="AQ1046" s="1"/>
      <c r="BG1046" s="1"/>
    </row>
    <row r="1047" spans="15:59">
      <c r="O1047" s="1"/>
      <c r="P1047" s="1"/>
      <c r="AA1047" s="1"/>
      <c r="AB1047" s="1"/>
      <c r="AG1047" s="1"/>
      <c r="AH1047" s="1"/>
      <c r="AK1047" s="1"/>
      <c r="AL1047" s="1"/>
      <c r="AM1047" s="2"/>
      <c r="AN1047" s="2"/>
      <c r="AQ1047" s="1"/>
      <c r="BG1047" s="1"/>
    </row>
    <row r="1048" spans="15:59">
      <c r="O1048" s="1"/>
      <c r="P1048" s="1"/>
      <c r="AA1048" s="1"/>
      <c r="AB1048" s="1"/>
      <c r="AG1048" s="1"/>
      <c r="AH1048" s="1"/>
      <c r="AK1048" s="1"/>
      <c r="AL1048" s="1"/>
      <c r="AM1048" s="2"/>
      <c r="AN1048" s="2"/>
      <c r="AQ1048" s="1"/>
      <c r="BG1048" s="1"/>
    </row>
    <row r="1049" spans="15:59">
      <c r="O1049" s="1"/>
      <c r="P1049" s="1"/>
      <c r="AA1049" s="1"/>
      <c r="AB1049" s="1"/>
      <c r="AG1049" s="1"/>
      <c r="AH1049" s="1"/>
      <c r="AK1049" s="1"/>
      <c r="AL1049" s="1"/>
      <c r="AM1049" s="2"/>
      <c r="AN1049" s="2"/>
      <c r="AQ1049" s="1"/>
      <c r="BG1049" s="1"/>
    </row>
    <row r="1050" spans="15:59">
      <c r="O1050" s="1"/>
      <c r="P1050" s="1"/>
      <c r="AA1050" s="1"/>
      <c r="AB1050" s="1"/>
      <c r="AG1050" s="1"/>
      <c r="AH1050" s="1"/>
      <c r="AK1050" s="1"/>
      <c r="AL1050" s="1"/>
      <c r="AM1050" s="2"/>
      <c r="AN1050" s="2"/>
      <c r="AQ1050" s="1"/>
      <c r="BG1050" s="1"/>
    </row>
    <row r="1051" spans="15:59">
      <c r="O1051" s="1"/>
      <c r="P1051" s="1"/>
      <c r="AA1051" s="1"/>
      <c r="AB1051" s="1"/>
      <c r="AG1051" s="1"/>
      <c r="AH1051" s="1"/>
      <c r="AK1051" s="1"/>
      <c r="AL1051" s="1"/>
      <c r="AM1051" s="2"/>
      <c r="AN1051" s="2"/>
      <c r="AQ1051" s="1"/>
      <c r="BG1051" s="1"/>
    </row>
    <row r="1052" spans="15:59">
      <c r="O1052" s="1"/>
      <c r="P1052" s="1"/>
      <c r="AA1052" s="1"/>
      <c r="AB1052" s="1"/>
      <c r="AG1052" s="1"/>
      <c r="AH1052" s="1"/>
      <c r="AK1052" s="1"/>
      <c r="AL1052" s="1"/>
      <c r="AM1052" s="2"/>
      <c r="AN1052" s="2"/>
      <c r="AQ1052" s="1"/>
      <c r="BG1052" s="1"/>
    </row>
    <row r="1053" spans="15:59">
      <c r="O1053" s="1"/>
      <c r="P1053" s="1"/>
      <c r="AA1053" s="1"/>
      <c r="AB1053" s="1"/>
      <c r="AG1053" s="1"/>
      <c r="AH1053" s="1"/>
      <c r="AK1053" s="1"/>
      <c r="AL1053" s="1"/>
      <c r="AM1053" s="2"/>
      <c r="AN1053" s="2"/>
      <c r="AQ1053" s="1"/>
      <c r="BG1053" s="1"/>
    </row>
    <row r="1054" spans="15:59">
      <c r="O1054" s="1"/>
      <c r="P1054" s="1"/>
      <c r="AA1054" s="1"/>
      <c r="AB1054" s="1"/>
      <c r="AG1054" s="1"/>
      <c r="AH1054" s="1"/>
      <c r="AK1054" s="1"/>
      <c r="AL1054" s="1"/>
      <c r="AM1054" s="2"/>
      <c r="AN1054" s="2"/>
      <c r="AQ1054" s="1"/>
      <c r="BG1054" s="1"/>
    </row>
    <row r="1055" spans="15:59">
      <c r="O1055" s="1"/>
      <c r="P1055" s="1"/>
      <c r="AA1055" s="1"/>
      <c r="AB1055" s="1"/>
      <c r="AG1055" s="1"/>
      <c r="AH1055" s="1"/>
      <c r="AK1055" s="1"/>
      <c r="AL1055" s="1"/>
      <c r="AM1055" s="2"/>
      <c r="AN1055" s="2"/>
      <c r="AQ1055" s="1"/>
      <c r="BG1055" s="1"/>
    </row>
    <row r="1056" spans="15:59">
      <c r="O1056" s="1"/>
      <c r="P1056" s="1"/>
      <c r="AA1056" s="1"/>
      <c r="AB1056" s="1"/>
      <c r="AG1056" s="1"/>
      <c r="AH1056" s="1"/>
      <c r="AK1056" s="1"/>
      <c r="AL1056" s="1"/>
      <c r="AM1056" s="2"/>
      <c r="AN1056" s="2"/>
      <c r="AQ1056" s="1"/>
      <c r="BG1056" s="1"/>
    </row>
    <row r="1057" spans="15:59">
      <c r="O1057" s="1"/>
      <c r="P1057" s="1"/>
      <c r="AA1057" s="1"/>
      <c r="AB1057" s="1"/>
      <c r="AG1057" s="1"/>
      <c r="AH1057" s="1"/>
      <c r="AK1057" s="1"/>
      <c r="AL1057" s="1"/>
      <c r="AM1057" s="2"/>
      <c r="AN1057" s="2"/>
      <c r="AQ1057" s="1"/>
      <c r="BG1057" s="1"/>
    </row>
    <row r="1058" spans="15:59">
      <c r="O1058" s="1"/>
      <c r="P1058" s="1"/>
      <c r="AA1058" s="1"/>
      <c r="AB1058" s="1"/>
      <c r="AG1058" s="1"/>
      <c r="AH1058" s="1"/>
      <c r="AK1058" s="1"/>
      <c r="AL1058" s="1"/>
      <c r="AM1058" s="2"/>
      <c r="AN1058" s="2"/>
      <c r="AQ1058" s="1"/>
      <c r="BG1058" s="1"/>
    </row>
    <row r="1059" spans="15:59">
      <c r="O1059" s="1"/>
      <c r="P1059" s="1"/>
      <c r="AA1059" s="1"/>
      <c r="AB1059" s="1"/>
      <c r="AG1059" s="1"/>
      <c r="AH1059" s="1"/>
      <c r="AK1059" s="1"/>
      <c r="AL1059" s="1"/>
      <c r="AM1059" s="2"/>
      <c r="AN1059" s="2"/>
      <c r="AQ1059" s="1"/>
      <c r="BG1059" s="1"/>
    </row>
    <row r="1060" spans="15:59">
      <c r="O1060" s="1"/>
      <c r="P1060" s="1"/>
      <c r="AA1060" s="1"/>
      <c r="AB1060" s="1"/>
      <c r="AG1060" s="1"/>
      <c r="AH1060" s="1"/>
      <c r="AK1060" s="1"/>
      <c r="AL1060" s="1"/>
      <c r="AM1060" s="2"/>
      <c r="AN1060" s="2"/>
      <c r="AQ1060" s="1"/>
      <c r="BG1060" s="1"/>
    </row>
    <row r="1061" spans="15:59">
      <c r="O1061" s="1"/>
      <c r="P1061" s="1"/>
      <c r="AA1061" s="1"/>
      <c r="AB1061" s="1"/>
      <c r="AG1061" s="1"/>
      <c r="AH1061" s="1"/>
      <c r="AK1061" s="1"/>
      <c r="AL1061" s="1"/>
      <c r="AM1061" s="2"/>
      <c r="AN1061" s="2"/>
      <c r="AQ1061" s="1"/>
      <c r="BG1061" s="1"/>
    </row>
    <row r="1062" spans="15:59">
      <c r="O1062" s="1"/>
      <c r="P1062" s="1"/>
      <c r="AA1062" s="1"/>
      <c r="AB1062" s="1"/>
      <c r="AG1062" s="1"/>
      <c r="AH1062" s="1"/>
      <c r="AK1062" s="1"/>
      <c r="AL1062" s="1"/>
      <c r="AM1062" s="2"/>
      <c r="AN1062" s="2"/>
      <c r="AQ1062" s="1"/>
      <c r="BG1062" s="1"/>
    </row>
    <row r="1063" spans="15:59">
      <c r="O1063" s="1"/>
      <c r="P1063" s="1"/>
      <c r="AA1063" s="1"/>
      <c r="AB1063" s="1"/>
      <c r="AG1063" s="1"/>
      <c r="AH1063" s="1"/>
      <c r="AK1063" s="1"/>
      <c r="AL1063" s="1"/>
      <c r="AM1063" s="2"/>
      <c r="AN1063" s="2"/>
      <c r="AQ1063" s="1"/>
      <c r="BG1063" s="1"/>
    </row>
    <row r="1064" spans="15:59">
      <c r="O1064" s="1"/>
      <c r="P1064" s="1"/>
      <c r="AA1064" s="1"/>
      <c r="AB1064" s="1"/>
      <c r="AG1064" s="1"/>
      <c r="AH1064" s="1"/>
      <c r="AK1064" s="1"/>
      <c r="AL1064" s="1"/>
      <c r="AM1064" s="2"/>
      <c r="AN1064" s="2"/>
      <c r="AQ1064" s="1"/>
      <c r="BG1064" s="1"/>
    </row>
    <row r="1065" spans="15:59">
      <c r="O1065" s="1"/>
      <c r="P1065" s="1"/>
      <c r="AA1065" s="1"/>
      <c r="AB1065" s="1"/>
      <c r="AG1065" s="1"/>
      <c r="AH1065" s="1"/>
      <c r="AK1065" s="1"/>
      <c r="AL1065" s="1"/>
      <c r="AM1065" s="2"/>
      <c r="AN1065" s="2"/>
      <c r="AQ1065" s="1"/>
      <c r="BG1065" s="1"/>
    </row>
    <row r="1066" spans="15:59">
      <c r="O1066" s="1"/>
      <c r="P1066" s="1"/>
      <c r="AA1066" s="1"/>
      <c r="AB1066" s="1"/>
      <c r="AG1066" s="1"/>
      <c r="AH1066" s="1"/>
      <c r="AK1066" s="1"/>
      <c r="AL1066" s="1"/>
      <c r="AM1066" s="2"/>
      <c r="AN1066" s="2"/>
      <c r="AQ1066" s="1"/>
      <c r="BG1066" s="1"/>
    </row>
    <row r="1067" spans="15:59">
      <c r="O1067" s="1"/>
      <c r="P1067" s="1"/>
      <c r="AA1067" s="1"/>
      <c r="AB1067" s="1"/>
      <c r="AG1067" s="1"/>
      <c r="AH1067" s="1"/>
      <c r="AK1067" s="1"/>
      <c r="AL1067" s="1"/>
      <c r="AM1067" s="2"/>
      <c r="AN1067" s="2"/>
      <c r="AQ1067" s="1"/>
      <c r="BG1067" s="1"/>
    </row>
    <row r="1068" spans="15:59">
      <c r="O1068" s="1"/>
      <c r="P1068" s="1"/>
      <c r="AA1068" s="1"/>
      <c r="AB1068" s="1"/>
      <c r="AG1068" s="1"/>
      <c r="AH1068" s="1"/>
      <c r="AK1068" s="1"/>
      <c r="AL1068" s="1"/>
      <c r="AM1068" s="2"/>
      <c r="AN1068" s="2"/>
      <c r="AQ1068" s="1"/>
      <c r="BG1068" s="1"/>
    </row>
    <row r="1069" spans="15:59">
      <c r="O1069" s="1"/>
      <c r="P1069" s="1"/>
      <c r="AA1069" s="1"/>
      <c r="AB1069" s="1"/>
      <c r="AG1069" s="1"/>
      <c r="AH1069" s="1"/>
      <c r="AK1069" s="1"/>
      <c r="AL1069" s="1"/>
      <c r="AM1069" s="2"/>
      <c r="AN1069" s="2"/>
      <c r="AQ1069" s="1"/>
      <c r="BG1069" s="1"/>
    </row>
    <row r="1070" spans="15:59">
      <c r="O1070" s="1"/>
      <c r="P1070" s="1"/>
      <c r="AA1070" s="1"/>
      <c r="AB1070" s="1"/>
      <c r="AG1070" s="1"/>
      <c r="AH1070" s="1"/>
      <c r="AK1070" s="1"/>
      <c r="AL1070" s="1"/>
      <c r="AM1070" s="2"/>
      <c r="AN1070" s="2"/>
      <c r="AQ1070" s="1"/>
      <c r="BG1070" s="1"/>
    </row>
    <row r="1071" spans="15:59">
      <c r="O1071" s="1"/>
      <c r="P1071" s="1"/>
      <c r="AA1071" s="1"/>
      <c r="AB1071" s="1"/>
      <c r="AG1071" s="1"/>
      <c r="AH1071" s="1"/>
      <c r="AK1071" s="1"/>
      <c r="AL1071" s="1"/>
      <c r="AM1071" s="2"/>
      <c r="AN1071" s="2"/>
      <c r="AQ1071" s="1"/>
      <c r="BG1071" s="1"/>
    </row>
    <row r="1072" spans="15:59">
      <c r="O1072" s="1"/>
      <c r="P1072" s="1"/>
      <c r="AA1072" s="1"/>
      <c r="AB1072" s="1"/>
      <c r="AG1072" s="1"/>
      <c r="AH1072" s="1"/>
      <c r="AK1072" s="1"/>
      <c r="AL1072" s="1"/>
      <c r="AM1072" s="2"/>
      <c r="AN1072" s="2"/>
      <c r="AQ1072" s="1"/>
      <c r="BG1072" s="1"/>
    </row>
    <row r="1073" spans="15:59">
      <c r="O1073" s="1"/>
      <c r="P1073" s="1"/>
      <c r="AA1073" s="1"/>
      <c r="AB1073" s="1"/>
      <c r="AG1073" s="1"/>
      <c r="AH1073" s="1"/>
      <c r="AK1073" s="1"/>
      <c r="AL1073" s="1"/>
      <c r="AM1073" s="2"/>
      <c r="AN1073" s="2"/>
      <c r="AQ1073" s="1"/>
      <c r="BG1073" s="1"/>
    </row>
    <row r="1074" spans="15:59">
      <c r="O1074" s="1"/>
      <c r="P1074" s="1"/>
      <c r="AA1074" s="1"/>
      <c r="AB1074" s="1"/>
      <c r="AG1074" s="1"/>
      <c r="AH1074" s="1"/>
      <c r="AK1074" s="1"/>
      <c r="AL1074" s="1"/>
      <c r="AM1074" s="2"/>
      <c r="AN1074" s="2"/>
      <c r="AQ1074" s="1"/>
      <c r="BG1074" s="1"/>
    </row>
    <row r="1075" spans="15:59">
      <c r="O1075" s="1"/>
      <c r="P1075" s="1"/>
      <c r="AA1075" s="1"/>
      <c r="AB1075" s="1"/>
      <c r="AG1075" s="1"/>
      <c r="AH1075" s="1"/>
      <c r="AK1075" s="1"/>
      <c r="AL1075" s="1"/>
      <c r="AM1075" s="2"/>
      <c r="AN1075" s="2"/>
      <c r="AQ1075" s="1"/>
      <c r="BG1075" s="1"/>
    </row>
    <row r="1076" spans="15:59">
      <c r="O1076" s="1"/>
      <c r="P1076" s="1"/>
      <c r="AA1076" s="1"/>
      <c r="AB1076" s="1"/>
      <c r="AG1076" s="1"/>
      <c r="AH1076" s="1"/>
      <c r="AK1076" s="1"/>
      <c r="AL1076" s="1"/>
      <c r="AM1076" s="2"/>
      <c r="AN1076" s="2"/>
      <c r="AQ1076" s="1"/>
      <c r="BG1076" s="1"/>
    </row>
    <row r="1077" spans="15:59">
      <c r="O1077" s="1"/>
      <c r="P1077" s="1"/>
      <c r="AA1077" s="1"/>
      <c r="AB1077" s="1"/>
      <c r="AG1077" s="1"/>
      <c r="AH1077" s="1"/>
      <c r="AK1077" s="1"/>
      <c r="AL1077" s="1"/>
      <c r="AM1077" s="2"/>
      <c r="AN1077" s="2"/>
      <c r="AQ1077" s="1"/>
      <c r="BG1077" s="1"/>
    </row>
    <row r="1078" spans="15:59">
      <c r="O1078" s="1"/>
      <c r="P1078" s="1"/>
      <c r="AA1078" s="1"/>
      <c r="AB1078" s="1"/>
      <c r="AG1078" s="1"/>
      <c r="AH1078" s="1"/>
      <c r="AK1078" s="1"/>
      <c r="AL1078" s="1"/>
      <c r="AM1078" s="2"/>
      <c r="AN1078" s="2"/>
      <c r="AQ1078" s="1"/>
      <c r="BG1078" s="1"/>
    </row>
    <row r="1079" spans="15:59">
      <c r="O1079" s="1"/>
      <c r="P1079" s="1"/>
      <c r="AA1079" s="1"/>
      <c r="AB1079" s="1"/>
      <c r="AG1079" s="1"/>
      <c r="AH1079" s="1"/>
      <c r="AK1079" s="1"/>
      <c r="AL1079" s="1"/>
      <c r="AM1079" s="2"/>
      <c r="AN1079" s="2"/>
      <c r="AQ1079" s="1"/>
      <c r="BG1079" s="1"/>
    </row>
    <row r="1080" spans="15:59">
      <c r="O1080" s="1"/>
      <c r="P1080" s="1"/>
      <c r="AA1080" s="1"/>
      <c r="AB1080" s="1"/>
      <c r="AG1080" s="1"/>
      <c r="AH1080" s="1"/>
      <c r="AK1080" s="1"/>
      <c r="AL1080" s="1"/>
      <c r="AM1080" s="2"/>
      <c r="AN1080" s="2"/>
      <c r="AQ1080" s="1"/>
      <c r="BG1080" s="1"/>
    </row>
    <row r="1081" spans="15:59">
      <c r="O1081" s="1"/>
      <c r="P1081" s="1"/>
      <c r="AA1081" s="1"/>
      <c r="AB1081" s="1"/>
      <c r="AG1081" s="1"/>
      <c r="AH1081" s="1"/>
      <c r="AK1081" s="1"/>
      <c r="AL1081" s="1"/>
      <c r="AM1081" s="2"/>
      <c r="AN1081" s="2"/>
      <c r="AQ1081" s="1"/>
      <c r="BG1081" s="1"/>
    </row>
    <row r="1082" spans="15:59">
      <c r="O1082" s="1"/>
      <c r="P1082" s="1"/>
      <c r="AA1082" s="1"/>
      <c r="AB1082" s="1"/>
      <c r="AG1082" s="1"/>
      <c r="AH1082" s="1"/>
      <c r="AK1082" s="1"/>
      <c r="AL1082" s="1"/>
      <c r="AM1082" s="2"/>
      <c r="AN1082" s="2"/>
      <c r="AQ1082" s="1"/>
      <c r="BG1082" s="1"/>
    </row>
    <row r="1083" spans="15:59">
      <c r="O1083" s="1"/>
      <c r="P1083" s="1"/>
      <c r="AA1083" s="1"/>
      <c r="AB1083" s="1"/>
      <c r="AG1083" s="1"/>
      <c r="AH1083" s="1"/>
      <c r="AK1083" s="1"/>
      <c r="AL1083" s="1"/>
      <c r="AM1083" s="2"/>
      <c r="AN1083" s="2"/>
      <c r="AQ1083" s="1"/>
      <c r="BG1083" s="1"/>
    </row>
    <row r="1084" spans="15:59">
      <c r="O1084" s="1"/>
      <c r="P1084" s="1"/>
      <c r="AA1084" s="1"/>
      <c r="AB1084" s="1"/>
      <c r="AG1084" s="1"/>
      <c r="AH1084" s="1"/>
      <c r="AK1084" s="1"/>
      <c r="AL1084" s="1"/>
      <c r="AM1084" s="2"/>
      <c r="AN1084" s="2"/>
      <c r="AQ1084" s="1"/>
      <c r="BG1084" s="1"/>
    </row>
    <row r="1085" spans="15:59">
      <c r="O1085" s="1"/>
      <c r="P1085" s="1"/>
      <c r="AA1085" s="1"/>
      <c r="AB1085" s="1"/>
      <c r="AG1085" s="1"/>
      <c r="AH1085" s="1"/>
      <c r="AK1085" s="1"/>
      <c r="AL1085" s="1"/>
      <c r="AM1085" s="2"/>
      <c r="AN1085" s="2"/>
      <c r="AQ1085" s="1"/>
      <c r="BG1085" s="1"/>
    </row>
    <row r="1086" spans="15:59">
      <c r="O1086" s="1"/>
      <c r="P1086" s="1"/>
      <c r="AA1086" s="1"/>
      <c r="AB1086" s="1"/>
      <c r="AG1086" s="1"/>
      <c r="AH1086" s="1"/>
      <c r="AK1086" s="1"/>
      <c r="AL1086" s="1"/>
      <c r="AM1086" s="2"/>
      <c r="AN1086" s="2"/>
      <c r="AQ1086" s="1"/>
      <c r="BG1086" s="1"/>
    </row>
    <row r="1087" spans="15:59">
      <c r="O1087" s="1"/>
      <c r="P1087" s="1"/>
      <c r="AA1087" s="1"/>
      <c r="AB1087" s="1"/>
      <c r="AG1087" s="1"/>
      <c r="AH1087" s="1"/>
      <c r="AK1087" s="1"/>
      <c r="AL1087" s="1"/>
      <c r="AM1087" s="2"/>
      <c r="AN1087" s="2"/>
      <c r="AQ1087" s="1"/>
      <c r="BG1087" s="1"/>
    </row>
    <row r="1088" spans="15:59">
      <c r="O1088" s="1"/>
      <c r="P1088" s="1"/>
      <c r="AA1088" s="1"/>
      <c r="AB1088" s="1"/>
      <c r="AG1088" s="1"/>
      <c r="AH1088" s="1"/>
      <c r="AK1088" s="1"/>
      <c r="AL1088" s="1"/>
      <c r="AM1088" s="2"/>
      <c r="AN1088" s="2"/>
      <c r="AQ1088" s="1"/>
      <c r="BG1088" s="1"/>
    </row>
    <row r="1089" spans="15:59">
      <c r="O1089" s="1"/>
      <c r="P1089" s="1"/>
      <c r="AA1089" s="1"/>
      <c r="AB1089" s="1"/>
      <c r="AG1089" s="1"/>
      <c r="AH1089" s="1"/>
      <c r="AK1089" s="1"/>
      <c r="AL1089" s="1"/>
      <c r="AM1089" s="2"/>
      <c r="AN1089" s="2"/>
      <c r="AQ1089" s="1"/>
      <c r="BG1089" s="1"/>
    </row>
    <row r="1090" spans="15:59">
      <c r="O1090" s="1"/>
      <c r="P1090" s="1"/>
      <c r="AA1090" s="1"/>
      <c r="AB1090" s="1"/>
      <c r="AG1090" s="1"/>
      <c r="AH1090" s="1"/>
      <c r="AK1090" s="1"/>
      <c r="AL1090" s="1"/>
      <c r="AM1090" s="2"/>
      <c r="AN1090" s="2"/>
      <c r="AQ1090" s="1"/>
      <c r="BG1090" s="1"/>
    </row>
    <row r="1091" spans="15:59">
      <c r="O1091" s="1"/>
      <c r="P1091" s="1"/>
      <c r="AA1091" s="1"/>
      <c r="AB1091" s="1"/>
      <c r="AG1091" s="1"/>
      <c r="AH1091" s="1"/>
      <c r="AK1091" s="1"/>
      <c r="AL1091" s="1"/>
      <c r="AM1091" s="2"/>
      <c r="AN1091" s="2"/>
      <c r="AQ1091" s="1"/>
      <c r="BG1091" s="1"/>
    </row>
    <row r="1092" spans="15:59">
      <c r="O1092" s="1"/>
      <c r="P1092" s="1"/>
      <c r="AA1092" s="1"/>
      <c r="AB1092" s="1"/>
      <c r="AG1092" s="1"/>
      <c r="AH1092" s="1"/>
      <c r="AK1092" s="1"/>
      <c r="AL1092" s="1"/>
      <c r="AM1092" s="2"/>
      <c r="AN1092" s="2"/>
      <c r="AQ1092" s="1"/>
      <c r="BG1092" s="1"/>
    </row>
    <row r="1093" spans="15:59">
      <c r="O1093" s="1"/>
      <c r="P1093" s="1"/>
      <c r="AA1093" s="1"/>
      <c r="AB1093" s="1"/>
      <c r="AG1093" s="1"/>
      <c r="AH1093" s="1"/>
      <c r="AK1093" s="1"/>
      <c r="AL1093" s="1"/>
      <c r="AM1093" s="2"/>
      <c r="AN1093" s="2"/>
      <c r="AQ1093" s="1"/>
      <c r="BG1093" s="1"/>
    </row>
    <row r="1094" spans="15:59">
      <c r="O1094" s="1"/>
      <c r="P1094" s="1"/>
      <c r="AA1094" s="1"/>
      <c r="AB1094" s="1"/>
      <c r="AG1094" s="1"/>
      <c r="AH1094" s="1"/>
      <c r="AK1094" s="1"/>
      <c r="AL1094" s="1"/>
      <c r="AM1094" s="2"/>
      <c r="AN1094" s="2"/>
      <c r="AQ1094" s="1"/>
      <c r="BG1094" s="1"/>
    </row>
    <row r="1095" spans="15:59">
      <c r="O1095" s="1"/>
      <c r="P1095" s="1"/>
      <c r="AA1095" s="1"/>
      <c r="AB1095" s="1"/>
      <c r="AG1095" s="1"/>
      <c r="AH1095" s="1"/>
      <c r="AK1095" s="1"/>
      <c r="AL1095" s="1"/>
      <c r="AM1095" s="2"/>
      <c r="AN1095" s="2"/>
      <c r="AQ1095" s="1"/>
      <c r="BG1095" s="1"/>
    </row>
    <row r="1096" spans="15:59">
      <c r="O1096" s="1"/>
      <c r="P1096" s="1"/>
      <c r="AA1096" s="1"/>
      <c r="AB1096" s="1"/>
      <c r="AG1096" s="1"/>
      <c r="AH1096" s="1"/>
      <c r="AK1096" s="1"/>
      <c r="AL1096" s="1"/>
      <c r="AM1096" s="2"/>
      <c r="AN1096" s="2"/>
      <c r="AQ1096" s="1"/>
      <c r="BG1096" s="1"/>
    </row>
    <row r="1097" spans="15:59">
      <c r="O1097" s="1"/>
      <c r="P1097" s="1"/>
      <c r="AA1097" s="1"/>
      <c r="AB1097" s="1"/>
      <c r="AG1097" s="1"/>
      <c r="AH1097" s="1"/>
      <c r="AK1097" s="1"/>
      <c r="AL1097" s="1"/>
      <c r="AM1097" s="2"/>
      <c r="AN1097" s="2"/>
      <c r="AQ1097" s="1"/>
      <c r="BG1097" s="1"/>
    </row>
    <row r="1098" spans="15:59">
      <c r="O1098" s="1"/>
      <c r="P1098" s="1"/>
      <c r="AA1098" s="1"/>
      <c r="AB1098" s="1"/>
      <c r="AG1098" s="1"/>
      <c r="AH1098" s="1"/>
      <c r="AK1098" s="1"/>
      <c r="AL1098" s="1"/>
      <c r="AM1098" s="2"/>
      <c r="AN1098" s="2"/>
      <c r="AQ1098" s="1"/>
      <c r="BG1098" s="1"/>
    </row>
    <row r="1099" spans="15:59">
      <c r="O1099" s="1"/>
      <c r="P1099" s="1"/>
      <c r="AA1099" s="1"/>
      <c r="AB1099" s="1"/>
      <c r="AG1099" s="1"/>
      <c r="AH1099" s="1"/>
      <c r="AK1099" s="1"/>
      <c r="AL1099" s="1"/>
      <c r="AM1099" s="2"/>
      <c r="AN1099" s="2"/>
      <c r="AQ1099" s="1"/>
      <c r="BG1099" s="1"/>
    </row>
    <row r="1100" spans="15:59">
      <c r="O1100" s="1"/>
      <c r="P1100" s="1"/>
      <c r="AA1100" s="1"/>
      <c r="AB1100" s="1"/>
      <c r="AG1100" s="1"/>
      <c r="AH1100" s="1"/>
      <c r="AK1100" s="1"/>
      <c r="AL1100" s="1"/>
      <c r="AM1100" s="2"/>
      <c r="AN1100" s="2"/>
      <c r="AQ1100" s="1"/>
      <c r="BG1100" s="1"/>
    </row>
    <row r="1101" spans="15:59">
      <c r="O1101" s="1"/>
      <c r="P1101" s="1"/>
      <c r="AA1101" s="1"/>
      <c r="AB1101" s="1"/>
      <c r="AG1101" s="1"/>
      <c r="AH1101" s="1"/>
      <c r="AK1101" s="1"/>
      <c r="AL1101" s="1"/>
      <c r="AM1101" s="2"/>
      <c r="AN1101" s="2"/>
      <c r="AQ1101" s="1"/>
      <c r="BG1101" s="1"/>
    </row>
    <row r="1102" spans="15:59">
      <c r="O1102" s="1"/>
      <c r="P1102" s="1"/>
      <c r="AA1102" s="1"/>
      <c r="AB1102" s="1"/>
      <c r="AG1102" s="1"/>
      <c r="AH1102" s="1"/>
      <c r="AK1102" s="1"/>
      <c r="AL1102" s="1"/>
      <c r="AM1102" s="2"/>
      <c r="AN1102" s="2"/>
      <c r="AQ1102" s="1"/>
      <c r="BG1102" s="1"/>
    </row>
    <row r="1103" spans="15:59">
      <c r="O1103" s="1"/>
      <c r="P1103" s="1"/>
      <c r="AA1103" s="1"/>
      <c r="AB1103" s="1"/>
      <c r="AG1103" s="1"/>
      <c r="AH1103" s="1"/>
      <c r="AK1103" s="1"/>
      <c r="AL1103" s="1"/>
      <c r="AM1103" s="2"/>
      <c r="AN1103" s="2"/>
      <c r="AQ1103" s="1"/>
      <c r="BG1103" s="1"/>
    </row>
    <row r="1104" spans="15:59">
      <c r="O1104" s="1"/>
      <c r="P1104" s="1"/>
      <c r="AA1104" s="1"/>
      <c r="AB1104" s="1"/>
      <c r="AG1104" s="1"/>
      <c r="AH1104" s="1"/>
      <c r="AK1104" s="1"/>
      <c r="AL1104" s="1"/>
      <c r="AM1104" s="2"/>
      <c r="AN1104" s="2"/>
      <c r="AQ1104" s="1"/>
      <c r="BG1104" s="1"/>
    </row>
    <row r="1105" spans="15:59">
      <c r="O1105" s="1"/>
      <c r="P1105" s="1"/>
      <c r="AA1105" s="1"/>
      <c r="AB1105" s="1"/>
      <c r="AG1105" s="1"/>
      <c r="AH1105" s="1"/>
      <c r="AK1105" s="1"/>
      <c r="AL1105" s="1"/>
      <c r="AM1105" s="2"/>
      <c r="AN1105" s="2"/>
      <c r="AQ1105" s="1"/>
      <c r="BG1105" s="1"/>
    </row>
    <row r="1106" spans="15:59">
      <c r="O1106" s="1"/>
      <c r="P1106" s="1"/>
      <c r="AA1106" s="1"/>
      <c r="AB1106" s="1"/>
      <c r="AG1106" s="1"/>
      <c r="AH1106" s="1"/>
      <c r="AK1106" s="1"/>
      <c r="AL1106" s="1"/>
      <c r="AM1106" s="2"/>
      <c r="AN1106" s="2"/>
      <c r="AQ1106" s="1"/>
      <c r="BG1106" s="1"/>
    </row>
    <row r="1107" spans="15:59">
      <c r="O1107" s="1"/>
      <c r="P1107" s="1"/>
      <c r="AA1107" s="1"/>
      <c r="AB1107" s="1"/>
      <c r="AG1107" s="1"/>
      <c r="AH1107" s="1"/>
      <c r="AK1107" s="1"/>
      <c r="AL1107" s="1"/>
      <c r="AM1107" s="2"/>
      <c r="AN1107" s="2"/>
      <c r="AQ1107" s="1"/>
      <c r="BG1107" s="1"/>
    </row>
    <row r="1108" spans="15:59">
      <c r="O1108" s="1"/>
      <c r="P1108" s="1"/>
      <c r="AA1108" s="1"/>
      <c r="AB1108" s="1"/>
      <c r="AG1108" s="1"/>
      <c r="AH1108" s="1"/>
      <c r="AK1108" s="1"/>
      <c r="AL1108" s="1"/>
      <c r="AM1108" s="2"/>
      <c r="AN1108" s="2"/>
      <c r="AQ1108" s="1"/>
      <c r="BG1108" s="1"/>
    </row>
    <row r="1109" spans="15:59">
      <c r="O1109" s="1"/>
      <c r="P1109" s="1"/>
      <c r="AA1109" s="1"/>
      <c r="AB1109" s="1"/>
      <c r="AG1109" s="1"/>
      <c r="AH1109" s="1"/>
      <c r="AK1109" s="1"/>
      <c r="AL1109" s="1"/>
      <c r="AM1109" s="2"/>
      <c r="AN1109" s="2"/>
      <c r="AQ1109" s="1"/>
      <c r="BG1109" s="1"/>
    </row>
    <row r="1110" spans="15:59">
      <c r="O1110" s="1"/>
      <c r="P1110" s="1"/>
      <c r="AA1110" s="1"/>
      <c r="AB1110" s="1"/>
      <c r="AG1110" s="1"/>
      <c r="AH1110" s="1"/>
      <c r="AK1110" s="1"/>
      <c r="AL1110" s="1"/>
      <c r="AM1110" s="2"/>
      <c r="AN1110" s="2"/>
      <c r="AQ1110" s="1"/>
      <c r="BG1110" s="1"/>
    </row>
    <row r="1111" spans="15:59">
      <c r="O1111" s="1"/>
      <c r="P1111" s="1"/>
      <c r="AA1111" s="1"/>
      <c r="AB1111" s="1"/>
      <c r="AG1111" s="1"/>
      <c r="AH1111" s="1"/>
      <c r="AK1111" s="1"/>
      <c r="AL1111" s="1"/>
      <c r="AM1111" s="2"/>
      <c r="AN1111" s="2"/>
      <c r="AQ1111" s="1"/>
      <c r="BG1111" s="1"/>
    </row>
    <row r="1112" spans="15:59">
      <c r="O1112" s="1"/>
      <c r="P1112" s="1"/>
      <c r="AA1112" s="1"/>
      <c r="AB1112" s="1"/>
      <c r="AG1112" s="1"/>
      <c r="AH1112" s="1"/>
      <c r="AK1112" s="1"/>
      <c r="AL1112" s="1"/>
      <c r="AM1112" s="2"/>
      <c r="AN1112" s="2"/>
      <c r="AQ1112" s="1"/>
      <c r="BG1112" s="1"/>
    </row>
    <row r="1113" spans="15:59">
      <c r="O1113" s="1"/>
      <c r="P1113" s="1"/>
      <c r="AA1113" s="1"/>
      <c r="AB1113" s="1"/>
      <c r="AG1113" s="1"/>
      <c r="AH1113" s="1"/>
      <c r="AK1113" s="1"/>
      <c r="AL1113" s="1"/>
      <c r="AM1113" s="2"/>
      <c r="AN1113" s="2"/>
      <c r="AQ1113" s="1"/>
      <c r="BG1113" s="1"/>
    </row>
    <row r="1114" spans="15:59">
      <c r="O1114" s="1"/>
      <c r="P1114" s="1"/>
      <c r="AA1114" s="1"/>
      <c r="AB1114" s="1"/>
      <c r="AG1114" s="1"/>
      <c r="AH1114" s="1"/>
      <c r="AK1114" s="1"/>
      <c r="AL1114" s="1"/>
      <c r="AM1114" s="2"/>
      <c r="AN1114" s="2"/>
      <c r="AQ1114" s="1"/>
      <c r="BG1114" s="1"/>
    </row>
    <row r="1115" spans="15:59">
      <c r="O1115" s="1"/>
      <c r="P1115" s="1"/>
      <c r="AA1115" s="1"/>
      <c r="AB1115" s="1"/>
      <c r="AG1115" s="1"/>
      <c r="AH1115" s="1"/>
      <c r="AK1115" s="1"/>
      <c r="AL1115" s="1"/>
      <c r="AM1115" s="2"/>
      <c r="AN1115" s="2"/>
      <c r="AQ1115" s="1"/>
      <c r="BG1115" s="1"/>
    </row>
    <row r="1116" spans="15:59">
      <c r="O1116" s="1"/>
      <c r="P1116" s="1"/>
      <c r="AA1116" s="1"/>
      <c r="AB1116" s="1"/>
      <c r="AG1116" s="1"/>
      <c r="AH1116" s="1"/>
      <c r="AK1116" s="1"/>
      <c r="AL1116" s="1"/>
      <c r="AM1116" s="2"/>
      <c r="AN1116" s="2"/>
      <c r="AQ1116" s="1"/>
      <c r="BG1116" s="1"/>
    </row>
    <row r="1117" spans="15:59">
      <c r="O1117" s="1"/>
      <c r="P1117" s="1"/>
      <c r="AA1117" s="1"/>
      <c r="AB1117" s="1"/>
      <c r="AG1117" s="1"/>
      <c r="AH1117" s="1"/>
      <c r="AK1117" s="1"/>
      <c r="AL1117" s="1"/>
      <c r="AM1117" s="2"/>
      <c r="AN1117" s="2"/>
      <c r="AQ1117" s="1"/>
      <c r="BG1117" s="1"/>
    </row>
    <row r="1118" spans="15:59">
      <c r="O1118" s="1"/>
      <c r="P1118" s="1"/>
      <c r="AA1118" s="1"/>
      <c r="AB1118" s="1"/>
      <c r="AG1118" s="1"/>
      <c r="AH1118" s="1"/>
      <c r="AK1118" s="1"/>
      <c r="AL1118" s="1"/>
      <c r="AM1118" s="2"/>
      <c r="AN1118" s="2"/>
      <c r="AQ1118" s="1"/>
      <c r="BG1118" s="1"/>
    </row>
    <row r="1119" spans="15:59">
      <c r="O1119" s="1"/>
      <c r="P1119" s="1"/>
      <c r="AA1119" s="1"/>
      <c r="AB1119" s="1"/>
      <c r="AG1119" s="1"/>
      <c r="AH1119" s="1"/>
      <c r="AK1119" s="1"/>
      <c r="AL1119" s="1"/>
      <c r="AM1119" s="2"/>
      <c r="AN1119" s="2"/>
      <c r="AQ1119" s="1"/>
      <c r="BG1119" s="1"/>
    </row>
    <row r="1120" spans="15:59">
      <c r="O1120" s="1"/>
      <c r="P1120" s="1"/>
      <c r="AA1120" s="1"/>
      <c r="AB1120" s="1"/>
      <c r="AG1120" s="1"/>
      <c r="AH1120" s="1"/>
      <c r="AK1120" s="1"/>
      <c r="AL1120" s="1"/>
      <c r="AM1120" s="2"/>
      <c r="AN1120" s="2"/>
      <c r="AQ1120" s="1"/>
      <c r="BG1120" s="1"/>
    </row>
    <row r="1121" spans="15:59">
      <c r="O1121" s="1"/>
      <c r="P1121" s="1"/>
      <c r="AA1121" s="1"/>
      <c r="AB1121" s="1"/>
      <c r="AG1121" s="1"/>
      <c r="AH1121" s="1"/>
      <c r="AK1121" s="1"/>
      <c r="AL1121" s="1"/>
      <c r="AM1121" s="2"/>
      <c r="AN1121" s="2"/>
      <c r="AQ1121" s="1"/>
      <c r="BG1121" s="1"/>
    </row>
    <row r="1122" spans="15:59">
      <c r="O1122" s="1"/>
      <c r="P1122" s="1"/>
      <c r="AA1122" s="1"/>
      <c r="AB1122" s="1"/>
      <c r="AG1122" s="1"/>
      <c r="AH1122" s="1"/>
      <c r="AK1122" s="1"/>
      <c r="AL1122" s="1"/>
      <c r="AM1122" s="2"/>
      <c r="AN1122" s="2"/>
      <c r="AQ1122" s="1"/>
      <c r="BG1122" s="1"/>
    </row>
    <row r="1123" spans="15:59">
      <c r="O1123" s="1"/>
      <c r="P1123" s="1"/>
      <c r="AA1123" s="1"/>
      <c r="AB1123" s="1"/>
      <c r="AG1123" s="1"/>
      <c r="AH1123" s="1"/>
      <c r="AK1123" s="1"/>
      <c r="AL1123" s="1"/>
      <c r="AM1123" s="2"/>
      <c r="AN1123" s="2"/>
      <c r="AQ1123" s="1"/>
      <c r="BG1123" s="1"/>
    </row>
    <row r="1124" spans="15:59">
      <c r="O1124" s="1"/>
      <c r="P1124" s="1"/>
      <c r="AA1124" s="1"/>
      <c r="AB1124" s="1"/>
      <c r="AG1124" s="1"/>
      <c r="AH1124" s="1"/>
      <c r="AK1124" s="1"/>
      <c r="AL1124" s="1"/>
      <c r="AM1124" s="2"/>
      <c r="AN1124" s="2"/>
      <c r="AQ1124" s="1"/>
      <c r="BG1124" s="1"/>
    </row>
    <row r="1125" spans="15:59">
      <c r="O1125" s="1"/>
      <c r="P1125" s="1"/>
      <c r="AA1125" s="1"/>
      <c r="AB1125" s="1"/>
      <c r="AG1125" s="1"/>
      <c r="AH1125" s="1"/>
      <c r="AK1125" s="1"/>
      <c r="AL1125" s="1"/>
      <c r="AM1125" s="2"/>
      <c r="AN1125" s="2"/>
      <c r="AQ1125" s="1"/>
      <c r="BG1125" s="1"/>
    </row>
    <row r="1126" spans="15:59">
      <c r="O1126" s="1"/>
      <c r="P1126" s="1"/>
      <c r="AA1126" s="1"/>
      <c r="AB1126" s="1"/>
      <c r="AG1126" s="1"/>
      <c r="AH1126" s="1"/>
      <c r="AK1126" s="1"/>
      <c r="AL1126" s="1"/>
      <c r="AM1126" s="2"/>
      <c r="AN1126" s="2"/>
      <c r="AQ1126" s="1"/>
      <c r="BG1126" s="1"/>
    </row>
    <row r="1127" spans="15:59">
      <c r="O1127" s="1"/>
      <c r="P1127" s="1"/>
      <c r="AA1127" s="1"/>
      <c r="AB1127" s="1"/>
      <c r="AG1127" s="1"/>
      <c r="AH1127" s="1"/>
      <c r="AK1127" s="1"/>
      <c r="AL1127" s="1"/>
      <c r="AM1127" s="2"/>
      <c r="AN1127" s="2"/>
      <c r="AQ1127" s="1"/>
      <c r="BG1127" s="1"/>
    </row>
    <row r="1128" spans="15:59">
      <c r="O1128" s="1"/>
      <c r="P1128" s="1"/>
      <c r="AA1128" s="1"/>
      <c r="AB1128" s="1"/>
      <c r="AG1128" s="1"/>
      <c r="AH1128" s="1"/>
      <c r="AK1128" s="1"/>
      <c r="AL1128" s="1"/>
      <c r="AM1128" s="2"/>
      <c r="AN1128" s="2"/>
      <c r="AQ1128" s="1"/>
      <c r="BG1128" s="1"/>
    </row>
    <row r="1129" spans="15:59">
      <c r="O1129" s="1"/>
      <c r="P1129" s="1"/>
      <c r="AA1129" s="1"/>
      <c r="AB1129" s="1"/>
      <c r="AG1129" s="1"/>
      <c r="AH1129" s="1"/>
      <c r="AK1129" s="1"/>
      <c r="AL1129" s="1"/>
      <c r="AM1129" s="2"/>
      <c r="AN1129" s="2"/>
      <c r="AQ1129" s="1"/>
      <c r="BG1129" s="1"/>
    </row>
    <row r="1130" spans="15:59">
      <c r="O1130" s="1"/>
      <c r="P1130" s="1"/>
      <c r="AA1130" s="1"/>
      <c r="AB1130" s="1"/>
      <c r="AG1130" s="1"/>
      <c r="AH1130" s="1"/>
      <c r="AK1130" s="1"/>
      <c r="AL1130" s="1"/>
      <c r="AM1130" s="2"/>
      <c r="AN1130" s="2"/>
      <c r="AQ1130" s="1"/>
      <c r="BG1130" s="1"/>
    </row>
    <row r="1131" spans="15:59">
      <c r="O1131" s="1"/>
      <c r="P1131" s="1"/>
      <c r="AA1131" s="1"/>
      <c r="AB1131" s="1"/>
      <c r="AG1131" s="1"/>
      <c r="AH1131" s="1"/>
      <c r="AK1131" s="1"/>
      <c r="AL1131" s="1"/>
      <c r="AM1131" s="2"/>
      <c r="AN1131" s="2"/>
      <c r="AQ1131" s="1"/>
      <c r="BG1131" s="1"/>
    </row>
    <row r="1132" spans="15:59">
      <c r="O1132" s="1"/>
      <c r="P1132" s="1"/>
      <c r="AA1132" s="1"/>
      <c r="AB1132" s="1"/>
      <c r="AG1132" s="1"/>
      <c r="AH1132" s="1"/>
      <c r="AK1132" s="1"/>
      <c r="AL1132" s="1"/>
      <c r="AM1132" s="2"/>
      <c r="AN1132" s="2"/>
      <c r="AQ1132" s="1"/>
      <c r="BG1132" s="1"/>
    </row>
    <row r="1133" spans="15:59">
      <c r="O1133" s="1"/>
      <c r="P1133" s="1"/>
      <c r="AA1133" s="1"/>
      <c r="AB1133" s="1"/>
      <c r="AG1133" s="1"/>
      <c r="AH1133" s="1"/>
      <c r="AK1133" s="1"/>
      <c r="AL1133" s="1"/>
      <c r="AM1133" s="2"/>
      <c r="AN1133" s="2"/>
      <c r="AQ1133" s="1"/>
      <c r="BG1133" s="1"/>
    </row>
    <row r="1134" spans="15:59">
      <c r="O1134" s="1"/>
      <c r="P1134" s="1"/>
      <c r="AA1134" s="1"/>
      <c r="AB1134" s="1"/>
      <c r="AG1134" s="1"/>
      <c r="AH1134" s="1"/>
      <c r="AK1134" s="1"/>
      <c r="AL1134" s="1"/>
      <c r="AM1134" s="2"/>
      <c r="AN1134" s="2"/>
      <c r="AQ1134" s="1"/>
      <c r="BG1134" s="1"/>
    </row>
    <row r="1135" spans="15:59">
      <c r="O1135" s="1"/>
      <c r="P1135" s="1"/>
      <c r="AA1135" s="1"/>
      <c r="AB1135" s="1"/>
      <c r="AG1135" s="1"/>
      <c r="AH1135" s="1"/>
      <c r="AK1135" s="1"/>
      <c r="AL1135" s="1"/>
      <c r="AM1135" s="2"/>
      <c r="AN1135" s="2"/>
      <c r="AQ1135" s="1"/>
      <c r="BG1135" s="1"/>
    </row>
    <row r="1136" spans="15:59">
      <c r="O1136" s="1"/>
      <c r="P1136" s="1"/>
      <c r="AA1136" s="1"/>
      <c r="AB1136" s="1"/>
      <c r="AG1136" s="1"/>
      <c r="AH1136" s="1"/>
      <c r="AK1136" s="1"/>
      <c r="AL1136" s="1"/>
      <c r="AM1136" s="2"/>
      <c r="AN1136" s="2"/>
      <c r="AQ1136" s="1"/>
      <c r="BG1136" s="1"/>
    </row>
    <row r="1137" spans="15:59">
      <c r="O1137" s="1"/>
      <c r="P1137" s="1"/>
      <c r="AA1137" s="1"/>
      <c r="AB1137" s="1"/>
      <c r="AG1137" s="1"/>
      <c r="AH1137" s="1"/>
      <c r="AK1137" s="1"/>
      <c r="AL1137" s="1"/>
      <c r="AM1137" s="2"/>
      <c r="AN1137" s="2"/>
      <c r="AQ1137" s="1"/>
      <c r="BG1137" s="1"/>
    </row>
    <row r="1138" spans="15:59">
      <c r="O1138" s="1"/>
      <c r="P1138" s="1"/>
      <c r="AA1138" s="1"/>
      <c r="AB1138" s="1"/>
      <c r="AG1138" s="1"/>
      <c r="AH1138" s="1"/>
      <c r="AK1138" s="1"/>
      <c r="AL1138" s="1"/>
      <c r="AM1138" s="2"/>
      <c r="AN1138" s="2"/>
      <c r="AQ1138" s="1"/>
      <c r="BG1138" s="1"/>
    </row>
    <row r="1139" spans="15:59">
      <c r="O1139" s="1"/>
      <c r="P1139" s="1"/>
      <c r="AA1139" s="1"/>
      <c r="AB1139" s="1"/>
      <c r="AG1139" s="1"/>
      <c r="AH1139" s="1"/>
      <c r="AK1139" s="1"/>
      <c r="AL1139" s="1"/>
      <c r="AM1139" s="2"/>
      <c r="AN1139" s="2"/>
      <c r="AQ1139" s="1"/>
      <c r="BG1139" s="1"/>
    </row>
    <row r="1140" spans="15:59">
      <c r="O1140" s="1"/>
      <c r="P1140" s="1"/>
      <c r="AA1140" s="1"/>
      <c r="AB1140" s="1"/>
      <c r="AG1140" s="1"/>
      <c r="AH1140" s="1"/>
      <c r="AK1140" s="1"/>
      <c r="AL1140" s="1"/>
      <c r="AM1140" s="2"/>
      <c r="AN1140" s="2"/>
      <c r="AQ1140" s="1"/>
      <c r="BG1140" s="1"/>
    </row>
    <row r="1141" spans="15:59">
      <c r="O1141" s="1"/>
      <c r="P1141" s="1"/>
      <c r="AA1141" s="1"/>
      <c r="AB1141" s="1"/>
      <c r="AG1141" s="1"/>
      <c r="AH1141" s="1"/>
      <c r="AK1141" s="1"/>
      <c r="AL1141" s="1"/>
      <c r="AM1141" s="2"/>
      <c r="AN1141" s="2"/>
      <c r="AQ1141" s="1"/>
      <c r="BG1141" s="1"/>
    </row>
    <row r="1142" spans="15:59">
      <c r="O1142" s="1"/>
      <c r="P1142" s="1"/>
      <c r="AA1142" s="1"/>
      <c r="AB1142" s="1"/>
      <c r="AG1142" s="1"/>
      <c r="AH1142" s="1"/>
      <c r="AK1142" s="1"/>
      <c r="AL1142" s="1"/>
      <c r="AM1142" s="2"/>
      <c r="AN1142" s="2"/>
      <c r="AQ1142" s="1"/>
      <c r="BG1142" s="1"/>
    </row>
    <row r="1143" spans="15:59">
      <c r="O1143" s="1"/>
      <c r="P1143" s="1"/>
      <c r="AA1143" s="1"/>
      <c r="AB1143" s="1"/>
      <c r="AG1143" s="1"/>
      <c r="AH1143" s="1"/>
      <c r="AK1143" s="1"/>
      <c r="AL1143" s="1"/>
      <c r="AM1143" s="2"/>
      <c r="AN1143" s="2"/>
      <c r="AQ1143" s="1"/>
      <c r="BG1143" s="1"/>
    </row>
    <row r="1144" spans="15:59">
      <c r="O1144" s="1"/>
      <c r="P1144" s="1"/>
      <c r="AA1144" s="1"/>
      <c r="AB1144" s="1"/>
      <c r="AG1144" s="1"/>
      <c r="AH1144" s="1"/>
      <c r="AK1144" s="1"/>
      <c r="AL1144" s="1"/>
      <c r="AM1144" s="2"/>
      <c r="AN1144" s="2"/>
      <c r="AQ1144" s="1"/>
      <c r="BG1144" s="1"/>
    </row>
    <row r="1145" spans="15:59">
      <c r="O1145" s="1"/>
      <c r="P1145" s="1"/>
      <c r="AA1145" s="1"/>
      <c r="AB1145" s="1"/>
      <c r="AG1145" s="1"/>
      <c r="AH1145" s="1"/>
      <c r="AK1145" s="1"/>
      <c r="AL1145" s="1"/>
      <c r="AM1145" s="2"/>
      <c r="AN1145" s="2"/>
      <c r="AQ1145" s="1"/>
      <c r="BG1145" s="1"/>
    </row>
    <row r="1146" spans="15:59">
      <c r="O1146" s="1"/>
      <c r="P1146" s="1"/>
      <c r="AA1146" s="1"/>
      <c r="AB1146" s="1"/>
      <c r="AG1146" s="1"/>
      <c r="AH1146" s="1"/>
      <c r="AK1146" s="1"/>
      <c r="AL1146" s="1"/>
      <c r="AM1146" s="2"/>
      <c r="AN1146" s="2"/>
      <c r="AQ1146" s="1"/>
      <c r="BG1146" s="1"/>
    </row>
    <row r="1147" spans="15:59">
      <c r="O1147" s="1"/>
      <c r="P1147" s="1"/>
      <c r="AA1147" s="1"/>
      <c r="AB1147" s="1"/>
      <c r="AG1147" s="1"/>
      <c r="AH1147" s="1"/>
      <c r="AK1147" s="1"/>
      <c r="AL1147" s="1"/>
      <c r="AM1147" s="2"/>
      <c r="AN1147" s="2"/>
      <c r="AQ1147" s="1"/>
      <c r="BG1147" s="1"/>
    </row>
    <row r="1148" spans="15:59">
      <c r="O1148" s="1"/>
      <c r="P1148" s="1"/>
      <c r="AA1148" s="1"/>
      <c r="AB1148" s="1"/>
      <c r="AG1148" s="1"/>
      <c r="AH1148" s="1"/>
      <c r="AK1148" s="1"/>
      <c r="AL1148" s="1"/>
      <c r="AM1148" s="2"/>
      <c r="AN1148" s="2"/>
      <c r="AQ1148" s="1"/>
      <c r="BG1148" s="1"/>
    </row>
    <row r="1149" spans="15:59">
      <c r="O1149" s="1"/>
      <c r="P1149" s="1"/>
      <c r="AA1149" s="1"/>
      <c r="AB1149" s="1"/>
      <c r="AG1149" s="1"/>
      <c r="AH1149" s="1"/>
      <c r="AK1149" s="1"/>
      <c r="AL1149" s="1"/>
      <c r="AM1149" s="2"/>
      <c r="AN1149" s="2"/>
      <c r="AQ1149" s="1"/>
      <c r="BG1149" s="1"/>
    </row>
    <row r="1150" spans="15:59">
      <c r="O1150" s="1"/>
      <c r="P1150" s="1"/>
      <c r="AA1150" s="1"/>
      <c r="AB1150" s="1"/>
      <c r="AG1150" s="1"/>
      <c r="AH1150" s="1"/>
      <c r="AK1150" s="1"/>
      <c r="AL1150" s="1"/>
      <c r="AM1150" s="2"/>
      <c r="AN1150" s="2"/>
      <c r="AQ1150" s="1"/>
      <c r="BG1150" s="1"/>
    </row>
    <row r="1151" spans="15:59">
      <c r="O1151" s="1"/>
      <c r="P1151" s="1"/>
      <c r="AA1151" s="1"/>
      <c r="AB1151" s="1"/>
      <c r="AG1151" s="1"/>
      <c r="AH1151" s="1"/>
      <c r="AK1151" s="1"/>
      <c r="AL1151" s="1"/>
      <c r="AM1151" s="2"/>
      <c r="AN1151" s="2"/>
      <c r="AQ1151" s="1"/>
      <c r="BG1151" s="1"/>
    </row>
    <row r="1152" spans="15:59">
      <c r="O1152" s="1"/>
      <c r="P1152" s="1"/>
      <c r="AA1152" s="1"/>
      <c r="AB1152" s="1"/>
      <c r="AG1152" s="1"/>
      <c r="AH1152" s="1"/>
      <c r="AK1152" s="1"/>
      <c r="AL1152" s="1"/>
      <c r="AM1152" s="2"/>
      <c r="AN1152" s="2"/>
      <c r="AQ1152" s="1"/>
      <c r="BG1152" s="1"/>
    </row>
    <row r="1153" spans="15:59">
      <c r="O1153" s="1"/>
      <c r="P1153" s="1"/>
      <c r="AA1153" s="1"/>
      <c r="AB1153" s="1"/>
      <c r="AG1153" s="1"/>
      <c r="AH1153" s="1"/>
      <c r="AK1153" s="1"/>
      <c r="AL1153" s="1"/>
      <c r="AM1153" s="2"/>
      <c r="AN1153" s="2"/>
      <c r="AQ1153" s="1"/>
      <c r="BG1153" s="1"/>
    </row>
    <row r="1154" spans="15:59">
      <c r="O1154" s="1"/>
      <c r="P1154" s="1"/>
      <c r="AA1154" s="1"/>
      <c r="AB1154" s="1"/>
      <c r="AG1154" s="1"/>
      <c r="AH1154" s="1"/>
      <c r="AK1154" s="1"/>
      <c r="AL1154" s="1"/>
      <c r="AM1154" s="2"/>
      <c r="AN1154" s="2"/>
      <c r="AQ1154" s="1"/>
      <c r="BG1154" s="1"/>
    </row>
    <row r="1155" spans="15:59">
      <c r="O1155" s="1"/>
      <c r="P1155" s="1"/>
      <c r="AA1155" s="1"/>
      <c r="AB1155" s="1"/>
      <c r="AG1155" s="1"/>
      <c r="AH1155" s="1"/>
      <c r="AK1155" s="1"/>
      <c r="AL1155" s="1"/>
      <c r="AM1155" s="2"/>
      <c r="AN1155" s="2"/>
      <c r="AQ1155" s="1"/>
      <c r="BG1155" s="1"/>
    </row>
    <row r="1156" spans="15:59">
      <c r="O1156" s="1"/>
      <c r="P1156" s="1"/>
      <c r="AA1156" s="1"/>
      <c r="AB1156" s="1"/>
      <c r="AG1156" s="1"/>
      <c r="AH1156" s="1"/>
      <c r="AK1156" s="1"/>
      <c r="AL1156" s="1"/>
      <c r="AM1156" s="2"/>
      <c r="AN1156" s="2"/>
      <c r="AQ1156" s="1"/>
      <c r="BG1156" s="1"/>
    </row>
    <row r="1157" spans="15:59">
      <c r="O1157" s="1"/>
      <c r="P1157" s="1"/>
      <c r="AA1157" s="1"/>
      <c r="AB1157" s="1"/>
      <c r="AG1157" s="1"/>
      <c r="AH1157" s="1"/>
      <c r="AK1157" s="1"/>
      <c r="AL1157" s="1"/>
      <c r="AM1157" s="2"/>
      <c r="AN1157" s="2"/>
      <c r="AQ1157" s="1"/>
      <c r="BG1157" s="1"/>
    </row>
    <row r="1158" spans="15:59">
      <c r="O1158" s="1"/>
      <c r="P1158" s="1"/>
      <c r="AA1158" s="1"/>
      <c r="AB1158" s="1"/>
      <c r="AG1158" s="1"/>
      <c r="AH1158" s="1"/>
      <c r="AK1158" s="1"/>
      <c r="AL1158" s="1"/>
      <c r="AM1158" s="2"/>
      <c r="AN1158" s="2"/>
      <c r="AQ1158" s="1"/>
      <c r="BG1158" s="1"/>
    </row>
    <row r="1159" spans="15:59">
      <c r="O1159" s="1"/>
      <c r="P1159" s="1"/>
      <c r="AA1159" s="1"/>
      <c r="AB1159" s="1"/>
      <c r="AG1159" s="1"/>
      <c r="AH1159" s="1"/>
      <c r="AK1159" s="1"/>
      <c r="AL1159" s="1"/>
      <c r="AM1159" s="2"/>
      <c r="AN1159" s="2"/>
      <c r="AQ1159" s="1"/>
      <c r="BG1159" s="1"/>
    </row>
    <row r="1160" spans="15:59">
      <c r="O1160" s="1"/>
      <c r="P1160" s="1"/>
      <c r="AA1160" s="1"/>
      <c r="AB1160" s="1"/>
      <c r="AG1160" s="1"/>
      <c r="AH1160" s="1"/>
      <c r="AK1160" s="1"/>
      <c r="AL1160" s="1"/>
      <c r="AM1160" s="2"/>
      <c r="AN1160" s="2"/>
      <c r="AQ1160" s="1"/>
      <c r="BG1160" s="1"/>
    </row>
    <row r="1161" spans="15:59">
      <c r="O1161" s="1"/>
      <c r="P1161" s="1"/>
      <c r="AA1161" s="1"/>
      <c r="AB1161" s="1"/>
      <c r="AG1161" s="1"/>
      <c r="AH1161" s="1"/>
      <c r="AK1161" s="1"/>
      <c r="AL1161" s="1"/>
      <c r="AM1161" s="2"/>
      <c r="AN1161" s="2"/>
      <c r="AQ1161" s="1"/>
      <c r="BG1161" s="1"/>
    </row>
    <row r="1162" spans="15:59">
      <c r="O1162" s="1"/>
      <c r="P1162" s="1"/>
      <c r="AA1162" s="1"/>
      <c r="AB1162" s="1"/>
      <c r="AG1162" s="1"/>
      <c r="AH1162" s="1"/>
      <c r="AK1162" s="1"/>
      <c r="AL1162" s="1"/>
      <c r="AM1162" s="2"/>
      <c r="AN1162" s="2"/>
      <c r="AQ1162" s="1"/>
      <c r="BG1162" s="1"/>
    </row>
    <row r="1163" spans="15:59">
      <c r="O1163" s="1"/>
      <c r="P1163" s="1"/>
      <c r="AA1163" s="1"/>
      <c r="AB1163" s="1"/>
      <c r="AG1163" s="1"/>
      <c r="AH1163" s="1"/>
      <c r="AK1163" s="1"/>
      <c r="AL1163" s="1"/>
      <c r="AM1163" s="2"/>
      <c r="AN1163" s="2"/>
      <c r="AQ1163" s="1"/>
      <c r="BG1163" s="1"/>
    </row>
    <row r="1164" spans="15:59">
      <c r="O1164" s="1"/>
      <c r="P1164" s="1"/>
      <c r="AA1164" s="1"/>
      <c r="AB1164" s="1"/>
      <c r="AG1164" s="1"/>
      <c r="AH1164" s="1"/>
      <c r="AK1164" s="1"/>
      <c r="AL1164" s="1"/>
      <c r="AM1164" s="2"/>
      <c r="AN1164" s="2"/>
      <c r="AQ1164" s="1"/>
      <c r="BG1164" s="1"/>
    </row>
    <row r="1165" spans="15:59">
      <c r="O1165" s="1"/>
      <c r="P1165" s="1"/>
      <c r="AA1165" s="1"/>
      <c r="AB1165" s="1"/>
      <c r="AG1165" s="1"/>
      <c r="AH1165" s="1"/>
      <c r="AK1165" s="1"/>
      <c r="AL1165" s="1"/>
      <c r="AM1165" s="2"/>
      <c r="AN1165" s="2"/>
      <c r="AQ1165" s="1"/>
      <c r="BG1165" s="1"/>
    </row>
    <row r="1166" spans="15:59">
      <c r="O1166" s="1"/>
      <c r="P1166" s="1"/>
      <c r="AA1166" s="1"/>
      <c r="AB1166" s="1"/>
      <c r="AG1166" s="1"/>
      <c r="AH1166" s="1"/>
      <c r="AK1166" s="1"/>
      <c r="AL1166" s="1"/>
      <c r="AM1166" s="2"/>
      <c r="AN1166" s="2"/>
      <c r="AQ1166" s="1"/>
      <c r="BG1166" s="1"/>
    </row>
    <row r="1167" spans="15:59">
      <c r="O1167" s="1"/>
      <c r="P1167" s="1"/>
      <c r="AA1167" s="1"/>
      <c r="AB1167" s="1"/>
      <c r="AG1167" s="1"/>
      <c r="AH1167" s="1"/>
      <c r="AK1167" s="1"/>
      <c r="AL1167" s="1"/>
      <c r="AM1167" s="2"/>
      <c r="AN1167" s="2"/>
      <c r="AQ1167" s="1"/>
      <c r="BG1167" s="1"/>
    </row>
    <row r="1168" spans="15:59">
      <c r="O1168" s="1"/>
      <c r="P1168" s="1"/>
      <c r="AA1168" s="1"/>
      <c r="AB1168" s="1"/>
      <c r="AG1168" s="1"/>
      <c r="AH1168" s="1"/>
      <c r="AK1168" s="1"/>
      <c r="AL1168" s="1"/>
      <c r="AM1168" s="2"/>
      <c r="AN1168" s="2"/>
      <c r="AQ1168" s="1"/>
      <c r="BG1168" s="1"/>
    </row>
    <row r="1169" spans="15:59">
      <c r="O1169" s="1"/>
      <c r="P1169" s="1"/>
      <c r="AA1169" s="1"/>
      <c r="AB1169" s="1"/>
      <c r="AG1169" s="1"/>
      <c r="AH1169" s="1"/>
      <c r="AK1169" s="1"/>
      <c r="AL1169" s="1"/>
      <c r="AM1169" s="2"/>
      <c r="AN1169" s="2"/>
      <c r="AQ1169" s="1"/>
      <c r="BG1169" s="1"/>
    </row>
    <row r="1170" spans="15:59">
      <c r="O1170" s="1"/>
      <c r="P1170" s="1"/>
      <c r="AA1170" s="1"/>
      <c r="AB1170" s="1"/>
      <c r="AG1170" s="1"/>
      <c r="AH1170" s="1"/>
      <c r="AK1170" s="1"/>
      <c r="AL1170" s="1"/>
      <c r="AM1170" s="2"/>
      <c r="AN1170" s="2"/>
      <c r="AQ1170" s="1"/>
      <c r="BG1170" s="1"/>
    </row>
    <row r="1171" spans="15:59">
      <c r="O1171" s="1"/>
      <c r="P1171" s="1"/>
      <c r="AA1171" s="1"/>
      <c r="AB1171" s="1"/>
      <c r="AG1171" s="1"/>
      <c r="AH1171" s="1"/>
      <c r="AK1171" s="1"/>
      <c r="AL1171" s="1"/>
      <c r="AM1171" s="2"/>
      <c r="AN1171" s="2"/>
      <c r="AQ1171" s="1"/>
      <c r="BG1171" s="1"/>
    </row>
    <row r="1172" spans="15:59">
      <c r="O1172" s="1"/>
      <c r="P1172" s="1"/>
      <c r="AA1172" s="1"/>
      <c r="AB1172" s="1"/>
      <c r="AG1172" s="1"/>
      <c r="AH1172" s="1"/>
      <c r="AK1172" s="1"/>
      <c r="AL1172" s="1"/>
      <c r="AM1172" s="2"/>
      <c r="AN1172" s="2"/>
      <c r="AQ1172" s="1"/>
      <c r="BG1172" s="1"/>
    </row>
    <row r="1173" spans="15:59">
      <c r="O1173" s="1"/>
      <c r="P1173" s="1"/>
      <c r="AA1173" s="1"/>
      <c r="AB1173" s="1"/>
      <c r="AG1173" s="1"/>
      <c r="AH1173" s="1"/>
      <c r="AK1173" s="1"/>
      <c r="AL1173" s="1"/>
      <c r="AM1173" s="2"/>
      <c r="AN1173" s="2"/>
      <c r="AQ1173" s="1"/>
      <c r="BG1173" s="1"/>
    </row>
    <row r="1174" spans="15:59">
      <c r="O1174" s="1"/>
      <c r="P1174" s="1"/>
      <c r="AA1174" s="1"/>
      <c r="AB1174" s="1"/>
      <c r="AG1174" s="1"/>
      <c r="AH1174" s="1"/>
      <c r="AK1174" s="1"/>
      <c r="AL1174" s="1"/>
      <c r="AM1174" s="2"/>
      <c r="AN1174" s="2"/>
      <c r="AQ1174" s="1"/>
      <c r="BG1174" s="1"/>
    </row>
    <row r="1175" spans="15:59">
      <c r="O1175" s="1"/>
      <c r="P1175" s="1"/>
      <c r="AA1175" s="1"/>
      <c r="AB1175" s="1"/>
      <c r="AG1175" s="1"/>
      <c r="AH1175" s="1"/>
      <c r="AK1175" s="1"/>
      <c r="AL1175" s="1"/>
      <c r="AM1175" s="2"/>
      <c r="AN1175" s="2"/>
      <c r="AQ1175" s="1"/>
      <c r="BG1175" s="1"/>
    </row>
    <row r="1176" spans="15:59">
      <c r="O1176" s="1"/>
      <c r="P1176" s="1"/>
      <c r="AA1176" s="1"/>
      <c r="AB1176" s="1"/>
      <c r="AG1176" s="1"/>
      <c r="AH1176" s="1"/>
      <c r="AK1176" s="1"/>
      <c r="AL1176" s="1"/>
      <c r="AM1176" s="2"/>
      <c r="AN1176" s="2"/>
      <c r="AQ1176" s="1"/>
      <c r="BG1176" s="1"/>
    </row>
    <row r="1177" spans="15:59">
      <c r="O1177" s="1"/>
      <c r="P1177" s="1"/>
      <c r="AA1177" s="1"/>
      <c r="AB1177" s="1"/>
      <c r="AG1177" s="1"/>
      <c r="AH1177" s="1"/>
      <c r="AK1177" s="1"/>
      <c r="AL1177" s="1"/>
      <c r="AM1177" s="2"/>
      <c r="AN1177" s="2"/>
      <c r="AQ1177" s="1"/>
      <c r="BG1177" s="1"/>
    </row>
    <row r="1178" spans="15:59">
      <c r="O1178" s="1"/>
      <c r="P1178" s="1"/>
      <c r="AA1178" s="1"/>
      <c r="AB1178" s="1"/>
      <c r="AG1178" s="1"/>
      <c r="AH1178" s="1"/>
      <c r="AK1178" s="1"/>
      <c r="AL1178" s="1"/>
      <c r="AM1178" s="2"/>
      <c r="AN1178" s="2"/>
      <c r="AQ1178" s="1"/>
      <c r="BG1178" s="1"/>
    </row>
    <row r="1179" spans="15:59">
      <c r="O1179" s="1"/>
      <c r="P1179" s="1"/>
      <c r="AA1179" s="1"/>
      <c r="AB1179" s="1"/>
      <c r="AG1179" s="1"/>
      <c r="AH1179" s="1"/>
      <c r="AK1179" s="1"/>
      <c r="AL1179" s="1"/>
      <c r="AM1179" s="2"/>
      <c r="AN1179" s="2"/>
      <c r="AQ1179" s="1"/>
      <c r="BG1179" s="1"/>
    </row>
    <row r="1180" spans="15:59">
      <c r="O1180" s="1"/>
      <c r="P1180" s="1"/>
      <c r="AA1180" s="1"/>
      <c r="AB1180" s="1"/>
      <c r="AG1180" s="1"/>
      <c r="AH1180" s="1"/>
      <c r="AK1180" s="1"/>
      <c r="AL1180" s="1"/>
      <c r="AM1180" s="2"/>
      <c r="AN1180" s="2"/>
      <c r="AQ1180" s="1"/>
      <c r="BG1180" s="1"/>
    </row>
    <row r="1181" spans="15:59">
      <c r="O1181" s="1"/>
      <c r="P1181" s="1"/>
      <c r="AA1181" s="1"/>
      <c r="AB1181" s="1"/>
      <c r="AG1181" s="1"/>
      <c r="AH1181" s="1"/>
      <c r="AK1181" s="1"/>
      <c r="AL1181" s="1"/>
      <c r="AM1181" s="2"/>
      <c r="AN1181" s="2"/>
      <c r="AQ1181" s="1"/>
      <c r="BG1181" s="1"/>
    </row>
    <row r="1182" spans="15:59">
      <c r="O1182" s="1"/>
      <c r="P1182" s="1"/>
      <c r="AA1182" s="1"/>
      <c r="AB1182" s="1"/>
      <c r="AG1182" s="1"/>
      <c r="AH1182" s="1"/>
      <c r="AK1182" s="1"/>
      <c r="AL1182" s="1"/>
      <c r="AM1182" s="2"/>
      <c r="AN1182" s="2"/>
      <c r="AQ1182" s="1"/>
      <c r="BG1182" s="1"/>
    </row>
    <row r="1183" spans="15:59">
      <c r="O1183" s="1"/>
      <c r="P1183" s="1"/>
      <c r="AA1183" s="1"/>
      <c r="AB1183" s="1"/>
      <c r="AG1183" s="1"/>
      <c r="AH1183" s="1"/>
      <c r="AK1183" s="1"/>
      <c r="AL1183" s="1"/>
      <c r="AM1183" s="2"/>
      <c r="AN1183" s="2"/>
      <c r="AQ1183" s="1"/>
      <c r="BG1183" s="1"/>
    </row>
    <row r="1184" spans="15:59">
      <c r="O1184" s="1"/>
      <c r="P1184" s="1"/>
      <c r="AA1184" s="1"/>
      <c r="AB1184" s="1"/>
      <c r="AG1184" s="1"/>
      <c r="AH1184" s="1"/>
      <c r="AK1184" s="1"/>
      <c r="AL1184" s="1"/>
      <c r="AM1184" s="2"/>
      <c r="AN1184" s="2"/>
      <c r="AQ1184" s="1"/>
      <c r="BG1184" s="1"/>
    </row>
    <row r="1185" spans="15:59">
      <c r="O1185" s="1"/>
      <c r="P1185" s="1"/>
      <c r="AA1185" s="1"/>
      <c r="AB1185" s="1"/>
      <c r="AG1185" s="1"/>
      <c r="AH1185" s="1"/>
      <c r="AK1185" s="1"/>
      <c r="AL1185" s="1"/>
      <c r="AM1185" s="2"/>
      <c r="AN1185" s="2"/>
      <c r="AQ1185" s="1"/>
      <c r="BG1185" s="1"/>
    </row>
    <row r="1186" spans="15:59">
      <c r="O1186" s="1"/>
      <c r="P1186" s="1"/>
      <c r="AA1186" s="1"/>
      <c r="AB1186" s="1"/>
      <c r="AG1186" s="1"/>
      <c r="AH1186" s="1"/>
      <c r="AK1186" s="1"/>
      <c r="AL1186" s="1"/>
      <c r="AM1186" s="2"/>
      <c r="AN1186" s="2"/>
      <c r="AQ1186" s="1"/>
      <c r="BG1186" s="1"/>
    </row>
    <row r="1187" spans="15:59">
      <c r="O1187" s="1"/>
      <c r="P1187" s="1"/>
      <c r="AA1187" s="1"/>
      <c r="AB1187" s="1"/>
      <c r="AG1187" s="1"/>
      <c r="AH1187" s="1"/>
      <c r="AK1187" s="1"/>
      <c r="AL1187" s="1"/>
      <c r="AM1187" s="2"/>
      <c r="AN1187" s="2"/>
      <c r="AQ1187" s="1"/>
      <c r="BG1187" s="1"/>
    </row>
    <row r="1188" spans="15:59">
      <c r="O1188" s="1"/>
      <c r="P1188" s="1"/>
      <c r="AA1188" s="1"/>
      <c r="AB1188" s="1"/>
      <c r="AG1188" s="1"/>
      <c r="AH1188" s="1"/>
      <c r="AK1188" s="1"/>
      <c r="AL1188" s="1"/>
      <c r="AM1188" s="2"/>
      <c r="AN1188" s="2"/>
      <c r="AQ1188" s="1"/>
      <c r="BG1188" s="1"/>
    </row>
    <row r="1189" spans="15:59">
      <c r="O1189" s="1"/>
      <c r="P1189" s="1"/>
      <c r="AA1189" s="1"/>
      <c r="AB1189" s="1"/>
      <c r="AG1189" s="1"/>
      <c r="AH1189" s="1"/>
      <c r="AK1189" s="1"/>
      <c r="AL1189" s="1"/>
      <c r="AM1189" s="2"/>
      <c r="AN1189" s="2"/>
      <c r="AQ1189" s="1"/>
      <c r="BG1189" s="1"/>
    </row>
    <row r="1190" spans="15:59">
      <c r="O1190" s="1"/>
      <c r="P1190" s="1"/>
      <c r="AA1190" s="1"/>
      <c r="AB1190" s="1"/>
      <c r="AG1190" s="1"/>
      <c r="AH1190" s="1"/>
      <c r="AK1190" s="1"/>
      <c r="AL1190" s="1"/>
      <c r="AM1190" s="2"/>
      <c r="AN1190" s="2"/>
      <c r="AQ1190" s="1"/>
      <c r="BG1190" s="1"/>
    </row>
    <row r="1191" spans="15:59">
      <c r="O1191" s="1"/>
      <c r="P1191" s="1"/>
      <c r="AA1191" s="1"/>
      <c r="AB1191" s="1"/>
      <c r="AG1191" s="1"/>
      <c r="AH1191" s="1"/>
      <c r="AK1191" s="1"/>
      <c r="AL1191" s="1"/>
      <c r="AM1191" s="2"/>
      <c r="AN1191" s="2"/>
      <c r="AQ1191" s="1"/>
      <c r="BG1191" s="1"/>
    </row>
    <row r="1192" spans="15:59">
      <c r="O1192" s="1"/>
      <c r="P1192" s="1"/>
      <c r="AA1192" s="1"/>
      <c r="AB1192" s="1"/>
      <c r="AG1192" s="1"/>
      <c r="AH1192" s="1"/>
      <c r="AK1192" s="1"/>
      <c r="AL1192" s="1"/>
      <c r="AM1192" s="2"/>
      <c r="AN1192" s="2"/>
      <c r="AQ1192" s="1"/>
      <c r="BG1192" s="1"/>
    </row>
    <row r="1193" spans="15:59">
      <c r="O1193" s="1"/>
      <c r="P1193" s="1"/>
      <c r="AA1193" s="1"/>
      <c r="AB1193" s="1"/>
      <c r="AG1193" s="1"/>
      <c r="AH1193" s="1"/>
      <c r="AK1193" s="1"/>
      <c r="AL1193" s="1"/>
      <c r="AM1193" s="2"/>
      <c r="AN1193" s="2"/>
      <c r="AQ1193" s="1"/>
      <c r="BG1193" s="1"/>
    </row>
    <row r="1194" spans="15:59">
      <c r="O1194" s="1"/>
      <c r="P1194" s="1"/>
      <c r="AA1194" s="1"/>
      <c r="AB1194" s="1"/>
      <c r="AG1194" s="1"/>
      <c r="AH1194" s="1"/>
      <c r="AK1194" s="1"/>
      <c r="AL1194" s="1"/>
      <c r="AM1194" s="2"/>
      <c r="AN1194" s="2"/>
      <c r="AQ1194" s="1"/>
      <c r="BG1194" s="1"/>
    </row>
    <row r="1195" spans="15:59">
      <c r="O1195" s="1"/>
      <c r="P1195" s="1"/>
      <c r="AA1195" s="1"/>
      <c r="AB1195" s="1"/>
      <c r="AG1195" s="1"/>
      <c r="AH1195" s="1"/>
      <c r="AK1195" s="1"/>
      <c r="AL1195" s="1"/>
      <c r="AM1195" s="2"/>
      <c r="AN1195" s="2"/>
      <c r="AQ1195" s="1"/>
      <c r="BG1195" s="1"/>
    </row>
    <row r="1196" spans="15:59">
      <c r="O1196" s="1"/>
      <c r="P1196" s="1"/>
      <c r="AA1196" s="1"/>
      <c r="AB1196" s="1"/>
      <c r="AG1196" s="1"/>
      <c r="AH1196" s="1"/>
      <c r="AK1196" s="1"/>
      <c r="AL1196" s="1"/>
      <c r="AM1196" s="2"/>
      <c r="AN1196" s="2"/>
      <c r="AQ1196" s="1"/>
      <c r="BG1196" s="1"/>
    </row>
    <row r="1197" spans="15:59">
      <c r="O1197" s="1"/>
      <c r="P1197" s="1"/>
      <c r="AA1197" s="1"/>
      <c r="AB1197" s="1"/>
      <c r="AG1197" s="1"/>
      <c r="AH1197" s="1"/>
      <c r="AK1197" s="1"/>
      <c r="AL1197" s="1"/>
      <c r="AM1197" s="2"/>
      <c r="AN1197" s="2"/>
      <c r="AQ1197" s="1"/>
      <c r="BG1197" s="1"/>
    </row>
    <row r="1198" spans="15:59">
      <c r="O1198" s="1"/>
      <c r="P1198" s="1"/>
      <c r="AA1198" s="1"/>
      <c r="AB1198" s="1"/>
      <c r="AG1198" s="1"/>
      <c r="AH1198" s="1"/>
      <c r="AK1198" s="1"/>
      <c r="AL1198" s="1"/>
      <c r="AM1198" s="2"/>
      <c r="AN1198" s="2"/>
      <c r="AQ1198" s="1"/>
      <c r="BG1198" s="1"/>
    </row>
    <row r="1199" spans="15:59">
      <c r="O1199" s="1"/>
      <c r="P1199" s="1"/>
      <c r="AA1199" s="1"/>
      <c r="AB1199" s="1"/>
      <c r="AG1199" s="1"/>
      <c r="AH1199" s="1"/>
      <c r="AK1199" s="1"/>
      <c r="AL1199" s="1"/>
      <c r="AM1199" s="2"/>
      <c r="AN1199" s="2"/>
      <c r="AQ1199" s="1"/>
      <c r="BG1199" s="1"/>
    </row>
    <row r="1200" spans="15:59">
      <c r="O1200" s="1"/>
      <c r="P1200" s="1"/>
      <c r="AA1200" s="1"/>
      <c r="AB1200" s="1"/>
      <c r="AG1200" s="1"/>
      <c r="AH1200" s="1"/>
      <c r="AK1200" s="1"/>
      <c r="AL1200" s="1"/>
      <c r="AM1200" s="2"/>
      <c r="AN1200" s="2"/>
      <c r="AQ1200" s="1"/>
      <c r="BG1200" s="1"/>
    </row>
    <row r="1201" spans="15:59">
      <c r="O1201" s="1"/>
      <c r="P1201" s="1"/>
      <c r="AA1201" s="1"/>
      <c r="AB1201" s="1"/>
      <c r="AG1201" s="1"/>
      <c r="AH1201" s="1"/>
      <c r="AK1201" s="1"/>
      <c r="AL1201" s="1"/>
      <c r="AM1201" s="2"/>
      <c r="AN1201" s="2"/>
      <c r="AQ1201" s="1"/>
      <c r="BG1201" s="1"/>
    </row>
    <row r="1202" spans="15:59">
      <c r="O1202" s="1"/>
      <c r="P1202" s="1"/>
      <c r="AA1202" s="1"/>
      <c r="AB1202" s="1"/>
      <c r="AG1202" s="1"/>
      <c r="AH1202" s="1"/>
      <c r="AK1202" s="1"/>
      <c r="AL1202" s="1"/>
      <c r="AM1202" s="2"/>
      <c r="AN1202" s="2"/>
      <c r="AQ1202" s="1"/>
      <c r="BG1202" s="1"/>
    </row>
    <row r="1203" spans="15:59">
      <c r="O1203" s="1"/>
      <c r="P1203" s="1"/>
      <c r="AA1203" s="1"/>
      <c r="AB1203" s="1"/>
      <c r="AG1203" s="1"/>
      <c r="AH1203" s="1"/>
      <c r="AK1203" s="1"/>
      <c r="AL1203" s="1"/>
      <c r="AM1203" s="2"/>
      <c r="AN1203" s="2"/>
      <c r="AQ1203" s="1"/>
      <c r="BG1203" s="1"/>
    </row>
    <row r="1204" spans="15:59">
      <c r="O1204" s="1"/>
      <c r="P1204" s="1"/>
      <c r="AA1204" s="1"/>
      <c r="AB1204" s="1"/>
      <c r="AG1204" s="1"/>
      <c r="AH1204" s="1"/>
      <c r="AK1204" s="1"/>
      <c r="AL1204" s="1"/>
      <c r="AM1204" s="2"/>
      <c r="AN1204" s="2"/>
      <c r="AQ1204" s="1"/>
      <c r="BG1204" s="1"/>
    </row>
    <row r="1205" spans="15:59">
      <c r="O1205" s="1"/>
      <c r="P1205" s="1"/>
      <c r="AA1205" s="1"/>
      <c r="AB1205" s="1"/>
      <c r="AG1205" s="1"/>
      <c r="AH1205" s="1"/>
      <c r="AK1205" s="1"/>
      <c r="AL1205" s="1"/>
      <c r="AM1205" s="2"/>
      <c r="AN1205" s="2"/>
      <c r="AQ1205" s="1"/>
      <c r="BG1205" s="1"/>
    </row>
    <row r="1206" spans="15:59">
      <c r="O1206" s="1"/>
      <c r="P1206" s="1"/>
      <c r="AA1206" s="1"/>
      <c r="AB1206" s="1"/>
      <c r="AG1206" s="1"/>
      <c r="AH1206" s="1"/>
      <c r="AK1206" s="1"/>
      <c r="AL1206" s="1"/>
      <c r="AM1206" s="2"/>
      <c r="AN1206" s="2"/>
      <c r="AQ1206" s="1"/>
      <c r="BG1206" s="1"/>
    </row>
    <row r="1207" spans="15:59">
      <c r="O1207" s="1"/>
      <c r="P1207" s="1"/>
      <c r="AA1207" s="1"/>
      <c r="AB1207" s="1"/>
      <c r="AG1207" s="1"/>
      <c r="AH1207" s="1"/>
      <c r="AK1207" s="1"/>
      <c r="AL1207" s="1"/>
      <c r="AM1207" s="2"/>
      <c r="AN1207" s="2"/>
      <c r="AQ1207" s="1"/>
      <c r="BG1207" s="1"/>
    </row>
    <row r="1208" spans="15:59">
      <c r="O1208" s="1"/>
      <c r="P1208" s="1"/>
      <c r="AA1208" s="1"/>
      <c r="AB1208" s="1"/>
      <c r="AG1208" s="1"/>
      <c r="AH1208" s="1"/>
      <c r="AK1208" s="1"/>
      <c r="AL1208" s="1"/>
      <c r="AM1208" s="2"/>
      <c r="AN1208" s="2"/>
      <c r="AQ1208" s="1"/>
      <c r="BG1208" s="1"/>
    </row>
    <row r="1209" spans="15:59">
      <c r="O1209" s="1"/>
      <c r="P1209" s="1"/>
      <c r="AA1209" s="1"/>
      <c r="AB1209" s="1"/>
      <c r="AG1209" s="1"/>
      <c r="AH1209" s="1"/>
      <c r="AK1209" s="1"/>
      <c r="AL1209" s="1"/>
      <c r="AM1209" s="2"/>
      <c r="AN1209" s="2"/>
      <c r="AQ1209" s="1"/>
      <c r="BG1209" s="1"/>
    </row>
    <row r="1210" spans="15:59">
      <c r="O1210" s="1"/>
      <c r="P1210" s="1"/>
      <c r="AA1210" s="1"/>
      <c r="AB1210" s="1"/>
      <c r="AG1210" s="1"/>
      <c r="AH1210" s="1"/>
      <c r="AK1210" s="1"/>
      <c r="AL1210" s="1"/>
      <c r="AM1210" s="2"/>
      <c r="AN1210" s="2"/>
      <c r="AQ1210" s="1"/>
      <c r="BG1210" s="1"/>
    </row>
    <row r="1211" spans="15:59">
      <c r="O1211" s="1"/>
      <c r="P1211" s="1"/>
      <c r="AA1211" s="1"/>
      <c r="AB1211" s="1"/>
      <c r="AG1211" s="1"/>
      <c r="AH1211" s="1"/>
      <c r="AK1211" s="1"/>
      <c r="AL1211" s="1"/>
      <c r="AM1211" s="2"/>
      <c r="AN1211" s="2"/>
      <c r="AQ1211" s="1"/>
      <c r="BG1211" s="1"/>
    </row>
    <row r="1212" spans="15:59">
      <c r="O1212" s="1"/>
      <c r="P1212" s="1"/>
      <c r="AA1212" s="1"/>
      <c r="AB1212" s="1"/>
      <c r="AG1212" s="1"/>
      <c r="AH1212" s="1"/>
      <c r="AK1212" s="1"/>
      <c r="AL1212" s="1"/>
      <c r="AM1212" s="2"/>
      <c r="AN1212" s="2"/>
      <c r="AQ1212" s="1"/>
      <c r="BG1212" s="1"/>
    </row>
    <row r="1213" spans="15:59">
      <c r="O1213" s="1"/>
      <c r="P1213" s="1"/>
      <c r="AA1213" s="1"/>
      <c r="AB1213" s="1"/>
      <c r="AG1213" s="1"/>
      <c r="AH1213" s="1"/>
      <c r="AK1213" s="1"/>
      <c r="AL1213" s="1"/>
      <c r="AM1213" s="2"/>
      <c r="AN1213" s="2"/>
      <c r="AQ1213" s="1"/>
      <c r="BG1213" s="1"/>
    </row>
    <row r="1214" spans="15:59">
      <c r="O1214" s="1"/>
      <c r="P1214" s="1"/>
      <c r="AA1214" s="1"/>
      <c r="AB1214" s="1"/>
      <c r="AG1214" s="1"/>
      <c r="AH1214" s="1"/>
      <c r="AK1214" s="1"/>
      <c r="AL1214" s="1"/>
      <c r="AM1214" s="2"/>
      <c r="AN1214" s="2"/>
      <c r="AQ1214" s="1"/>
      <c r="BG1214" s="1"/>
    </row>
    <row r="1215" spans="15:59">
      <c r="O1215" s="1"/>
      <c r="P1215" s="1"/>
      <c r="AA1215" s="1"/>
      <c r="AB1215" s="1"/>
      <c r="AG1215" s="1"/>
      <c r="AH1215" s="1"/>
      <c r="AK1215" s="1"/>
      <c r="AL1215" s="1"/>
      <c r="AM1215" s="2"/>
      <c r="AN1215" s="2"/>
      <c r="AQ1215" s="1"/>
      <c r="BG1215" s="1"/>
    </row>
    <row r="1216" spans="15:59">
      <c r="O1216" s="1"/>
      <c r="P1216" s="1"/>
      <c r="AA1216" s="1"/>
      <c r="AB1216" s="1"/>
      <c r="AG1216" s="1"/>
      <c r="AH1216" s="1"/>
      <c r="AK1216" s="1"/>
      <c r="AL1216" s="1"/>
      <c r="AM1216" s="2"/>
      <c r="AN1216" s="2"/>
      <c r="AQ1216" s="1"/>
      <c r="BG1216" s="1"/>
    </row>
    <row r="1217" spans="15:59">
      <c r="O1217" s="1"/>
      <c r="P1217" s="1"/>
      <c r="AA1217" s="1"/>
      <c r="AB1217" s="1"/>
      <c r="AG1217" s="1"/>
      <c r="AH1217" s="1"/>
      <c r="AK1217" s="1"/>
      <c r="AL1217" s="1"/>
      <c r="AM1217" s="2"/>
      <c r="AN1217" s="2"/>
      <c r="AQ1217" s="1"/>
      <c r="BG1217" s="1"/>
    </row>
    <row r="1218" spans="15:59">
      <c r="O1218" s="1"/>
      <c r="P1218" s="1"/>
      <c r="AA1218" s="1"/>
      <c r="AB1218" s="1"/>
      <c r="AG1218" s="1"/>
      <c r="AH1218" s="1"/>
      <c r="AK1218" s="1"/>
      <c r="AL1218" s="1"/>
      <c r="AM1218" s="2"/>
      <c r="AN1218" s="2"/>
      <c r="AQ1218" s="1"/>
      <c r="BG1218" s="1"/>
    </row>
    <row r="1219" spans="15:59">
      <c r="O1219" s="1"/>
      <c r="P1219" s="1"/>
      <c r="AA1219" s="1"/>
      <c r="AB1219" s="1"/>
      <c r="AG1219" s="1"/>
      <c r="AH1219" s="1"/>
      <c r="AK1219" s="1"/>
      <c r="AL1219" s="1"/>
      <c r="AM1219" s="2"/>
      <c r="AN1219" s="2"/>
      <c r="AQ1219" s="1"/>
      <c r="BG1219" s="1"/>
    </row>
    <row r="1220" spans="15:59">
      <c r="O1220" s="1"/>
      <c r="P1220" s="1"/>
      <c r="AA1220" s="1"/>
      <c r="AB1220" s="1"/>
      <c r="AG1220" s="1"/>
      <c r="AH1220" s="1"/>
      <c r="AK1220" s="1"/>
      <c r="AL1220" s="1"/>
      <c r="AM1220" s="2"/>
      <c r="AN1220" s="2"/>
      <c r="AQ1220" s="1"/>
      <c r="BG1220" s="1"/>
    </row>
    <row r="1221" spans="15:59">
      <c r="O1221" s="1"/>
      <c r="P1221" s="1"/>
      <c r="AA1221" s="1"/>
      <c r="AB1221" s="1"/>
      <c r="AG1221" s="1"/>
      <c r="AH1221" s="1"/>
      <c r="AK1221" s="1"/>
      <c r="AL1221" s="1"/>
      <c r="AM1221" s="2"/>
      <c r="AN1221" s="2"/>
      <c r="AQ1221" s="1"/>
      <c r="BG1221" s="1"/>
    </row>
    <row r="1222" spans="15:59">
      <c r="O1222" s="1"/>
      <c r="P1222" s="1"/>
      <c r="AA1222" s="1"/>
      <c r="AB1222" s="1"/>
      <c r="AG1222" s="1"/>
      <c r="AH1222" s="1"/>
      <c r="AK1222" s="1"/>
      <c r="AL1222" s="1"/>
      <c r="AM1222" s="2"/>
      <c r="AN1222" s="2"/>
      <c r="AQ1222" s="1"/>
      <c r="BG1222" s="1"/>
    </row>
    <row r="1223" spans="15:59">
      <c r="O1223" s="1"/>
      <c r="P1223" s="1"/>
      <c r="AA1223" s="1"/>
      <c r="AB1223" s="1"/>
      <c r="AG1223" s="1"/>
      <c r="AH1223" s="1"/>
      <c r="AK1223" s="1"/>
      <c r="AL1223" s="1"/>
      <c r="AM1223" s="2"/>
      <c r="AN1223" s="2"/>
      <c r="AQ1223" s="1"/>
      <c r="BG1223" s="1"/>
    </row>
    <row r="1224" spans="15:59">
      <c r="O1224" s="1"/>
      <c r="P1224" s="1"/>
      <c r="AA1224" s="1"/>
      <c r="AB1224" s="1"/>
      <c r="AG1224" s="1"/>
      <c r="AH1224" s="1"/>
      <c r="AK1224" s="1"/>
      <c r="AL1224" s="1"/>
      <c r="AM1224" s="2"/>
      <c r="AN1224" s="2"/>
      <c r="AQ1224" s="1"/>
      <c r="BG1224" s="1"/>
    </row>
    <row r="1225" spans="15:59">
      <c r="O1225" s="1"/>
      <c r="P1225" s="1"/>
      <c r="AA1225" s="1"/>
      <c r="AB1225" s="1"/>
      <c r="AG1225" s="1"/>
      <c r="AH1225" s="1"/>
      <c r="AK1225" s="1"/>
      <c r="AL1225" s="1"/>
      <c r="AM1225" s="2"/>
      <c r="AN1225" s="2"/>
      <c r="AQ1225" s="1"/>
      <c r="BG1225" s="1"/>
    </row>
    <row r="1226" spans="15:59">
      <c r="O1226" s="1"/>
      <c r="P1226" s="1"/>
      <c r="AA1226" s="1"/>
      <c r="AB1226" s="1"/>
      <c r="AG1226" s="1"/>
      <c r="AH1226" s="1"/>
      <c r="AK1226" s="1"/>
      <c r="AL1226" s="1"/>
      <c r="AM1226" s="2"/>
      <c r="AN1226" s="2"/>
      <c r="AQ1226" s="1"/>
      <c r="BG1226" s="1"/>
    </row>
    <row r="1227" spans="15:59">
      <c r="O1227" s="1"/>
      <c r="P1227" s="1"/>
      <c r="AA1227" s="1"/>
      <c r="AB1227" s="1"/>
      <c r="AG1227" s="1"/>
      <c r="AH1227" s="1"/>
      <c r="AK1227" s="1"/>
      <c r="AL1227" s="1"/>
      <c r="AM1227" s="2"/>
      <c r="AN1227" s="2"/>
      <c r="AQ1227" s="1"/>
      <c r="BG1227" s="1"/>
    </row>
    <row r="1228" spans="15:59">
      <c r="O1228" s="1"/>
      <c r="P1228" s="1"/>
      <c r="AA1228" s="1"/>
      <c r="AB1228" s="1"/>
      <c r="AG1228" s="1"/>
      <c r="AH1228" s="1"/>
      <c r="AK1228" s="1"/>
      <c r="AL1228" s="1"/>
      <c r="AM1228" s="2"/>
      <c r="AN1228" s="2"/>
      <c r="AQ1228" s="1"/>
      <c r="BG1228" s="1"/>
    </row>
    <row r="1229" spans="15:59">
      <c r="O1229" s="1"/>
      <c r="P1229" s="1"/>
      <c r="AA1229" s="1"/>
      <c r="AB1229" s="1"/>
      <c r="AG1229" s="1"/>
      <c r="AH1229" s="1"/>
      <c r="AK1229" s="1"/>
      <c r="AL1229" s="1"/>
      <c r="AM1229" s="2"/>
      <c r="AN1229" s="2"/>
      <c r="AQ1229" s="1"/>
      <c r="BG1229" s="1"/>
    </row>
    <row r="1230" spans="15:59">
      <c r="O1230" s="1"/>
      <c r="P1230" s="1"/>
      <c r="AA1230" s="1"/>
      <c r="AB1230" s="1"/>
      <c r="AG1230" s="1"/>
      <c r="AH1230" s="1"/>
      <c r="AK1230" s="1"/>
      <c r="AL1230" s="1"/>
      <c r="AM1230" s="2"/>
      <c r="AN1230" s="2"/>
      <c r="AQ1230" s="1"/>
      <c r="BG1230" s="1"/>
    </row>
    <row r="1231" spans="15:59">
      <c r="O1231" s="1"/>
      <c r="P1231" s="1"/>
      <c r="AA1231" s="1"/>
      <c r="AB1231" s="1"/>
      <c r="AG1231" s="1"/>
      <c r="AH1231" s="1"/>
      <c r="AK1231" s="1"/>
      <c r="AL1231" s="1"/>
      <c r="AM1231" s="2"/>
      <c r="AN1231" s="2"/>
      <c r="AQ1231" s="1"/>
      <c r="BG1231" s="1"/>
    </row>
    <row r="1232" spans="15:59">
      <c r="O1232" s="1"/>
      <c r="P1232" s="1"/>
      <c r="AA1232" s="1"/>
      <c r="AB1232" s="1"/>
      <c r="AG1232" s="1"/>
      <c r="AH1232" s="1"/>
      <c r="AK1232" s="1"/>
      <c r="AL1232" s="1"/>
      <c r="AM1232" s="2"/>
      <c r="AN1232" s="2"/>
      <c r="AQ1232" s="1"/>
      <c r="BG1232" s="1"/>
    </row>
    <row r="1233" spans="15:59">
      <c r="O1233" s="1"/>
      <c r="P1233" s="1"/>
      <c r="AA1233" s="1"/>
      <c r="AB1233" s="1"/>
      <c r="AG1233" s="1"/>
      <c r="AH1233" s="1"/>
      <c r="AK1233" s="1"/>
      <c r="AL1233" s="1"/>
      <c r="AM1233" s="2"/>
      <c r="AN1233" s="2"/>
      <c r="AQ1233" s="1"/>
      <c r="BG1233" s="1"/>
    </row>
    <row r="1234" spans="15:59">
      <c r="O1234" s="1"/>
      <c r="P1234" s="1"/>
      <c r="AA1234" s="1"/>
      <c r="AB1234" s="1"/>
      <c r="AG1234" s="1"/>
      <c r="AH1234" s="1"/>
      <c r="AK1234" s="1"/>
      <c r="AL1234" s="1"/>
      <c r="AM1234" s="2"/>
      <c r="AN1234" s="2"/>
      <c r="AQ1234" s="1"/>
      <c r="BG1234" s="1"/>
    </row>
    <row r="1235" spans="15:59">
      <c r="O1235" s="1"/>
      <c r="P1235" s="1"/>
      <c r="AA1235" s="1"/>
      <c r="AB1235" s="1"/>
      <c r="AG1235" s="1"/>
      <c r="AH1235" s="1"/>
      <c r="AK1235" s="1"/>
      <c r="AL1235" s="1"/>
      <c r="AM1235" s="2"/>
      <c r="AN1235" s="2"/>
      <c r="AQ1235" s="1"/>
      <c r="BG1235" s="1"/>
    </row>
    <row r="1236" spans="15:59">
      <c r="O1236" s="1"/>
      <c r="P1236" s="1"/>
      <c r="AA1236" s="1"/>
      <c r="AB1236" s="1"/>
      <c r="AG1236" s="1"/>
      <c r="AH1236" s="1"/>
      <c r="AK1236" s="1"/>
      <c r="AL1236" s="1"/>
      <c r="AM1236" s="2"/>
      <c r="AN1236" s="2"/>
      <c r="AQ1236" s="1"/>
      <c r="BG1236" s="1"/>
    </row>
    <row r="1237" spans="15:59">
      <c r="O1237" s="1"/>
      <c r="P1237" s="1"/>
      <c r="AA1237" s="1"/>
      <c r="AB1237" s="1"/>
      <c r="AG1237" s="1"/>
      <c r="AH1237" s="1"/>
      <c r="AK1237" s="1"/>
      <c r="AL1237" s="1"/>
      <c r="AM1237" s="2"/>
      <c r="AN1237" s="2"/>
      <c r="AQ1237" s="1"/>
      <c r="BG1237" s="1"/>
    </row>
    <row r="1238" spans="15:59">
      <c r="O1238" s="1"/>
      <c r="P1238" s="1"/>
      <c r="AA1238" s="1"/>
      <c r="AB1238" s="1"/>
      <c r="AG1238" s="1"/>
      <c r="AH1238" s="1"/>
      <c r="AK1238" s="1"/>
      <c r="AL1238" s="1"/>
      <c r="AM1238" s="2"/>
      <c r="AN1238" s="2"/>
      <c r="AQ1238" s="1"/>
      <c r="BG1238" s="1"/>
    </row>
    <row r="1239" spans="15:59">
      <c r="O1239" s="1"/>
      <c r="P1239" s="1"/>
      <c r="AA1239" s="1"/>
      <c r="AB1239" s="1"/>
      <c r="AG1239" s="1"/>
      <c r="AH1239" s="1"/>
      <c r="AK1239" s="1"/>
      <c r="AL1239" s="1"/>
      <c r="AM1239" s="2"/>
      <c r="AN1239" s="2"/>
      <c r="AQ1239" s="1"/>
      <c r="BG1239" s="1"/>
    </row>
    <row r="1240" spans="15:59">
      <c r="O1240" s="1"/>
      <c r="P1240" s="1"/>
      <c r="AA1240" s="1"/>
      <c r="AB1240" s="1"/>
      <c r="AG1240" s="1"/>
      <c r="AH1240" s="1"/>
      <c r="AK1240" s="1"/>
      <c r="AL1240" s="1"/>
      <c r="AM1240" s="2"/>
      <c r="AN1240" s="2"/>
      <c r="AQ1240" s="1"/>
      <c r="BG1240" s="1"/>
    </row>
    <row r="1241" spans="15:59">
      <c r="O1241" s="1"/>
      <c r="P1241" s="1"/>
      <c r="AA1241" s="1"/>
      <c r="AB1241" s="1"/>
      <c r="AG1241" s="1"/>
      <c r="AH1241" s="1"/>
      <c r="AK1241" s="1"/>
      <c r="AL1241" s="1"/>
      <c r="AM1241" s="2"/>
      <c r="AN1241" s="2"/>
      <c r="AQ1241" s="1"/>
      <c r="BG1241" s="1"/>
    </row>
    <row r="1242" spans="15:59">
      <c r="O1242" s="1"/>
      <c r="P1242" s="1"/>
      <c r="AA1242" s="1"/>
      <c r="AB1242" s="1"/>
      <c r="AG1242" s="1"/>
      <c r="AH1242" s="1"/>
      <c r="AK1242" s="1"/>
      <c r="AL1242" s="1"/>
      <c r="AM1242" s="2"/>
      <c r="AN1242" s="2"/>
      <c r="AQ1242" s="1"/>
      <c r="BG1242" s="1"/>
    </row>
    <row r="1243" spans="15:59">
      <c r="O1243" s="1"/>
      <c r="P1243" s="1"/>
      <c r="AA1243" s="1"/>
      <c r="AB1243" s="1"/>
      <c r="AG1243" s="1"/>
      <c r="AH1243" s="1"/>
      <c r="AK1243" s="1"/>
      <c r="AL1243" s="1"/>
      <c r="AM1243" s="2"/>
      <c r="AN1243" s="2"/>
      <c r="AQ1243" s="1"/>
      <c r="BG1243" s="1"/>
    </row>
    <row r="1244" spans="15:59">
      <c r="O1244" s="1"/>
      <c r="P1244" s="1"/>
      <c r="AA1244" s="1"/>
      <c r="AB1244" s="1"/>
      <c r="AG1244" s="1"/>
      <c r="AH1244" s="1"/>
      <c r="AK1244" s="1"/>
      <c r="AL1244" s="1"/>
      <c r="AM1244" s="2"/>
      <c r="AN1244" s="2"/>
      <c r="AQ1244" s="1"/>
      <c r="BG1244" s="1"/>
    </row>
    <row r="1245" spans="15:59">
      <c r="O1245" s="1"/>
      <c r="P1245" s="1"/>
      <c r="AA1245" s="1"/>
      <c r="AB1245" s="1"/>
      <c r="AG1245" s="1"/>
      <c r="AH1245" s="1"/>
      <c r="AK1245" s="1"/>
      <c r="AL1245" s="1"/>
      <c r="AM1245" s="2"/>
      <c r="AN1245" s="2"/>
      <c r="AQ1245" s="1"/>
      <c r="BG1245" s="1"/>
    </row>
    <row r="1246" spans="15:59">
      <c r="O1246" s="1"/>
      <c r="P1246" s="1"/>
      <c r="AA1246" s="1"/>
      <c r="AB1246" s="1"/>
      <c r="AG1246" s="1"/>
      <c r="AH1246" s="1"/>
      <c r="AK1246" s="1"/>
      <c r="AL1246" s="1"/>
      <c r="AM1246" s="2"/>
      <c r="AN1246" s="2"/>
      <c r="AQ1246" s="1"/>
      <c r="BG1246" s="1"/>
    </row>
    <row r="1247" spans="15:59">
      <c r="O1247" s="1"/>
      <c r="P1247" s="1"/>
      <c r="AA1247" s="1"/>
      <c r="AB1247" s="1"/>
      <c r="AG1247" s="1"/>
      <c r="AH1247" s="1"/>
      <c r="AK1247" s="1"/>
      <c r="AL1247" s="1"/>
      <c r="AM1247" s="2"/>
      <c r="AN1247" s="2"/>
      <c r="AQ1247" s="1"/>
      <c r="BG1247" s="1"/>
    </row>
    <row r="1248" spans="15:59">
      <c r="O1248" s="1"/>
      <c r="P1248" s="1"/>
      <c r="AA1248" s="1"/>
      <c r="AB1248" s="1"/>
      <c r="AG1248" s="1"/>
      <c r="AH1248" s="1"/>
      <c r="AK1248" s="1"/>
      <c r="AL1248" s="1"/>
      <c r="AM1248" s="2"/>
      <c r="AN1248" s="2"/>
      <c r="AQ1248" s="1"/>
      <c r="BG1248" s="1"/>
    </row>
    <row r="1249" spans="15:59">
      <c r="O1249" s="1"/>
      <c r="P1249" s="1"/>
      <c r="AA1249" s="1"/>
      <c r="AB1249" s="1"/>
      <c r="AG1249" s="1"/>
      <c r="AH1249" s="1"/>
      <c r="AK1249" s="1"/>
      <c r="AL1249" s="1"/>
      <c r="AM1249" s="2"/>
      <c r="AN1249" s="2"/>
      <c r="AQ1249" s="1"/>
      <c r="BG1249" s="1"/>
    </row>
    <row r="1250" spans="15:59">
      <c r="O1250" s="1"/>
      <c r="P1250" s="1"/>
      <c r="AA1250" s="1"/>
      <c r="AB1250" s="1"/>
      <c r="AG1250" s="1"/>
      <c r="AH1250" s="1"/>
      <c r="AK1250" s="1"/>
      <c r="AL1250" s="1"/>
      <c r="AM1250" s="2"/>
      <c r="AN1250" s="2"/>
      <c r="AQ1250" s="1"/>
      <c r="BG1250" s="1"/>
    </row>
    <row r="1251" spans="15:59">
      <c r="O1251" s="1"/>
      <c r="P1251" s="1"/>
      <c r="AA1251" s="1"/>
      <c r="AB1251" s="1"/>
      <c r="AG1251" s="1"/>
      <c r="AH1251" s="1"/>
      <c r="AK1251" s="1"/>
      <c r="AL1251" s="1"/>
      <c r="AM1251" s="2"/>
      <c r="AN1251" s="2"/>
      <c r="AQ1251" s="1"/>
      <c r="BG1251" s="1"/>
    </row>
    <row r="1252" spans="15:59">
      <c r="O1252" s="1"/>
      <c r="P1252" s="1"/>
      <c r="AA1252" s="1"/>
      <c r="AB1252" s="1"/>
      <c r="AG1252" s="1"/>
      <c r="AH1252" s="1"/>
      <c r="AK1252" s="1"/>
      <c r="AL1252" s="1"/>
      <c r="AM1252" s="2"/>
      <c r="AN1252" s="2"/>
      <c r="AQ1252" s="1"/>
      <c r="BG1252" s="1"/>
    </row>
    <row r="1253" spans="15:59">
      <c r="O1253" s="1"/>
      <c r="P1253" s="1"/>
      <c r="AA1253" s="1"/>
      <c r="AB1253" s="1"/>
      <c r="AG1253" s="1"/>
      <c r="AH1253" s="1"/>
      <c r="AK1253" s="1"/>
      <c r="AL1253" s="1"/>
      <c r="AM1253" s="2"/>
      <c r="AN1253" s="2"/>
      <c r="AQ1253" s="1"/>
      <c r="BG1253" s="1"/>
    </row>
    <row r="1254" spans="15:59">
      <c r="O1254" s="1"/>
      <c r="P1254" s="1"/>
      <c r="AA1254" s="1"/>
      <c r="AB1254" s="1"/>
      <c r="AG1254" s="1"/>
      <c r="AH1254" s="1"/>
      <c r="AK1254" s="1"/>
      <c r="AL1254" s="1"/>
      <c r="AM1254" s="2"/>
      <c r="AN1254" s="2"/>
      <c r="AQ1254" s="1"/>
      <c r="BG1254" s="1"/>
    </row>
    <row r="1255" spans="15:59">
      <c r="O1255" s="1"/>
      <c r="P1255" s="1"/>
      <c r="AA1255" s="1"/>
      <c r="AB1255" s="1"/>
      <c r="AG1255" s="1"/>
      <c r="AH1255" s="1"/>
      <c r="AK1255" s="1"/>
      <c r="AL1255" s="1"/>
      <c r="AM1255" s="2"/>
      <c r="AN1255" s="2"/>
      <c r="AQ1255" s="1"/>
      <c r="BG1255" s="1"/>
    </row>
    <row r="1256" spans="15:59">
      <c r="O1256" s="1"/>
      <c r="P1256" s="1"/>
      <c r="AA1256" s="1"/>
      <c r="AB1256" s="1"/>
      <c r="AG1256" s="1"/>
      <c r="AH1256" s="1"/>
      <c r="AK1256" s="1"/>
      <c r="AL1256" s="1"/>
      <c r="AM1256" s="2"/>
      <c r="AN1256" s="2"/>
      <c r="AQ1256" s="1"/>
      <c r="BG1256" s="1"/>
    </row>
    <row r="1257" spans="15:59">
      <c r="O1257" s="1"/>
      <c r="P1257" s="1"/>
      <c r="AA1257" s="1"/>
      <c r="AB1257" s="1"/>
      <c r="AG1257" s="1"/>
      <c r="AH1257" s="1"/>
      <c r="AK1257" s="1"/>
      <c r="AL1257" s="1"/>
      <c r="AM1257" s="2"/>
      <c r="AN1257" s="2"/>
      <c r="AQ1257" s="1"/>
      <c r="BG1257" s="1"/>
    </row>
    <row r="1258" spans="15:59">
      <c r="O1258" s="1"/>
      <c r="P1258" s="1"/>
      <c r="AA1258" s="1"/>
      <c r="AB1258" s="1"/>
      <c r="AG1258" s="1"/>
      <c r="AH1258" s="1"/>
      <c r="AK1258" s="1"/>
      <c r="AL1258" s="1"/>
      <c r="AM1258" s="2"/>
      <c r="AN1258" s="2"/>
      <c r="AQ1258" s="1"/>
      <c r="BG1258" s="1"/>
    </row>
    <row r="1259" spans="15:59">
      <c r="O1259" s="1"/>
      <c r="P1259" s="1"/>
      <c r="AA1259" s="1"/>
      <c r="AB1259" s="1"/>
      <c r="AG1259" s="1"/>
      <c r="AH1259" s="1"/>
      <c r="AK1259" s="1"/>
      <c r="AL1259" s="1"/>
      <c r="AM1259" s="2"/>
      <c r="AN1259" s="2"/>
      <c r="AQ1259" s="1"/>
      <c r="BG1259" s="1"/>
    </row>
    <row r="1260" spans="15:59">
      <c r="O1260" s="1"/>
      <c r="P1260" s="1"/>
      <c r="AA1260" s="1"/>
      <c r="AB1260" s="1"/>
      <c r="AG1260" s="1"/>
      <c r="AH1260" s="1"/>
      <c r="AK1260" s="1"/>
      <c r="AL1260" s="1"/>
      <c r="AM1260" s="2"/>
      <c r="AN1260" s="2"/>
      <c r="AQ1260" s="1"/>
      <c r="BG1260" s="1"/>
    </row>
    <row r="1261" spans="15:59">
      <c r="O1261" s="1"/>
      <c r="P1261" s="1"/>
      <c r="AA1261" s="1"/>
      <c r="AB1261" s="1"/>
      <c r="AG1261" s="1"/>
      <c r="AH1261" s="1"/>
      <c r="AK1261" s="1"/>
      <c r="AL1261" s="1"/>
      <c r="AM1261" s="2"/>
      <c r="AN1261" s="2"/>
      <c r="AQ1261" s="1"/>
      <c r="BG1261" s="1"/>
    </row>
    <row r="1262" spans="15:59">
      <c r="O1262" s="1"/>
      <c r="P1262" s="1"/>
      <c r="AA1262" s="1"/>
      <c r="AB1262" s="1"/>
      <c r="AG1262" s="1"/>
      <c r="AH1262" s="1"/>
      <c r="AK1262" s="1"/>
      <c r="AL1262" s="1"/>
      <c r="AM1262" s="2"/>
      <c r="AN1262" s="2"/>
      <c r="AQ1262" s="1"/>
      <c r="BG1262" s="1"/>
    </row>
    <row r="1263" spans="15:59">
      <c r="O1263" s="1"/>
      <c r="P1263" s="1"/>
      <c r="AA1263" s="1"/>
      <c r="AB1263" s="1"/>
      <c r="AG1263" s="1"/>
      <c r="AH1263" s="1"/>
      <c r="AK1263" s="1"/>
      <c r="AL1263" s="1"/>
      <c r="AM1263" s="2"/>
      <c r="AN1263" s="2"/>
      <c r="AQ1263" s="1"/>
      <c r="BG1263" s="1"/>
    </row>
    <row r="1264" spans="15:59">
      <c r="O1264" s="1"/>
      <c r="P1264" s="1"/>
      <c r="AA1264" s="1"/>
      <c r="AB1264" s="1"/>
      <c r="AG1264" s="1"/>
      <c r="AH1264" s="1"/>
      <c r="AK1264" s="1"/>
      <c r="AL1264" s="1"/>
      <c r="AM1264" s="2"/>
      <c r="AN1264" s="2"/>
      <c r="AQ1264" s="1"/>
      <c r="BG1264" s="1"/>
    </row>
    <row r="1265" spans="15:59">
      <c r="O1265" s="1"/>
      <c r="P1265" s="1"/>
      <c r="AA1265" s="1"/>
      <c r="AB1265" s="1"/>
      <c r="AG1265" s="1"/>
      <c r="AH1265" s="1"/>
      <c r="AK1265" s="1"/>
      <c r="AL1265" s="1"/>
      <c r="AM1265" s="2"/>
      <c r="AN1265" s="2"/>
      <c r="AQ1265" s="1"/>
      <c r="BG1265" s="1"/>
    </row>
    <row r="1266" spans="15:59">
      <c r="O1266" s="1"/>
      <c r="P1266" s="1"/>
      <c r="AA1266" s="1"/>
      <c r="AB1266" s="1"/>
      <c r="AG1266" s="1"/>
      <c r="AH1266" s="1"/>
      <c r="AK1266" s="1"/>
      <c r="AL1266" s="1"/>
      <c r="AM1266" s="2"/>
      <c r="AN1266" s="2"/>
      <c r="AQ1266" s="1"/>
      <c r="BG1266" s="1"/>
    </row>
    <row r="1267" spans="15:59">
      <c r="O1267" s="1"/>
      <c r="P1267" s="1"/>
      <c r="AA1267" s="1"/>
      <c r="AB1267" s="1"/>
      <c r="AG1267" s="1"/>
      <c r="AH1267" s="1"/>
      <c r="AK1267" s="1"/>
      <c r="AL1267" s="1"/>
      <c r="AM1267" s="2"/>
      <c r="AN1267" s="2"/>
      <c r="AQ1267" s="1"/>
      <c r="BG1267" s="1"/>
    </row>
    <row r="1268" spans="15:59">
      <c r="O1268" s="1"/>
      <c r="P1268" s="1"/>
      <c r="AA1268" s="1"/>
      <c r="AB1268" s="1"/>
      <c r="AG1268" s="1"/>
      <c r="AH1268" s="1"/>
      <c r="AK1268" s="1"/>
      <c r="AL1268" s="1"/>
      <c r="AM1268" s="2"/>
      <c r="AN1268" s="2"/>
      <c r="AQ1268" s="1"/>
      <c r="BG1268" s="1"/>
    </row>
    <row r="1269" spans="15:59">
      <c r="O1269" s="1"/>
      <c r="P1269" s="1"/>
      <c r="AA1269" s="1"/>
      <c r="AB1269" s="1"/>
      <c r="AG1269" s="1"/>
      <c r="AH1269" s="1"/>
      <c r="AK1269" s="1"/>
      <c r="AL1269" s="1"/>
      <c r="AM1269" s="2"/>
      <c r="AN1269" s="2"/>
      <c r="AQ1269" s="1"/>
      <c r="BG1269" s="1"/>
    </row>
    <row r="1270" spans="15:59">
      <c r="O1270" s="1"/>
      <c r="P1270" s="1"/>
      <c r="AA1270" s="1"/>
      <c r="AB1270" s="1"/>
      <c r="AG1270" s="1"/>
      <c r="AH1270" s="1"/>
      <c r="AK1270" s="1"/>
      <c r="AL1270" s="1"/>
      <c r="AM1270" s="2"/>
      <c r="AN1270" s="2"/>
      <c r="AQ1270" s="1"/>
      <c r="BG1270" s="1"/>
    </row>
    <row r="1271" spans="15:59">
      <c r="O1271" s="1"/>
      <c r="P1271" s="1"/>
      <c r="AA1271" s="1"/>
      <c r="AB1271" s="1"/>
      <c r="AG1271" s="1"/>
      <c r="AH1271" s="1"/>
      <c r="AK1271" s="1"/>
      <c r="AL1271" s="1"/>
      <c r="AM1271" s="2"/>
      <c r="AN1271" s="2"/>
      <c r="AQ1271" s="1"/>
      <c r="BG1271" s="1"/>
    </row>
    <row r="1272" spans="15:59">
      <c r="O1272" s="1"/>
      <c r="P1272" s="1"/>
      <c r="AA1272" s="1"/>
      <c r="AB1272" s="1"/>
      <c r="AG1272" s="1"/>
      <c r="AH1272" s="1"/>
      <c r="AK1272" s="1"/>
      <c r="AL1272" s="1"/>
      <c r="AM1272" s="2"/>
      <c r="AN1272" s="2"/>
      <c r="AQ1272" s="1"/>
      <c r="BG1272" s="1"/>
    </row>
    <row r="1273" spans="15:59">
      <c r="O1273" s="1"/>
      <c r="P1273" s="1"/>
      <c r="AA1273" s="1"/>
      <c r="AB1273" s="1"/>
      <c r="AG1273" s="1"/>
      <c r="AH1273" s="1"/>
      <c r="AK1273" s="1"/>
      <c r="AL1273" s="1"/>
      <c r="AM1273" s="2"/>
      <c r="AN1273" s="2"/>
      <c r="AQ1273" s="1"/>
      <c r="BG1273" s="1"/>
    </row>
    <row r="1274" spans="15:59">
      <c r="O1274" s="1"/>
      <c r="P1274" s="1"/>
      <c r="AA1274" s="1"/>
      <c r="AB1274" s="1"/>
      <c r="AG1274" s="1"/>
      <c r="AH1274" s="1"/>
      <c r="AK1274" s="1"/>
      <c r="AL1274" s="1"/>
      <c r="AM1274" s="2"/>
      <c r="AN1274" s="2"/>
      <c r="AQ1274" s="1"/>
      <c r="BG1274" s="1"/>
    </row>
    <row r="1275" spans="15:59">
      <c r="O1275" s="1"/>
      <c r="P1275" s="1"/>
      <c r="AA1275" s="1"/>
      <c r="AB1275" s="1"/>
      <c r="AG1275" s="1"/>
      <c r="AH1275" s="1"/>
      <c r="AK1275" s="1"/>
      <c r="AL1275" s="1"/>
      <c r="AM1275" s="2"/>
      <c r="AN1275" s="2"/>
      <c r="AQ1275" s="1"/>
      <c r="BG1275" s="1"/>
    </row>
    <row r="1276" spans="15:59">
      <c r="O1276" s="1"/>
      <c r="P1276" s="1"/>
      <c r="AA1276" s="1"/>
      <c r="AB1276" s="1"/>
      <c r="AG1276" s="1"/>
      <c r="AH1276" s="1"/>
      <c r="AK1276" s="1"/>
      <c r="AL1276" s="1"/>
      <c r="AM1276" s="2"/>
      <c r="AN1276" s="2"/>
      <c r="AQ1276" s="1"/>
      <c r="BG1276" s="1"/>
    </row>
    <row r="1277" spans="15:59">
      <c r="O1277" s="1"/>
      <c r="P1277" s="1"/>
      <c r="AA1277" s="1"/>
      <c r="AB1277" s="1"/>
      <c r="AG1277" s="1"/>
      <c r="AH1277" s="1"/>
      <c r="AK1277" s="1"/>
      <c r="AL1277" s="1"/>
      <c r="AM1277" s="2"/>
      <c r="AN1277" s="2"/>
      <c r="AQ1277" s="1"/>
      <c r="BG1277" s="1"/>
    </row>
    <row r="1278" spans="15:59">
      <c r="O1278" s="1"/>
      <c r="P1278" s="1"/>
      <c r="AA1278" s="1"/>
      <c r="AB1278" s="1"/>
      <c r="AG1278" s="1"/>
      <c r="AH1278" s="1"/>
      <c r="AK1278" s="1"/>
      <c r="AL1278" s="1"/>
      <c r="AM1278" s="2"/>
      <c r="AN1278" s="2"/>
      <c r="AQ1278" s="1"/>
      <c r="BG1278" s="1"/>
    </row>
    <row r="1279" spans="15:59">
      <c r="O1279" s="1"/>
      <c r="P1279" s="1"/>
      <c r="AA1279" s="1"/>
      <c r="AB1279" s="1"/>
      <c r="AG1279" s="1"/>
      <c r="AH1279" s="1"/>
      <c r="AK1279" s="1"/>
      <c r="AL1279" s="1"/>
      <c r="AM1279" s="2"/>
      <c r="AN1279" s="2"/>
      <c r="AQ1279" s="1"/>
      <c r="BG1279" s="1"/>
    </row>
    <row r="1280" spans="15:59">
      <c r="O1280" s="1"/>
      <c r="P1280" s="1"/>
      <c r="AA1280" s="1"/>
      <c r="AB1280" s="1"/>
      <c r="AG1280" s="1"/>
      <c r="AH1280" s="1"/>
      <c r="AK1280" s="1"/>
      <c r="AL1280" s="1"/>
      <c r="AM1280" s="2"/>
      <c r="AN1280" s="2"/>
      <c r="AQ1280" s="1"/>
      <c r="BG1280" s="1"/>
    </row>
    <row r="1281" spans="15:59">
      <c r="O1281" s="1"/>
      <c r="P1281" s="1"/>
      <c r="AA1281" s="1"/>
      <c r="AB1281" s="1"/>
      <c r="AG1281" s="1"/>
      <c r="AH1281" s="1"/>
      <c r="AK1281" s="1"/>
      <c r="AL1281" s="1"/>
      <c r="AM1281" s="2"/>
      <c r="AN1281" s="2"/>
      <c r="AQ1281" s="1"/>
      <c r="BG1281" s="1"/>
    </row>
    <row r="1282" spans="15:59">
      <c r="O1282" s="1"/>
      <c r="P1282" s="1"/>
      <c r="AA1282" s="1"/>
      <c r="AB1282" s="1"/>
      <c r="AG1282" s="1"/>
      <c r="AH1282" s="1"/>
      <c r="AK1282" s="1"/>
      <c r="AL1282" s="1"/>
      <c r="AM1282" s="2"/>
      <c r="AN1282" s="2"/>
      <c r="AQ1282" s="1"/>
      <c r="BG1282" s="1"/>
    </row>
    <row r="1283" spans="15:59">
      <c r="O1283" s="1"/>
      <c r="P1283" s="1"/>
      <c r="AA1283" s="1"/>
      <c r="AB1283" s="1"/>
      <c r="AG1283" s="1"/>
      <c r="AH1283" s="1"/>
      <c r="AK1283" s="1"/>
      <c r="AL1283" s="1"/>
      <c r="AM1283" s="2"/>
      <c r="AN1283" s="2"/>
      <c r="AQ1283" s="1"/>
      <c r="BG1283" s="1"/>
    </row>
    <row r="1284" spans="15:59">
      <c r="O1284" s="1"/>
      <c r="P1284" s="1"/>
      <c r="AA1284" s="1"/>
      <c r="AB1284" s="1"/>
      <c r="AG1284" s="1"/>
      <c r="AH1284" s="1"/>
      <c r="AK1284" s="1"/>
      <c r="AL1284" s="1"/>
      <c r="AM1284" s="2"/>
      <c r="AN1284" s="2"/>
      <c r="AQ1284" s="1"/>
      <c r="BG1284" s="1"/>
    </row>
    <row r="1285" spans="15:59">
      <c r="O1285" s="1"/>
      <c r="P1285" s="1"/>
      <c r="AA1285" s="1"/>
      <c r="AB1285" s="1"/>
      <c r="AG1285" s="1"/>
      <c r="AH1285" s="1"/>
      <c r="AK1285" s="1"/>
      <c r="AL1285" s="1"/>
      <c r="AM1285" s="2"/>
      <c r="AN1285" s="2"/>
      <c r="AQ1285" s="1"/>
      <c r="BG1285" s="1"/>
    </row>
    <row r="1286" spans="15:59">
      <c r="O1286" s="1"/>
      <c r="P1286" s="1"/>
      <c r="AA1286" s="1"/>
      <c r="AB1286" s="1"/>
      <c r="AG1286" s="1"/>
      <c r="AH1286" s="1"/>
      <c r="AK1286" s="1"/>
      <c r="AL1286" s="1"/>
      <c r="AM1286" s="2"/>
      <c r="AN1286" s="2"/>
      <c r="AQ1286" s="1"/>
      <c r="BG1286" s="1"/>
    </row>
    <row r="1287" spans="15:59">
      <c r="O1287" s="1"/>
      <c r="P1287" s="1"/>
      <c r="AA1287" s="1"/>
      <c r="AB1287" s="1"/>
      <c r="AG1287" s="1"/>
      <c r="AH1287" s="1"/>
      <c r="AK1287" s="1"/>
      <c r="AL1287" s="1"/>
      <c r="AM1287" s="2"/>
      <c r="AN1287" s="2"/>
      <c r="AQ1287" s="1"/>
      <c r="BG1287" s="1"/>
    </row>
    <row r="1288" spans="15:59">
      <c r="O1288" s="1"/>
      <c r="P1288" s="1"/>
      <c r="AA1288" s="1"/>
      <c r="AB1288" s="1"/>
      <c r="AG1288" s="1"/>
      <c r="AH1288" s="1"/>
      <c r="AK1288" s="1"/>
      <c r="AL1288" s="1"/>
      <c r="AM1288" s="2"/>
      <c r="AN1288" s="2"/>
      <c r="AQ1288" s="1"/>
      <c r="BG1288" s="1"/>
    </row>
    <row r="1289" spans="15:59">
      <c r="O1289" s="1"/>
      <c r="P1289" s="1"/>
      <c r="AA1289" s="1"/>
      <c r="AB1289" s="1"/>
      <c r="AG1289" s="1"/>
      <c r="AH1289" s="1"/>
      <c r="AK1289" s="1"/>
      <c r="AL1289" s="1"/>
      <c r="AM1289" s="2"/>
      <c r="AN1289" s="2"/>
      <c r="AQ1289" s="1"/>
      <c r="BG1289" s="1"/>
    </row>
    <row r="1290" spans="15:59">
      <c r="O1290" s="1"/>
      <c r="P1290" s="1"/>
      <c r="AA1290" s="1"/>
      <c r="AB1290" s="1"/>
      <c r="AG1290" s="1"/>
      <c r="AH1290" s="1"/>
      <c r="AK1290" s="1"/>
      <c r="AL1290" s="1"/>
      <c r="AM1290" s="2"/>
      <c r="AN1290" s="2"/>
      <c r="AQ1290" s="1"/>
      <c r="BG1290" s="1"/>
    </row>
    <row r="1291" spans="15:59">
      <c r="O1291" s="1"/>
      <c r="P1291" s="1"/>
      <c r="AA1291" s="1"/>
      <c r="AB1291" s="1"/>
      <c r="AG1291" s="1"/>
      <c r="AH1291" s="1"/>
      <c r="AK1291" s="1"/>
      <c r="AL1291" s="1"/>
      <c r="AM1291" s="2"/>
      <c r="AN1291" s="2"/>
      <c r="AQ1291" s="1"/>
      <c r="BG1291" s="1"/>
    </row>
    <row r="1292" spans="15:59">
      <c r="O1292" s="1"/>
      <c r="P1292" s="1"/>
      <c r="AA1292" s="1"/>
      <c r="AB1292" s="1"/>
      <c r="AG1292" s="1"/>
      <c r="AH1292" s="1"/>
      <c r="AK1292" s="1"/>
      <c r="AL1292" s="1"/>
      <c r="AM1292" s="2"/>
      <c r="AN1292" s="2"/>
      <c r="AQ1292" s="1"/>
      <c r="BG1292" s="1"/>
    </row>
    <row r="1293" spans="15:59">
      <c r="O1293" s="1"/>
      <c r="P1293" s="1"/>
      <c r="AA1293" s="1"/>
      <c r="AB1293" s="1"/>
      <c r="AG1293" s="1"/>
      <c r="AH1293" s="1"/>
      <c r="AK1293" s="1"/>
      <c r="AL1293" s="1"/>
      <c r="AM1293" s="2"/>
      <c r="AN1293" s="2"/>
      <c r="AQ1293" s="1"/>
      <c r="BG1293" s="1"/>
    </row>
    <row r="1294" spans="15:59">
      <c r="O1294" s="1"/>
      <c r="P1294" s="1"/>
      <c r="AA1294" s="1"/>
      <c r="AB1294" s="1"/>
      <c r="AG1294" s="1"/>
      <c r="AH1294" s="1"/>
      <c r="AK1294" s="1"/>
      <c r="AL1294" s="1"/>
      <c r="AM1294" s="2"/>
      <c r="AN1294" s="2"/>
      <c r="AQ1294" s="1"/>
      <c r="BG1294" s="1"/>
    </row>
    <row r="1295" spans="15:59">
      <c r="O1295" s="1"/>
      <c r="P1295" s="1"/>
      <c r="AA1295" s="1"/>
      <c r="AB1295" s="1"/>
      <c r="AG1295" s="1"/>
      <c r="AH1295" s="1"/>
      <c r="AK1295" s="1"/>
      <c r="AL1295" s="1"/>
      <c r="AM1295" s="2"/>
      <c r="AN1295" s="2"/>
      <c r="AQ1295" s="1"/>
      <c r="BG1295" s="1"/>
    </row>
    <row r="1296" spans="15:59">
      <c r="O1296" s="1"/>
      <c r="P1296" s="1"/>
      <c r="AA1296" s="1"/>
      <c r="AB1296" s="1"/>
      <c r="AG1296" s="1"/>
      <c r="AH1296" s="1"/>
      <c r="AK1296" s="1"/>
      <c r="AL1296" s="1"/>
      <c r="AM1296" s="2"/>
      <c r="AN1296" s="2"/>
      <c r="AQ1296" s="1"/>
      <c r="BG1296" s="1"/>
    </row>
    <row r="1297" spans="15:59">
      <c r="O1297" s="1"/>
      <c r="P1297" s="1"/>
      <c r="AA1297" s="1"/>
      <c r="AB1297" s="1"/>
      <c r="AG1297" s="1"/>
      <c r="AH1297" s="1"/>
      <c r="AK1297" s="1"/>
      <c r="AL1297" s="1"/>
      <c r="AM1297" s="2"/>
      <c r="AN1297" s="2"/>
      <c r="AQ1297" s="1"/>
      <c r="BG1297" s="1"/>
    </row>
    <row r="1298" spans="15:59">
      <c r="O1298" s="1"/>
      <c r="P1298" s="1"/>
      <c r="AA1298" s="1"/>
      <c r="AB1298" s="1"/>
      <c r="AG1298" s="1"/>
      <c r="AH1298" s="1"/>
      <c r="AK1298" s="1"/>
      <c r="AL1298" s="1"/>
      <c r="AM1298" s="2"/>
      <c r="AN1298" s="2"/>
      <c r="AQ1298" s="1"/>
      <c r="BG1298" s="1"/>
    </row>
    <row r="1299" spans="15:59">
      <c r="O1299" s="1"/>
      <c r="P1299" s="1"/>
      <c r="AA1299" s="1"/>
      <c r="AB1299" s="1"/>
      <c r="AG1299" s="1"/>
      <c r="AH1299" s="1"/>
      <c r="AK1299" s="1"/>
      <c r="AL1299" s="1"/>
      <c r="AM1299" s="2"/>
      <c r="AN1299" s="2"/>
      <c r="AQ1299" s="1"/>
      <c r="BG1299" s="1"/>
    </row>
    <row r="1300" spans="15:59">
      <c r="O1300" s="1"/>
      <c r="P1300" s="1"/>
      <c r="AA1300" s="1"/>
      <c r="AB1300" s="1"/>
      <c r="AG1300" s="1"/>
      <c r="AH1300" s="1"/>
      <c r="AK1300" s="1"/>
      <c r="AL1300" s="1"/>
      <c r="AM1300" s="2"/>
      <c r="AN1300" s="2"/>
      <c r="AQ1300" s="1"/>
      <c r="BG1300" s="1"/>
    </row>
    <row r="1301" spans="15:59">
      <c r="O1301" s="1"/>
      <c r="P1301" s="1"/>
      <c r="AA1301" s="1"/>
      <c r="AB1301" s="1"/>
      <c r="AG1301" s="1"/>
      <c r="AH1301" s="1"/>
      <c r="AK1301" s="1"/>
      <c r="AL1301" s="1"/>
      <c r="AM1301" s="2"/>
      <c r="AN1301" s="2"/>
      <c r="AQ1301" s="1"/>
      <c r="BG1301" s="1"/>
    </row>
    <row r="1302" spans="15:59">
      <c r="O1302" s="1"/>
      <c r="P1302" s="1"/>
      <c r="AA1302" s="1"/>
      <c r="AB1302" s="1"/>
      <c r="AG1302" s="1"/>
      <c r="AH1302" s="1"/>
      <c r="AK1302" s="1"/>
      <c r="AL1302" s="1"/>
      <c r="AM1302" s="2"/>
      <c r="AN1302" s="2"/>
      <c r="AQ1302" s="1"/>
      <c r="BG1302" s="1"/>
    </row>
    <row r="1303" spans="15:59">
      <c r="O1303" s="1"/>
      <c r="P1303" s="1"/>
      <c r="AA1303" s="1"/>
      <c r="AB1303" s="1"/>
      <c r="AG1303" s="1"/>
      <c r="AH1303" s="1"/>
      <c r="AK1303" s="1"/>
      <c r="AL1303" s="1"/>
      <c r="AM1303" s="2"/>
      <c r="AN1303" s="2"/>
      <c r="AQ1303" s="1"/>
      <c r="BG1303" s="1"/>
    </row>
    <row r="1304" spans="15:59">
      <c r="O1304" s="1"/>
      <c r="P1304" s="1"/>
      <c r="AA1304" s="1"/>
      <c r="AB1304" s="1"/>
      <c r="AG1304" s="1"/>
      <c r="AH1304" s="1"/>
      <c r="AK1304" s="1"/>
      <c r="AL1304" s="1"/>
      <c r="AM1304" s="2"/>
      <c r="AN1304" s="2"/>
      <c r="AQ1304" s="1"/>
      <c r="BG1304" s="1"/>
    </row>
    <row r="1305" spans="15:59">
      <c r="O1305" s="1"/>
      <c r="P1305" s="1"/>
      <c r="AA1305" s="1"/>
      <c r="AB1305" s="1"/>
      <c r="AG1305" s="1"/>
      <c r="AH1305" s="1"/>
      <c r="AK1305" s="1"/>
      <c r="AL1305" s="1"/>
      <c r="AM1305" s="2"/>
      <c r="AN1305" s="2"/>
      <c r="AQ1305" s="1"/>
      <c r="BG1305" s="1"/>
    </row>
    <row r="1306" spans="15:59">
      <c r="O1306" s="1"/>
      <c r="P1306" s="1"/>
      <c r="AA1306" s="1"/>
      <c r="AB1306" s="1"/>
      <c r="AG1306" s="1"/>
      <c r="AH1306" s="1"/>
      <c r="AK1306" s="1"/>
      <c r="AL1306" s="1"/>
      <c r="AM1306" s="2"/>
      <c r="AN1306" s="2"/>
      <c r="AQ1306" s="1"/>
      <c r="BG1306" s="1"/>
    </row>
    <row r="1307" spans="15:59">
      <c r="O1307" s="1"/>
      <c r="P1307" s="1"/>
      <c r="AA1307" s="1"/>
      <c r="AB1307" s="1"/>
      <c r="AG1307" s="1"/>
      <c r="AH1307" s="1"/>
      <c r="AK1307" s="1"/>
      <c r="AL1307" s="1"/>
      <c r="AM1307" s="2"/>
      <c r="AN1307" s="2"/>
      <c r="AQ1307" s="1"/>
      <c r="BG1307" s="1"/>
    </row>
    <row r="1308" spans="15:59">
      <c r="O1308" s="1"/>
      <c r="P1308" s="1"/>
      <c r="AA1308" s="1"/>
      <c r="AB1308" s="1"/>
      <c r="AG1308" s="1"/>
      <c r="AH1308" s="1"/>
      <c r="AK1308" s="1"/>
      <c r="AL1308" s="1"/>
      <c r="AM1308" s="2"/>
      <c r="AN1308" s="2"/>
      <c r="AQ1308" s="1"/>
      <c r="BG1308" s="1"/>
    </row>
    <row r="1309" spans="15:59">
      <c r="O1309" s="1"/>
      <c r="P1309" s="1"/>
      <c r="AA1309" s="1"/>
      <c r="AB1309" s="1"/>
      <c r="AG1309" s="1"/>
      <c r="AH1309" s="1"/>
      <c r="AK1309" s="1"/>
      <c r="AL1309" s="1"/>
      <c r="AM1309" s="2"/>
      <c r="AN1309" s="2"/>
      <c r="AQ1309" s="1"/>
      <c r="BG1309" s="1"/>
    </row>
    <row r="1310" spans="15:59">
      <c r="O1310" s="1"/>
      <c r="P1310" s="1"/>
      <c r="AA1310" s="1"/>
      <c r="AB1310" s="1"/>
      <c r="AG1310" s="1"/>
      <c r="AH1310" s="1"/>
      <c r="AK1310" s="1"/>
      <c r="AL1310" s="1"/>
      <c r="AM1310" s="2"/>
      <c r="AN1310" s="2"/>
      <c r="AQ1310" s="1"/>
      <c r="BG1310" s="1"/>
    </row>
    <row r="1311" spans="15:59">
      <c r="O1311" s="1"/>
      <c r="P1311" s="1"/>
      <c r="AA1311" s="1"/>
      <c r="AB1311" s="1"/>
      <c r="AG1311" s="1"/>
      <c r="AH1311" s="1"/>
      <c r="AK1311" s="1"/>
      <c r="AL1311" s="1"/>
      <c r="AM1311" s="2"/>
      <c r="AN1311" s="2"/>
      <c r="AQ1311" s="1"/>
      <c r="BG1311" s="1"/>
    </row>
    <row r="1312" spans="15:59">
      <c r="O1312" s="1"/>
      <c r="P1312" s="1"/>
      <c r="AA1312" s="1"/>
      <c r="AB1312" s="1"/>
      <c r="AG1312" s="1"/>
      <c r="AH1312" s="1"/>
      <c r="AK1312" s="1"/>
      <c r="AL1312" s="1"/>
      <c r="AM1312" s="2"/>
      <c r="AN1312" s="2"/>
      <c r="AQ1312" s="1"/>
      <c r="BG1312" s="1"/>
    </row>
    <row r="1313" spans="15:59">
      <c r="O1313" s="1"/>
      <c r="P1313" s="1"/>
      <c r="AA1313" s="1"/>
      <c r="AB1313" s="1"/>
      <c r="AG1313" s="1"/>
      <c r="AH1313" s="1"/>
      <c r="AK1313" s="1"/>
      <c r="AL1313" s="1"/>
      <c r="AM1313" s="2"/>
      <c r="AN1313" s="2"/>
      <c r="AQ1313" s="1"/>
      <c r="BG1313" s="1"/>
    </row>
    <row r="1314" spans="15:59">
      <c r="O1314" s="1"/>
      <c r="P1314" s="1"/>
      <c r="AA1314" s="1"/>
      <c r="AB1314" s="1"/>
      <c r="AG1314" s="1"/>
      <c r="AH1314" s="1"/>
      <c r="AK1314" s="1"/>
      <c r="AL1314" s="1"/>
      <c r="AM1314" s="2"/>
      <c r="AN1314" s="2"/>
      <c r="AQ1314" s="1"/>
      <c r="BG1314" s="1"/>
    </row>
    <row r="1315" spans="15:59">
      <c r="O1315" s="1"/>
      <c r="P1315" s="1"/>
      <c r="AA1315" s="1"/>
      <c r="AB1315" s="1"/>
      <c r="AG1315" s="1"/>
      <c r="AH1315" s="1"/>
      <c r="AK1315" s="1"/>
      <c r="AL1315" s="1"/>
      <c r="AM1315" s="2"/>
      <c r="AN1315" s="2"/>
      <c r="AQ1315" s="1"/>
      <c r="BG1315" s="1"/>
    </row>
    <row r="1316" spans="15:59">
      <c r="O1316" s="1"/>
      <c r="P1316" s="1"/>
      <c r="AA1316" s="1"/>
      <c r="AB1316" s="1"/>
      <c r="AG1316" s="1"/>
      <c r="AH1316" s="1"/>
      <c r="AK1316" s="1"/>
      <c r="AL1316" s="1"/>
      <c r="AM1316" s="2"/>
      <c r="AN1316" s="2"/>
      <c r="AQ1316" s="1"/>
      <c r="BG1316" s="1"/>
    </row>
    <row r="1317" spans="15:59">
      <c r="O1317" s="1"/>
      <c r="P1317" s="1"/>
      <c r="AA1317" s="1"/>
      <c r="AB1317" s="1"/>
      <c r="AG1317" s="1"/>
      <c r="AH1317" s="1"/>
      <c r="AK1317" s="1"/>
      <c r="AL1317" s="1"/>
      <c r="AM1317" s="2"/>
      <c r="AN1317" s="2"/>
      <c r="AQ1317" s="1"/>
      <c r="BG1317" s="1"/>
    </row>
    <row r="1318" spans="15:59">
      <c r="O1318" s="1"/>
      <c r="P1318" s="1"/>
      <c r="AA1318" s="1"/>
      <c r="AB1318" s="1"/>
      <c r="AG1318" s="1"/>
      <c r="AH1318" s="1"/>
      <c r="AK1318" s="1"/>
      <c r="AL1318" s="1"/>
      <c r="AM1318" s="2"/>
      <c r="AN1318" s="2"/>
      <c r="AQ1318" s="1"/>
      <c r="BG1318" s="1"/>
    </row>
    <row r="1319" spans="15:59">
      <c r="O1319" s="1"/>
      <c r="P1319" s="1"/>
      <c r="AA1319" s="1"/>
      <c r="AB1319" s="1"/>
      <c r="AG1319" s="1"/>
      <c r="AH1319" s="1"/>
      <c r="AK1319" s="1"/>
      <c r="AL1319" s="1"/>
      <c r="AM1319" s="2"/>
      <c r="AN1319" s="2"/>
      <c r="AQ1319" s="1"/>
      <c r="BG1319" s="1"/>
    </row>
    <row r="1320" spans="15:59">
      <c r="O1320" s="1"/>
      <c r="P1320" s="1"/>
      <c r="AA1320" s="1"/>
      <c r="AB1320" s="1"/>
      <c r="AG1320" s="1"/>
      <c r="AH1320" s="1"/>
      <c r="AK1320" s="1"/>
      <c r="AL1320" s="1"/>
      <c r="AM1320" s="2"/>
      <c r="AN1320" s="2"/>
      <c r="AQ1320" s="1"/>
      <c r="BG1320" s="1"/>
    </row>
    <row r="1321" spans="15:59">
      <c r="O1321" s="1"/>
      <c r="P1321" s="1"/>
      <c r="AA1321" s="1"/>
      <c r="AB1321" s="1"/>
      <c r="AG1321" s="1"/>
      <c r="AH1321" s="1"/>
      <c r="AK1321" s="1"/>
      <c r="AL1321" s="1"/>
      <c r="AM1321" s="2"/>
      <c r="AN1321" s="2"/>
      <c r="AQ1321" s="1"/>
      <c r="BG1321" s="1"/>
    </row>
    <row r="1322" spans="15:59">
      <c r="O1322" s="1"/>
      <c r="P1322" s="1"/>
      <c r="AA1322" s="1"/>
      <c r="AB1322" s="1"/>
      <c r="AG1322" s="1"/>
      <c r="AH1322" s="1"/>
      <c r="AK1322" s="1"/>
      <c r="AL1322" s="1"/>
      <c r="AM1322" s="2"/>
      <c r="AN1322" s="2"/>
      <c r="AQ1322" s="1"/>
      <c r="BG1322" s="1"/>
    </row>
    <row r="1323" spans="15:59">
      <c r="O1323" s="1"/>
      <c r="P1323" s="1"/>
      <c r="AA1323" s="1"/>
      <c r="AB1323" s="1"/>
      <c r="AG1323" s="1"/>
      <c r="AH1323" s="1"/>
      <c r="AK1323" s="1"/>
      <c r="AL1323" s="1"/>
      <c r="AM1323" s="2"/>
      <c r="AN1323" s="2"/>
      <c r="AQ1323" s="1"/>
      <c r="BG1323" s="1"/>
    </row>
    <row r="1324" spans="15:59">
      <c r="O1324" s="1"/>
      <c r="P1324" s="1"/>
      <c r="AA1324" s="1"/>
      <c r="AB1324" s="1"/>
      <c r="AG1324" s="1"/>
      <c r="AH1324" s="1"/>
      <c r="AK1324" s="1"/>
      <c r="AL1324" s="1"/>
      <c r="AM1324" s="2"/>
      <c r="AN1324" s="2"/>
      <c r="AQ1324" s="1"/>
      <c r="BG1324" s="1"/>
    </row>
    <row r="1325" spans="15:59">
      <c r="O1325" s="1"/>
      <c r="P1325" s="1"/>
      <c r="AA1325" s="1"/>
      <c r="AB1325" s="1"/>
      <c r="AG1325" s="1"/>
      <c r="AH1325" s="1"/>
      <c r="AK1325" s="1"/>
      <c r="AL1325" s="1"/>
      <c r="AM1325" s="2"/>
      <c r="AN1325" s="2"/>
      <c r="AQ1325" s="1"/>
      <c r="BG1325" s="1"/>
    </row>
    <row r="1326" spans="15:59">
      <c r="O1326" s="1"/>
      <c r="P1326" s="1"/>
      <c r="AA1326" s="1"/>
      <c r="AB1326" s="1"/>
      <c r="AG1326" s="1"/>
      <c r="AH1326" s="1"/>
      <c r="AK1326" s="1"/>
      <c r="AL1326" s="1"/>
      <c r="AM1326" s="2"/>
      <c r="AN1326" s="2"/>
      <c r="AQ1326" s="1"/>
      <c r="BG1326" s="1"/>
    </row>
    <row r="1327" spans="15:59">
      <c r="O1327" s="1"/>
      <c r="P1327" s="1"/>
      <c r="AA1327" s="1"/>
      <c r="AB1327" s="1"/>
      <c r="AG1327" s="1"/>
      <c r="AH1327" s="1"/>
      <c r="AK1327" s="1"/>
      <c r="AL1327" s="1"/>
      <c r="AM1327" s="2"/>
      <c r="AN1327" s="2"/>
      <c r="AQ1327" s="1"/>
      <c r="BG1327" s="1"/>
    </row>
    <row r="1328" spans="15:59">
      <c r="O1328" s="1"/>
      <c r="P1328" s="1"/>
      <c r="AA1328" s="1"/>
      <c r="AB1328" s="1"/>
      <c r="AG1328" s="1"/>
      <c r="AH1328" s="1"/>
      <c r="AK1328" s="1"/>
      <c r="AL1328" s="1"/>
      <c r="AM1328" s="2"/>
      <c r="AN1328" s="2"/>
      <c r="AQ1328" s="1"/>
      <c r="BG1328" s="1"/>
    </row>
    <row r="1329" spans="15:59">
      <c r="O1329" s="1"/>
      <c r="P1329" s="1"/>
      <c r="AA1329" s="1"/>
      <c r="AB1329" s="1"/>
      <c r="AG1329" s="1"/>
      <c r="AH1329" s="1"/>
      <c r="AK1329" s="1"/>
      <c r="AL1329" s="1"/>
      <c r="AM1329" s="2"/>
      <c r="AN1329" s="2"/>
      <c r="AQ1329" s="1"/>
      <c r="BG1329" s="1"/>
    </row>
    <row r="1330" spans="15:59">
      <c r="O1330" s="1"/>
      <c r="P1330" s="1"/>
      <c r="AA1330" s="1"/>
      <c r="AB1330" s="1"/>
      <c r="AG1330" s="1"/>
      <c r="AH1330" s="1"/>
      <c r="AK1330" s="1"/>
      <c r="AL1330" s="1"/>
      <c r="AM1330" s="2"/>
      <c r="AN1330" s="2"/>
      <c r="AQ1330" s="1"/>
      <c r="BG1330" s="1"/>
    </row>
    <row r="1331" spans="15:59">
      <c r="O1331" s="1"/>
      <c r="P1331" s="1"/>
      <c r="AA1331" s="1"/>
      <c r="AB1331" s="1"/>
      <c r="AG1331" s="1"/>
      <c r="AH1331" s="1"/>
      <c r="AK1331" s="1"/>
      <c r="AL1331" s="1"/>
      <c r="AM1331" s="2"/>
      <c r="AN1331" s="2"/>
      <c r="AQ1331" s="1"/>
      <c r="BG1331" s="1"/>
    </row>
    <row r="1332" spans="15:59">
      <c r="O1332" s="1"/>
      <c r="P1332" s="1"/>
      <c r="AA1332" s="1"/>
      <c r="AB1332" s="1"/>
      <c r="AG1332" s="1"/>
      <c r="AH1332" s="1"/>
      <c r="AK1332" s="1"/>
      <c r="AL1332" s="1"/>
      <c r="AM1332" s="2"/>
      <c r="AN1332" s="2"/>
      <c r="AQ1332" s="1"/>
      <c r="BG1332" s="1"/>
    </row>
    <row r="1333" spans="15:59">
      <c r="O1333" s="1"/>
      <c r="P1333" s="1"/>
      <c r="AA1333" s="1"/>
      <c r="AB1333" s="1"/>
      <c r="AG1333" s="1"/>
      <c r="AH1333" s="1"/>
      <c r="AK1333" s="1"/>
      <c r="AL1333" s="1"/>
      <c r="AM1333" s="2"/>
      <c r="AN1333" s="2"/>
      <c r="AQ1333" s="1"/>
      <c r="BG1333" s="1"/>
    </row>
    <row r="1334" spans="15:59">
      <c r="O1334" s="1"/>
      <c r="P1334" s="1"/>
      <c r="AA1334" s="1"/>
      <c r="AB1334" s="1"/>
      <c r="AG1334" s="1"/>
      <c r="AH1334" s="1"/>
      <c r="AK1334" s="1"/>
      <c r="AL1334" s="1"/>
      <c r="AM1334" s="2"/>
      <c r="AN1334" s="2"/>
      <c r="AQ1334" s="1"/>
      <c r="BG1334" s="1"/>
    </row>
    <row r="1335" spans="15:59">
      <c r="O1335" s="1"/>
      <c r="P1335" s="1"/>
      <c r="AA1335" s="1"/>
      <c r="AB1335" s="1"/>
      <c r="AG1335" s="1"/>
      <c r="AH1335" s="1"/>
      <c r="AK1335" s="1"/>
      <c r="AL1335" s="1"/>
      <c r="AM1335" s="2"/>
      <c r="AN1335" s="2"/>
      <c r="AQ1335" s="1"/>
      <c r="BG1335" s="1"/>
    </row>
    <row r="1336" spans="15:59">
      <c r="O1336" s="1"/>
      <c r="P1336" s="1"/>
      <c r="AA1336" s="1"/>
      <c r="AB1336" s="1"/>
      <c r="AG1336" s="1"/>
      <c r="AH1336" s="1"/>
      <c r="AK1336" s="1"/>
      <c r="AL1336" s="1"/>
      <c r="AM1336" s="2"/>
      <c r="AN1336" s="2"/>
      <c r="AQ1336" s="1"/>
      <c r="BG1336" s="1"/>
    </row>
    <row r="1337" spans="15:59">
      <c r="O1337" s="1"/>
      <c r="P1337" s="1"/>
      <c r="AA1337" s="1"/>
      <c r="AB1337" s="1"/>
      <c r="AG1337" s="1"/>
      <c r="AH1337" s="1"/>
      <c r="AK1337" s="1"/>
      <c r="AL1337" s="1"/>
      <c r="AM1337" s="2"/>
      <c r="AN1337" s="2"/>
      <c r="AQ1337" s="1"/>
      <c r="BG1337" s="1"/>
    </row>
    <row r="1338" spans="15:59">
      <c r="O1338" s="1"/>
      <c r="P1338" s="1"/>
      <c r="AA1338" s="1"/>
      <c r="AB1338" s="1"/>
      <c r="AG1338" s="1"/>
      <c r="AH1338" s="1"/>
      <c r="AK1338" s="1"/>
      <c r="AL1338" s="1"/>
      <c r="AM1338" s="2"/>
      <c r="AN1338" s="2"/>
      <c r="AQ1338" s="1"/>
      <c r="BG1338" s="1"/>
    </row>
    <row r="1339" spans="15:59">
      <c r="O1339" s="1"/>
      <c r="P1339" s="1"/>
      <c r="AA1339" s="1"/>
      <c r="AB1339" s="1"/>
      <c r="AG1339" s="1"/>
      <c r="AH1339" s="1"/>
      <c r="AK1339" s="1"/>
      <c r="AL1339" s="1"/>
      <c r="AM1339" s="2"/>
      <c r="AN1339" s="2"/>
      <c r="AQ1339" s="1"/>
      <c r="BG1339" s="1"/>
    </row>
    <row r="1340" spans="15:59">
      <c r="O1340" s="1"/>
      <c r="P1340" s="1"/>
      <c r="AA1340" s="1"/>
      <c r="AB1340" s="1"/>
      <c r="AG1340" s="1"/>
      <c r="AH1340" s="1"/>
      <c r="AK1340" s="1"/>
      <c r="AL1340" s="1"/>
      <c r="AM1340" s="2"/>
      <c r="AN1340" s="2"/>
      <c r="AQ1340" s="1"/>
      <c r="BG1340" s="1"/>
    </row>
    <row r="1341" spans="15:59">
      <c r="O1341" s="1"/>
      <c r="P1341" s="1"/>
      <c r="AA1341" s="1"/>
      <c r="AB1341" s="1"/>
      <c r="AG1341" s="1"/>
      <c r="AH1341" s="1"/>
      <c r="AK1341" s="1"/>
      <c r="AL1341" s="1"/>
      <c r="AM1341" s="2"/>
      <c r="AN1341" s="2"/>
      <c r="AQ1341" s="1"/>
      <c r="BG1341" s="1"/>
    </row>
    <row r="1342" spans="15:59">
      <c r="O1342" s="1"/>
      <c r="P1342" s="1"/>
      <c r="AA1342" s="1"/>
      <c r="AB1342" s="1"/>
      <c r="AG1342" s="1"/>
      <c r="AH1342" s="1"/>
      <c r="AK1342" s="1"/>
      <c r="AL1342" s="1"/>
      <c r="AM1342" s="2"/>
      <c r="AN1342" s="2"/>
      <c r="AQ1342" s="1"/>
      <c r="BG1342" s="1"/>
    </row>
    <row r="1343" spans="15:59">
      <c r="O1343" s="1"/>
      <c r="P1343" s="1"/>
      <c r="AA1343" s="1"/>
      <c r="AB1343" s="1"/>
      <c r="AG1343" s="1"/>
      <c r="AH1343" s="1"/>
      <c r="AK1343" s="1"/>
      <c r="AL1343" s="1"/>
      <c r="AM1343" s="2"/>
      <c r="AN1343" s="2"/>
      <c r="AQ1343" s="1"/>
      <c r="BG1343" s="1"/>
    </row>
    <row r="1344" spans="15:59">
      <c r="O1344" s="1"/>
      <c r="P1344" s="1"/>
      <c r="AA1344" s="1"/>
      <c r="AB1344" s="1"/>
      <c r="AG1344" s="1"/>
      <c r="AH1344" s="1"/>
      <c r="AK1344" s="1"/>
      <c r="AL1344" s="1"/>
      <c r="AM1344" s="2"/>
      <c r="AN1344" s="2"/>
      <c r="AQ1344" s="1"/>
      <c r="BG1344" s="1"/>
    </row>
    <row r="1345" spans="15:59">
      <c r="O1345" s="1"/>
      <c r="P1345" s="1"/>
      <c r="AA1345" s="1"/>
      <c r="AB1345" s="1"/>
      <c r="AG1345" s="1"/>
      <c r="AH1345" s="1"/>
      <c r="AK1345" s="1"/>
      <c r="AL1345" s="1"/>
      <c r="AM1345" s="2"/>
      <c r="AN1345" s="2"/>
      <c r="AQ1345" s="1"/>
      <c r="BG1345" s="1"/>
    </row>
    <row r="1346" spans="15:59">
      <c r="O1346" s="1"/>
      <c r="P1346" s="1"/>
      <c r="AA1346" s="1"/>
      <c r="AB1346" s="1"/>
      <c r="AG1346" s="1"/>
      <c r="AH1346" s="1"/>
      <c r="AK1346" s="1"/>
      <c r="AL1346" s="1"/>
      <c r="AM1346" s="2"/>
      <c r="AN1346" s="2"/>
      <c r="AQ1346" s="1"/>
      <c r="BG1346" s="1"/>
    </row>
    <row r="1347" spans="15:59">
      <c r="O1347" s="1"/>
      <c r="P1347" s="1"/>
      <c r="AA1347" s="1"/>
      <c r="AB1347" s="1"/>
      <c r="AG1347" s="1"/>
      <c r="AH1347" s="1"/>
      <c r="AK1347" s="1"/>
      <c r="AL1347" s="1"/>
      <c r="AM1347" s="2"/>
      <c r="AN1347" s="2"/>
      <c r="AQ1347" s="1"/>
      <c r="BG1347" s="1"/>
    </row>
    <row r="1348" spans="15:59">
      <c r="O1348" s="1"/>
      <c r="P1348" s="1"/>
      <c r="AA1348" s="1"/>
      <c r="AB1348" s="1"/>
      <c r="AG1348" s="1"/>
      <c r="AH1348" s="1"/>
      <c r="AK1348" s="1"/>
      <c r="AL1348" s="1"/>
      <c r="AM1348" s="2"/>
      <c r="AN1348" s="2"/>
      <c r="AQ1348" s="1"/>
      <c r="BG1348" s="1"/>
    </row>
    <row r="1349" spans="15:59">
      <c r="O1349" s="1"/>
      <c r="P1349" s="1"/>
      <c r="AA1349" s="1"/>
      <c r="AB1349" s="1"/>
      <c r="AG1349" s="1"/>
      <c r="AH1349" s="1"/>
      <c r="AK1349" s="1"/>
      <c r="AL1349" s="1"/>
      <c r="AM1349" s="2"/>
      <c r="AN1349" s="2"/>
      <c r="AQ1349" s="1"/>
      <c r="BG1349" s="1"/>
    </row>
    <row r="1350" spans="15:59">
      <c r="O1350" s="1"/>
      <c r="P1350" s="1"/>
      <c r="AA1350" s="1"/>
      <c r="AB1350" s="1"/>
      <c r="AG1350" s="1"/>
      <c r="AH1350" s="1"/>
      <c r="AK1350" s="1"/>
      <c r="AL1350" s="1"/>
      <c r="AM1350" s="2"/>
      <c r="AN1350" s="2"/>
      <c r="AQ1350" s="1"/>
      <c r="BG1350" s="1"/>
    </row>
    <row r="1351" spans="15:59">
      <c r="O1351" s="1"/>
      <c r="P1351" s="1"/>
      <c r="AA1351" s="1"/>
      <c r="AB1351" s="1"/>
      <c r="AG1351" s="1"/>
      <c r="AH1351" s="1"/>
      <c r="AK1351" s="1"/>
      <c r="AL1351" s="1"/>
      <c r="AM1351" s="2"/>
      <c r="AN1351" s="2"/>
      <c r="AQ1351" s="1"/>
      <c r="BG1351" s="1"/>
    </row>
    <row r="1352" spans="15:59">
      <c r="O1352" s="1"/>
      <c r="P1352" s="1"/>
      <c r="AA1352" s="1"/>
      <c r="AB1352" s="1"/>
      <c r="AG1352" s="1"/>
      <c r="AH1352" s="1"/>
      <c r="AK1352" s="1"/>
      <c r="AL1352" s="1"/>
      <c r="AM1352" s="2"/>
      <c r="AN1352" s="2"/>
      <c r="AQ1352" s="1"/>
      <c r="BG1352" s="1"/>
    </row>
    <row r="1353" spans="15:59">
      <c r="O1353" s="1"/>
      <c r="P1353" s="1"/>
      <c r="AA1353" s="1"/>
      <c r="AB1353" s="1"/>
      <c r="AG1353" s="1"/>
      <c r="AH1353" s="1"/>
      <c r="AK1353" s="1"/>
      <c r="AL1353" s="1"/>
      <c r="AM1353" s="2"/>
      <c r="AN1353" s="2"/>
      <c r="AQ1353" s="1"/>
      <c r="BG1353" s="1"/>
    </row>
    <row r="1354" spans="15:59">
      <c r="O1354" s="1"/>
      <c r="P1354" s="1"/>
      <c r="AA1354" s="1"/>
      <c r="AB1354" s="1"/>
      <c r="AG1354" s="1"/>
      <c r="AH1354" s="1"/>
      <c r="AK1354" s="1"/>
      <c r="AL1354" s="1"/>
      <c r="AM1354" s="2"/>
      <c r="AN1354" s="2"/>
      <c r="AQ1354" s="1"/>
      <c r="BG1354" s="1"/>
    </row>
    <row r="1355" spans="15:59">
      <c r="O1355" s="1"/>
      <c r="P1355" s="1"/>
      <c r="AA1355" s="1"/>
      <c r="AB1355" s="1"/>
      <c r="AG1355" s="1"/>
      <c r="AH1355" s="1"/>
      <c r="AK1355" s="1"/>
      <c r="AL1355" s="1"/>
      <c r="AM1355" s="2"/>
      <c r="AN1355" s="2"/>
      <c r="AQ1355" s="1"/>
      <c r="BG1355" s="1"/>
    </row>
    <row r="1356" spans="15:59">
      <c r="O1356" s="1"/>
      <c r="P1356" s="1"/>
      <c r="AA1356" s="1"/>
      <c r="AB1356" s="1"/>
      <c r="AG1356" s="1"/>
      <c r="AH1356" s="1"/>
      <c r="AK1356" s="1"/>
      <c r="AL1356" s="1"/>
      <c r="AM1356" s="2"/>
      <c r="AN1356" s="2"/>
      <c r="AQ1356" s="1"/>
      <c r="BG1356" s="1"/>
    </row>
    <row r="1357" spans="15:59">
      <c r="O1357" s="1"/>
      <c r="P1357" s="1"/>
      <c r="AA1357" s="1"/>
      <c r="AB1357" s="1"/>
      <c r="AG1357" s="1"/>
      <c r="AH1357" s="1"/>
      <c r="AK1357" s="1"/>
      <c r="AL1357" s="1"/>
      <c r="AM1357" s="2"/>
      <c r="AN1357" s="2"/>
      <c r="AQ1357" s="1"/>
      <c r="BG1357" s="1"/>
    </row>
    <row r="1358" spans="15:59">
      <c r="O1358" s="1"/>
      <c r="P1358" s="1"/>
      <c r="AA1358" s="1"/>
      <c r="AB1358" s="1"/>
      <c r="AG1358" s="1"/>
      <c r="AH1358" s="1"/>
      <c r="AK1358" s="1"/>
      <c r="AL1358" s="1"/>
      <c r="AM1358" s="2"/>
      <c r="AN1358" s="2"/>
      <c r="AQ1358" s="1"/>
      <c r="BG1358" s="1"/>
    </row>
    <row r="1359" spans="15:59">
      <c r="O1359" s="1"/>
      <c r="P1359" s="1"/>
      <c r="AA1359" s="1"/>
      <c r="AB1359" s="1"/>
      <c r="AG1359" s="1"/>
      <c r="AH1359" s="1"/>
      <c r="AK1359" s="1"/>
      <c r="AL1359" s="1"/>
      <c r="AM1359" s="2"/>
      <c r="AN1359" s="2"/>
      <c r="AQ1359" s="1"/>
      <c r="BG1359" s="1"/>
    </row>
    <row r="1360" spans="15:59">
      <c r="O1360" s="1"/>
      <c r="P1360" s="1"/>
      <c r="AA1360" s="1"/>
      <c r="AB1360" s="1"/>
      <c r="AG1360" s="1"/>
      <c r="AH1360" s="1"/>
      <c r="AK1360" s="1"/>
      <c r="AL1360" s="1"/>
      <c r="AM1360" s="2"/>
      <c r="AN1360" s="2"/>
      <c r="AQ1360" s="1"/>
      <c r="BG1360" s="1"/>
    </row>
    <row r="1361" spans="15:59">
      <c r="O1361" s="1"/>
      <c r="P1361" s="1"/>
      <c r="AA1361" s="1"/>
      <c r="AB1361" s="1"/>
      <c r="AG1361" s="1"/>
      <c r="AH1361" s="1"/>
      <c r="AK1361" s="1"/>
      <c r="AL1361" s="1"/>
      <c r="AM1361" s="2"/>
      <c r="AN1361" s="2"/>
      <c r="AQ1361" s="1"/>
      <c r="BG1361" s="1"/>
    </row>
    <row r="1362" spans="15:59">
      <c r="O1362" s="1"/>
      <c r="P1362" s="1"/>
      <c r="AA1362" s="1"/>
      <c r="AB1362" s="1"/>
      <c r="AG1362" s="1"/>
      <c r="AH1362" s="1"/>
      <c r="AK1362" s="1"/>
      <c r="AL1362" s="1"/>
      <c r="AM1362" s="2"/>
      <c r="AN1362" s="2"/>
      <c r="AQ1362" s="1"/>
      <c r="BG1362" s="1"/>
    </row>
    <row r="1363" spans="15:59">
      <c r="O1363" s="1"/>
      <c r="P1363" s="1"/>
      <c r="AA1363" s="1"/>
      <c r="AB1363" s="1"/>
      <c r="AG1363" s="1"/>
      <c r="AH1363" s="1"/>
      <c r="AK1363" s="1"/>
      <c r="AL1363" s="1"/>
      <c r="AM1363" s="2"/>
      <c r="AN1363" s="2"/>
      <c r="AQ1363" s="1"/>
      <c r="BG1363" s="1"/>
    </row>
    <row r="1364" spans="15:59">
      <c r="O1364" s="1"/>
      <c r="P1364" s="1"/>
      <c r="AA1364" s="1"/>
      <c r="AB1364" s="1"/>
      <c r="AG1364" s="1"/>
      <c r="AH1364" s="1"/>
      <c r="AK1364" s="1"/>
      <c r="AL1364" s="1"/>
      <c r="AM1364" s="2"/>
      <c r="AN1364" s="2"/>
      <c r="AQ1364" s="1"/>
      <c r="BG1364" s="1"/>
    </row>
    <row r="1365" spans="15:59">
      <c r="O1365" s="1"/>
      <c r="P1365" s="1"/>
      <c r="AA1365" s="1"/>
      <c r="AB1365" s="1"/>
      <c r="AG1365" s="1"/>
      <c r="AH1365" s="1"/>
      <c r="AK1365" s="1"/>
      <c r="AL1365" s="1"/>
      <c r="AM1365" s="2"/>
      <c r="AN1365" s="2"/>
      <c r="AQ1365" s="1"/>
      <c r="BG1365" s="1"/>
    </row>
    <row r="1366" spans="15:59">
      <c r="O1366" s="1"/>
      <c r="P1366" s="1"/>
      <c r="AA1366" s="1"/>
      <c r="AB1366" s="1"/>
      <c r="AG1366" s="1"/>
      <c r="AH1366" s="1"/>
      <c r="AK1366" s="1"/>
      <c r="AL1366" s="1"/>
      <c r="AM1366" s="2"/>
      <c r="AN1366" s="2"/>
      <c r="AQ1366" s="1"/>
      <c r="BG1366" s="1"/>
    </row>
    <row r="1367" spans="15:59">
      <c r="O1367" s="1"/>
      <c r="P1367" s="1"/>
      <c r="AA1367" s="1"/>
      <c r="AB1367" s="1"/>
      <c r="AG1367" s="1"/>
      <c r="AH1367" s="1"/>
      <c r="AK1367" s="1"/>
      <c r="AL1367" s="1"/>
      <c r="AM1367" s="2"/>
      <c r="AN1367" s="2"/>
      <c r="AQ1367" s="1"/>
      <c r="BG1367" s="1"/>
    </row>
    <row r="1368" spans="15:59">
      <c r="O1368" s="1"/>
      <c r="P1368" s="1"/>
      <c r="AA1368" s="1"/>
      <c r="AB1368" s="1"/>
      <c r="AG1368" s="1"/>
      <c r="AH1368" s="1"/>
      <c r="AK1368" s="1"/>
      <c r="AL1368" s="1"/>
      <c r="AM1368" s="2"/>
      <c r="AN1368" s="2"/>
      <c r="AQ1368" s="1"/>
      <c r="BG1368" s="1"/>
    </row>
    <row r="1369" spans="15:59">
      <c r="O1369" s="1"/>
      <c r="P1369" s="1"/>
      <c r="AA1369" s="1"/>
      <c r="AB1369" s="1"/>
      <c r="AG1369" s="1"/>
      <c r="AH1369" s="1"/>
      <c r="AK1369" s="1"/>
      <c r="AL1369" s="1"/>
      <c r="AM1369" s="2"/>
      <c r="AN1369" s="2"/>
      <c r="AQ1369" s="1"/>
      <c r="BG1369" s="1"/>
    </row>
    <row r="1370" spans="15:59">
      <c r="O1370" s="1"/>
      <c r="P1370" s="1"/>
      <c r="AA1370" s="1"/>
      <c r="AB1370" s="1"/>
      <c r="AG1370" s="1"/>
      <c r="AH1370" s="1"/>
      <c r="AK1370" s="1"/>
      <c r="AL1370" s="1"/>
      <c r="AM1370" s="2"/>
      <c r="AN1370" s="2"/>
      <c r="AQ1370" s="1"/>
      <c r="BG1370" s="1"/>
    </row>
    <row r="1371" spans="15:59">
      <c r="O1371" s="1"/>
      <c r="P1371" s="1"/>
      <c r="AA1371" s="1"/>
      <c r="AB1371" s="1"/>
      <c r="AG1371" s="1"/>
      <c r="AH1371" s="1"/>
      <c r="AK1371" s="1"/>
      <c r="AL1371" s="1"/>
      <c r="AM1371" s="2"/>
      <c r="AN1371" s="2"/>
      <c r="AQ1371" s="1"/>
      <c r="BG1371" s="1"/>
    </row>
    <row r="1372" spans="15:59">
      <c r="O1372" s="1"/>
      <c r="P1372" s="1"/>
      <c r="AA1372" s="1"/>
      <c r="AB1372" s="1"/>
      <c r="AG1372" s="1"/>
      <c r="AH1372" s="1"/>
      <c r="AK1372" s="1"/>
      <c r="AL1372" s="1"/>
      <c r="AM1372" s="2"/>
      <c r="AN1372" s="2"/>
      <c r="AQ1372" s="1"/>
      <c r="BG1372" s="1"/>
    </row>
    <row r="1373" spans="15:59">
      <c r="O1373" s="1"/>
      <c r="P1373" s="1"/>
      <c r="AA1373" s="1"/>
      <c r="AB1373" s="1"/>
      <c r="AG1373" s="1"/>
      <c r="AH1373" s="1"/>
      <c r="AK1373" s="1"/>
      <c r="AL1373" s="1"/>
      <c r="AM1373" s="2"/>
      <c r="AN1373" s="2"/>
      <c r="AQ1373" s="1"/>
      <c r="BG1373" s="1"/>
    </row>
    <row r="1374" spans="15:59">
      <c r="O1374" s="1"/>
      <c r="P1374" s="1"/>
      <c r="AA1374" s="1"/>
      <c r="AB1374" s="1"/>
      <c r="AG1374" s="1"/>
      <c r="AH1374" s="1"/>
      <c r="AK1374" s="1"/>
      <c r="AL1374" s="1"/>
      <c r="AM1374" s="2"/>
      <c r="AN1374" s="2"/>
      <c r="AQ1374" s="1"/>
      <c r="BG1374" s="1"/>
    </row>
    <row r="1375" spans="15:59">
      <c r="O1375" s="1"/>
      <c r="P1375" s="1"/>
      <c r="AA1375" s="1"/>
      <c r="AB1375" s="1"/>
      <c r="AG1375" s="1"/>
      <c r="AH1375" s="1"/>
      <c r="AK1375" s="1"/>
      <c r="AL1375" s="1"/>
      <c r="AM1375" s="2"/>
      <c r="AN1375" s="2"/>
      <c r="AQ1375" s="1"/>
      <c r="BG1375" s="1"/>
    </row>
    <row r="1376" spans="15:59">
      <c r="O1376" s="1"/>
      <c r="P1376" s="1"/>
      <c r="AA1376" s="1"/>
      <c r="AB1376" s="1"/>
      <c r="AG1376" s="1"/>
      <c r="AH1376" s="1"/>
      <c r="AK1376" s="1"/>
      <c r="AL1376" s="1"/>
      <c r="AM1376" s="2"/>
      <c r="AN1376" s="2"/>
      <c r="AQ1376" s="1"/>
      <c r="BG1376" s="1"/>
    </row>
    <row r="1377" spans="15:59">
      <c r="O1377" s="1"/>
      <c r="P1377" s="1"/>
      <c r="AA1377" s="1"/>
      <c r="AB1377" s="1"/>
      <c r="AG1377" s="1"/>
      <c r="AH1377" s="1"/>
      <c r="AK1377" s="1"/>
      <c r="AL1377" s="1"/>
      <c r="AM1377" s="2"/>
      <c r="AN1377" s="2"/>
      <c r="AQ1377" s="1"/>
      <c r="BG1377" s="1"/>
    </row>
    <row r="1378" spans="15:59">
      <c r="O1378" s="1"/>
      <c r="P1378" s="1"/>
      <c r="AA1378" s="1"/>
      <c r="AB1378" s="1"/>
      <c r="AG1378" s="1"/>
      <c r="AH1378" s="1"/>
      <c r="AK1378" s="1"/>
      <c r="AL1378" s="1"/>
      <c r="AM1378" s="2"/>
      <c r="AN1378" s="2"/>
      <c r="AQ1378" s="1"/>
      <c r="BG1378" s="1"/>
    </row>
    <row r="1379" spans="15:59">
      <c r="O1379" s="1"/>
      <c r="P1379" s="1"/>
      <c r="AA1379" s="1"/>
      <c r="AB1379" s="1"/>
      <c r="AG1379" s="1"/>
      <c r="AH1379" s="1"/>
      <c r="AK1379" s="1"/>
      <c r="AL1379" s="1"/>
      <c r="AM1379" s="2"/>
      <c r="AN1379" s="2"/>
      <c r="AQ1379" s="1"/>
      <c r="BG1379" s="1"/>
    </row>
    <row r="1380" spans="15:59">
      <c r="O1380" s="1"/>
      <c r="P1380" s="1"/>
      <c r="AA1380" s="1"/>
      <c r="AB1380" s="1"/>
      <c r="AG1380" s="1"/>
      <c r="AH1380" s="1"/>
      <c r="AK1380" s="1"/>
      <c r="AL1380" s="1"/>
      <c r="AM1380" s="2"/>
      <c r="AN1380" s="2"/>
      <c r="AQ1380" s="1"/>
      <c r="BG1380" s="1"/>
    </row>
    <row r="1381" spans="15:59">
      <c r="O1381" s="1"/>
      <c r="P1381" s="1"/>
      <c r="AA1381" s="1"/>
      <c r="AB1381" s="1"/>
      <c r="AG1381" s="1"/>
      <c r="AH1381" s="1"/>
      <c r="AK1381" s="1"/>
      <c r="AL1381" s="1"/>
      <c r="AM1381" s="2"/>
      <c r="AN1381" s="2"/>
      <c r="AQ1381" s="1"/>
      <c r="BG1381" s="1"/>
    </row>
    <row r="1382" spans="15:59">
      <c r="O1382" s="1"/>
      <c r="P1382" s="1"/>
      <c r="AA1382" s="1"/>
      <c r="AB1382" s="1"/>
      <c r="AG1382" s="1"/>
      <c r="AH1382" s="1"/>
      <c r="AK1382" s="1"/>
      <c r="AL1382" s="1"/>
      <c r="AM1382" s="2"/>
      <c r="AN1382" s="2"/>
      <c r="AQ1382" s="1"/>
      <c r="BG1382" s="1"/>
    </row>
    <row r="1383" spans="15:59">
      <c r="O1383" s="1"/>
      <c r="P1383" s="1"/>
      <c r="AA1383" s="1"/>
      <c r="AB1383" s="1"/>
      <c r="AG1383" s="1"/>
      <c r="AH1383" s="1"/>
      <c r="AK1383" s="1"/>
      <c r="AL1383" s="1"/>
      <c r="AM1383" s="2"/>
      <c r="AN1383" s="2"/>
      <c r="AQ1383" s="1"/>
      <c r="BG1383" s="1"/>
    </row>
    <row r="1384" spans="15:59">
      <c r="O1384" s="1"/>
      <c r="P1384" s="1"/>
      <c r="AA1384" s="1"/>
      <c r="AB1384" s="1"/>
      <c r="AG1384" s="1"/>
      <c r="AH1384" s="1"/>
      <c r="AK1384" s="1"/>
      <c r="AL1384" s="1"/>
      <c r="AM1384" s="2"/>
      <c r="AN1384" s="2"/>
      <c r="AQ1384" s="1"/>
      <c r="BG1384" s="1"/>
    </row>
    <row r="1385" spans="15:59">
      <c r="O1385" s="1"/>
      <c r="P1385" s="1"/>
      <c r="AA1385" s="1"/>
      <c r="AB1385" s="1"/>
      <c r="AG1385" s="1"/>
      <c r="AH1385" s="1"/>
      <c r="AK1385" s="1"/>
      <c r="AL1385" s="1"/>
      <c r="AM1385" s="2"/>
      <c r="AN1385" s="2"/>
      <c r="AQ1385" s="1"/>
      <c r="BG1385" s="1"/>
    </row>
    <row r="1386" spans="15:59">
      <c r="O1386" s="1"/>
      <c r="P1386" s="1"/>
      <c r="AA1386" s="1"/>
      <c r="AB1386" s="1"/>
      <c r="AG1386" s="1"/>
      <c r="AH1386" s="1"/>
      <c r="AK1386" s="1"/>
      <c r="AL1386" s="1"/>
      <c r="AM1386" s="2"/>
      <c r="AN1386" s="2"/>
      <c r="AQ1386" s="1"/>
      <c r="BG1386" s="1"/>
    </row>
    <row r="1387" spans="15:59">
      <c r="O1387" s="1"/>
      <c r="P1387" s="1"/>
      <c r="AA1387" s="1"/>
      <c r="AB1387" s="1"/>
      <c r="AG1387" s="1"/>
      <c r="AH1387" s="1"/>
      <c r="AK1387" s="1"/>
      <c r="AL1387" s="1"/>
      <c r="AM1387" s="2"/>
      <c r="AN1387" s="2"/>
      <c r="AQ1387" s="1"/>
      <c r="BG1387" s="1"/>
    </row>
    <row r="1388" spans="15:59">
      <c r="O1388" s="1"/>
      <c r="P1388" s="1"/>
      <c r="AA1388" s="1"/>
      <c r="AB1388" s="1"/>
      <c r="AG1388" s="1"/>
      <c r="AH1388" s="1"/>
      <c r="AK1388" s="1"/>
      <c r="AL1388" s="1"/>
      <c r="AM1388" s="2"/>
      <c r="AN1388" s="2"/>
      <c r="AQ1388" s="1"/>
      <c r="BG1388" s="1"/>
    </row>
    <row r="1389" spans="15:59">
      <c r="O1389" s="1"/>
      <c r="P1389" s="1"/>
      <c r="AA1389" s="1"/>
      <c r="AB1389" s="1"/>
      <c r="AG1389" s="1"/>
      <c r="AH1389" s="1"/>
      <c r="AK1389" s="1"/>
      <c r="AL1389" s="1"/>
      <c r="AM1389" s="2"/>
      <c r="AN1389" s="2"/>
      <c r="AQ1389" s="1"/>
      <c r="BG1389" s="1"/>
    </row>
    <row r="1390" spans="15:59">
      <c r="O1390" s="1"/>
      <c r="P1390" s="1"/>
      <c r="AA1390" s="1"/>
      <c r="AB1390" s="1"/>
      <c r="AG1390" s="1"/>
      <c r="AH1390" s="1"/>
      <c r="AK1390" s="1"/>
      <c r="AL1390" s="1"/>
      <c r="AM1390" s="2"/>
      <c r="AN1390" s="2"/>
      <c r="AQ1390" s="1"/>
      <c r="BG1390" s="1"/>
    </row>
    <row r="1391" spans="15:59">
      <c r="O1391" s="1"/>
      <c r="P1391" s="1"/>
      <c r="AA1391" s="1"/>
      <c r="AB1391" s="1"/>
      <c r="AG1391" s="1"/>
      <c r="AH1391" s="1"/>
      <c r="AK1391" s="1"/>
      <c r="AL1391" s="1"/>
      <c r="AM1391" s="2"/>
      <c r="AN1391" s="2"/>
      <c r="AQ1391" s="1"/>
      <c r="BG1391" s="1"/>
    </row>
    <row r="1392" spans="15:59">
      <c r="O1392" s="1"/>
      <c r="P1392" s="1"/>
      <c r="AA1392" s="1"/>
      <c r="AB1392" s="1"/>
      <c r="AG1392" s="1"/>
      <c r="AH1392" s="1"/>
      <c r="AK1392" s="1"/>
      <c r="AL1392" s="1"/>
      <c r="AM1392" s="2"/>
      <c r="AN1392" s="2"/>
      <c r="AQ1392" s="1"/>
      <c r="BG1392" s="1"/>
    </row>
    <row r="1393" spans="15:59">
      <c r="O1393" s="1"/>
      <c r="P1393" s="1"/>
      <c r="AA1393" s="1"/>
      <c r="AB1393" s="1"/>
      <c r="AG1393" s="1"/>
      <c r="AH1393" s="1"/>
      <c r="AK1393" s="1"/>
      <c r="AL1393" s="1"/>
      <c r="AM1393" s="2"/>
      <c r="AN1393" s="2"/>
      <c r="AQ1393" s="1"/>
      <c r="BG1393" s="1"/>
    </row>
    <row r="1394" spans="15:59">
      <c r="O1394" s="1"/>
      <c r="P1394" s="1"/>
      <c r="AA1394" s="1"/>
      <c r="AB1394" s="1"/>
      <c r="AG1394" s="1"/>
      <c r="AH1394" s="1"/>
      <c r="AK1394" s="1"/>
      <c r="AL1394" s="1"/>
      <c r="AM1394" s="2"/>
      <c r="AN1394" s="2"/>
      <c r="AQ1394" s="1"/>
      <c r="BG1394" s="1"/>
    </row>
    <row r="1395" spans="15:59">
      <c r="O1395" s="1"/>
      <c r="P1395" s="1"/>
      <c r="AA1395" s="1"/>
      <c r="AB1395" s="1"/>
      <c r="AG1395" s="1"/>
      <c r="AH1395" s="1"/>
      <c r="AK1395" s="1"/>
      <c r="AL1395" s="1"/>
      <c r="AM1395" s="2"/>
      <c r="AN1395" s="2"/>
      <c r="AQ1395" s="1"/>
      <c r="BG1395" s="1"/>
    </row>
    <row r="1396" spans="15:59">
      <c r="O1396" s="1"/>
      <c r="P1396" s="1"/>
      <c r="AA1396" s="1"/>
      <c r="AB1396" s="1"/>
      <c r="AG1396" s="1"/>
      <c r="AH1396" s="1"/>
      <c r="AK1396" s="1"/>
      <c r="AL1396" s="1"/>
      <c r="AM1396" s="2"/>
      <c r="AN1396" s="2"/>
      <c r="AQ1396" s="1"/>
      <c r="BG1396" s="1"/>
    </row>
    <row r="1397" spans="15:59">
      <c r="O1397" s="1"/>
      <c r="P1397" s="1"/>
      <c r="AA1397" s="1"/>
      <c r="AB1397" s="1"/>
      <c r="AG1397" s="1"/>
      <c r="AH1397" s="1"/>
      <c r="AK1397" s="1"/>
      <c r="AL1397" s="1"/>
      <c r="AM1397" s="2"/>
      <c r="AN1397" s="2"/>
      <c r="AQ1397" s="1"/>
      <c r="BG1397" s="1"/>
    </row>
    <row r="1398" spans="15:59">
      <c r="O1398" s="1"/>
      <c r="P1398" s="1"/>
      <c r="AA1398" s="1"/>
      <c r="AB1398" s="1"/>
      <c r="AG1398" s="1"/>
      <c r="AH1398" s="1"/>
      <c r="AK1398" s="1"/>
      <c r="AL1398" s="1"/>
      <c r="AM1398" s="2"/>
      <c r="AN1398" s="2"/>
      <c r="AQ1398" s="1"/>
      <c r="BG1398" s="1"/>
    </row>
    <row r="1399" spans="15:59">
      <c r="O1399" s="1"/>
      <c r="P1399" s="1"/>
      <c r="AA1399" s="1"/>
      <c r="AB1399" s="1"/>
      <c r="AG1399" s="1"/>
      <c r="AH1399" s="1"/>
      <c r="AK1399" s="1"/>
      <c r="AL1399" s="1"/>
      <c r="AM1399" s="2"/>
      <c r="AN1399" s="2"/>
      <c r="AQ1399" s="1"/>
      <c r="BG1399" s="1"/>
    </row>
    <row r="1400" spans="15:59">
      <c r="O1400" s="1"/>
      <c r="P1400" s="1"/>
      <c r="AA1400" s="1"/>
      <c r="AB1400" s="1"/>
      <c r="AG1400" s="1"/>
      <c r="AH1400" s="1"/>
      <c r="AK1400" s="1"/>
      <c r="AL1400" s="1"/>
      <c r="AM1400" s="2"/>
      <c r="AN1400" s="2"/>
      <c r="AQ1400" s="1"/>
      <c r="BG1400" s="1"/>
    </row>
    <row r="1401" spans="15:59">
      <c r="O1401" s="1"/>
      <c r="P1401" s="1"/>
      <c r="AA1401" s="1"/>
      <c r="AB1401" s="1"/>
      <c r="AG1401" s="1"/>
      <c r="AH1401" s="1"/>
      <c r="AK1401" s="1"/>
      <c r="AL1401" s="1"/>
      <c r="AM1401" s="2"/>
      <c r="AN1401" s="2"/>
      <c r="AQ1401" s="1"/>
      <c r="BG1401" s="1"/>
    </row>
    <row r="1402" spans="15:59">
      <c r="O1402" s="1"/>
      <c r="P1402" s="1"/>
      <c r="AA1402" s="1"/>
      <c r="AB1402" s="1"/>
      <c r="AG1402" s="1"/>
      <c r="AH1402" s="1"/>
      <c r="AK1402" s="1"/>
      <c r="AL1402" s="1"/>
      <c r="AM1402" s="2"/>
      <c r="AN1402" s="2"/>
      <c r="AQ1402" s="1"/>
      <c r="BG1402" s="1"/>
    </row>
    <row r="1403" spans="15:59">
      <c r="O1403" s="1"/>
      <c r="P1403" s="1"/>
      <c r="AA1403" s="1"/>
      <c r="AB1403" s="1"/>
      <c r="AG1403" s="1"/>
      <c r="AH1403" s="1"/>
      <c r="AK1403" s="1"/>
      <c r="AL1403" s="1"/>
      <c r="AM1403" s="2"/>
      <c r="AN1403" s="2"/>
      <c r="AQ1403" s="1"/>
      <c r="BG1403" s="1"/>
    </row>
    <row r="1404" spans="15:59">
      <c r="O1404" s="1"/>
      <c r="P1404" s="1"/>
      <c r="AA1404" s="1"/>
      <c r="AB1404" s="1"/>
      <c r="AG1404" s="1"/>
      <c r="AH1404" s="1"/>
      <c r="AK1404" s="1"/>
      <c r="AL1404" s="1"/>
      <c r="AM1404" s="2"/>
      <c r="AN1404" s="2"/>
      <c r="AQ1404" s="1"/>
      <c r="BG1404" s="1"/>
    </row>
    <row r="1405" spans="15:59">
      <c r="O1405" s="1"/>
      <c r="P1405" s="1"/>
      <c r="AA1405" s="1"/>
      <c r="AB1405" s="1"/>
      <c r="AG1405" s="1"/>
      <c r="AH1405" s="1"/>
      <c r="AK1405" s="1"/>
      <c r="AL1405" s="1"/>
      <c r="AM1405" s="2"/>
      <c r="AN1405" s="2"/>
      <c r="AQ1405" s="1"/>
      <c r="BG1405" s="1"/>
    </row>
    <row r="1406" spans="15:59">
      <c r="O1406" s="1"/>
      <c r="P1406" s="1"/>
      <c r="AA1406" s="1"/>
      <c r="AB1406" s="1"/>
      <c r="AG1406" s="1"/>
      <c r="AH1406" s="1"/>
      <c r="AK1406" s="1"/>
      <c r="AL1406" s="1"/>
      <c r="AM1406" s="2"/>
      <c r="AN1406" s="2"/>
      <c r="AQ1406" s="1"/>
      <c r="BG1406" s="1"/>
    </row>
    <row r="1407" spans="15:59">
      <c r="O1407" s="1"/>
      <c r="P1407" s="1"/>
      <c r="AA1407" s="1"/>
      <c r="AB1407" s="1"/>
      <c r="AG1407" s="1"/>
      <c r="AH1407" s="1"/>
      <c r="AK1407" s="1"/>
      <c r="AL1407" s="1"/>
      <c r="AM1407" s="2"/>
      <c r="AN1407" s="2"/>
      <c r="AQ1407" s="1"/>
      <c r="BG1407" s="1"/>
    </row>
    <row r="1408" spans="15:59">
      <c r="O1408" s="1"/>
      <c r="P1408" s="1"/>
      <c r="AA1408" s="1"/>
      <c r="AB1408" s="1"/>
      <c r="AG1408" s="1"/>
      <c r="AH1408" s="1"/>
      <c r="AK1408" s="1"/>
      <c r="AL1408" s="1"/>
      <c r="AM1408" s="2"/>
      <c r="AN1408" s="2"/>
      <c r="AQ1408" s="1"/>
      <c r="BG1408" s="1"/>
    </row>
    <row r="1409" spans="15:59">
      <c r="O1409" s="1"/>
      <c r="P1409" s="1"/>
      <c r="AA1409" s="1"/>
      <c r="AB1409" s="1"/>
      <c r="AG1409" s="1"/>
      <c r="AH1409" s="1"/>
      <c r="AK1409" s="1"/>
      <c r="AL1409" s="1"/>
      <c r="AM1409" s="2"/>
      <c r="AN1409" s="2"/>
      <c r="AQ1409" s="1"/>
      <c r="BG1409" s="1"/>
    </row>
    <row r="1410" spans="15:59">
      <c r="O1410" s="1"/>
      <c r="P1410" s="1"/>
      <c r="AA1410" s="1"/>
      <c r="AB1410" s="1"/>
      <c r="AG1410" s="1"/>
      <c r="AH1410" s="1"/>
      <c r="AK1410" s="1"/>
      <c r="AL1410" s="1"/>
      <c r="AM1410" s="2"/>
      <c r="AN1410" s="2"/>
      <c r="AQ1410" s="1"/>
      <c r="BG1410" s="1"/>
    </row>
    <row r="1411" spans="15:59">
      <c r="O1411" s="1"/>
      <c r="P1411" s="1"/>
      <c r="AA1411" s="1"/>
      <c r="AB1411" s="1"/>
      <c r="AG1411" s="1"/>
      <c r="AH1411" s="1"/>
      <c r="AK1411" s="1"/>
      <c r="AL1411" s="1"/>
      <c r="AM1411" s="2"/>
      <c r="AN1411" s="2"/>
      <c r="AQ1411" s="1"/>
      <c r="BG1411" s="1"/>
    </row>
    <row r="1412" spans="15:59">
      <c r="O1412" s="1"/>
      <c r="P1412" s="1"/>
      <c r="AA1412" s="1"/>
      <c r="AB1412" s="1"/>
      <c r="AG1412" s="1"/>
      <c r="AH1412" s="1"/>
      <c r="AK1412" s="1"/>
      <c r="AL1412" s="1"/>
      <c r="AM1412" s="2"/>
      <c r="AN1412" s="2"/>
      <c r="AQ1412" s="1"/>
      <c r="BG1412" s="1"/>
    </row>
    <row r="1413" spans="15:59">
      <c r="O1413" s="1"/>
      <c r="P1413" s="1"/>
      <c r="AA1413" s="1"/>
      <c r="AB1413" s="1"/>
      <c r="AG1413" s="1"/>
      <c r="AH1413" s="1"/>
      <c r="AK1413" s="1"/>
      <c r="AL1413" s="1"/>
      <c r="AM1413" s="2"/>
      <c r="AN1413" s="2"/>
      <c r="AQ1413" s="1"/>
      <c r="BG1413" s="1"/>
    </row>
    <row r="1414" spans="15:59">
      <c r="O1414" s="1"/>
      <c r="P1414" s="1"/>
      <c r="AA1414" s="1"/>
      <c r="AB1414" s="1"/>
      <c r="AG1414" s="1"/>
      <c r="AH1414" s="1"/>
      <c r="AK1414" s="1"/>
      <c r="AL1414" s="1"/>
      <c r="AM1414" s="2"/>
      <c r="AN1414" s="2"/>
      <c r="AQ1414" s="1"/>
      <c r="BG1414" s="1"/>
    </row>
    <row r="1415" spans="15:59">
      <c r="O1415" s="1"/>
      <c r="P1415" s="1"/>
      <c r="AA1415" s="1"/>
      <c r="AB1415" s="1"/>
      <c r="AG1415" s="1"/>
      <c r="AH1415" s="1"/>
      <c r="AK1415" s="1"/>
      <c r="AL1415" s="1"/>
      <c r="AM1415" s="2"/>
      <c r="AN1415" s="2"/>
      <c r="AQ1415" s="1"/>
      <c r="BG1415" s="1"/>
    </row>
    <row r="1416" spans="15:59">
      <c r="O1416" s="1"/>
      <c r="P1416" s="1"/>
      <c r="AA1416" s="1"/>
      <c r="AB1416" s="1"/>
      <c r="AG1416" s="1"/>
      <c r="AH1416" s="1"/>
      <c r="AK1416" s="1"/>
      <c r="AL1416" s="1"/>
      <c r="AM1416" s="2"/>
      <c r="AN1416" s="2"/>
      <c r="AQ1416" s="1"/>
      <c r="BG1416" s="1"/>
    </row>
    <row r="1417" spans="15:59">
      <c r="O1417" s="1"/>
      <c r="P1417" s="1"/>
      <c r="AA1417" s="1"/>
      <c r="AB1417" s="1"/>
      <c r="AG1417" s="1"/>
      <c r="AH1417" s="1"/>
      <c r="AK1417" s="1"/>
      <c r="AL1417" s="1"/>
      <c r="AM1417" s="2"/>
      <c r="AN1417" s="2"/>
      <c r="AQ1417" s="1"/>
      <c r="BG1417" s="1"/>
    </row>
    <row r="1418" spans="15:59">
      <c r="O1418" s="1"/>
      <c r="P1418" s="1"/>
      <c r="AA1418" s="1"/>
      <c r="AB1418" s="1"/>
      <c r="AG1418" s="1"/>
      <c r="AH1418" s="1"/>
      <c r="AK1418" s="1"/>
      <c r="AL1418" s="1"/>
      <c r="AM1418" s="2"/>
      <c r="AN1418" s="2"/>
      <c r="AQ1418" s="1"/>
      <c r="BG1418" s="1"/>
    </row>
    <row r="1419" spans="15:59">
      <c r="O1419" s="1"/>
      <c r="P1419" s="1"/>
      <c r="AA1419" s="1"/>
      <c r="AB1419" s="1"/>
      <c r="AG1419" s="1"/>
      <c r="AH1419" s="1"/>
      <c r="AK1419" s="1"/>
      <c r="AL1419" s="1"/>
      <c r="AM1419" s="2"/>
      <c r="AN1419" s="2"/>
      <c r="AQ1419" s="1"/>
      <c r="BG1419" s="1"/>
    </row>
    <row r="1420" spans="15:59">
      <c r="O1420" s="1"/>
      <c r="P1420" s="1"/>
      <c r="AA1420" s="1"/>
      <c r="AB1420" s="1"/>
      <c r="AG1420" s="1"/>
      <c r="AH1420" s="1"/>
      <c r="AK1420" s="1"/>
      <c r="AL1420" s="1"/>
      <c r="AM1420" s="2"/>
      <c r="AN1420" s="2"/>
      <c r="AQ1420" s="1"/>
      <c r="BG1420" s="1"/>
    </row>
    <row r="1421" spans="15:59">
      <c r="O1421" s="1"/>
      <c r="P1421" s="1"/>
      <c r="AA1421" s="1"/>
      <c r="AB1421" s="1"/>
      <c r="AG1421" s="1"/>
      <c r="AH1421" s="1"/>
      <c r="AK1421" s="1"/>
      <c r="AL1421" s="1"/>
      <c r="AM1421" s="2"/>
      <c r="AN1421" s="2"/>
      <c r="AQ1421" s="1"/>
      <c r="BG1421" s="1"/>
    </row>
    <row r="1422" spans="15:59">
      <c r="O1422" s="1"/>
      <c r="P1422" s="1"/>
      <c r="AA1422" s="1"/>
      <c r="AB1422" s="1"/>
      <c r="AG1422" s="1"/>
      <c r="AH1422" s="1"/>
      <c r="AK1422" s="1"/>
      <c r="AL1422" s="1"/>
      <c r="AM1422" s="2"/>
      <c r="AN1422" s="2"/>
      <c r="AQ1422" s="1"/>
      <c r="BG1422" s="1"/>
    </row>
    <row r="1423" spans="15:59">
      <c r="O1423" s="1"/>
      <c r="P1423" s="1"/>
      <c r="AA1423" s="1"/>
      <c r="AB1423" s="1"/>
      <c r="AG1423" s="1"/>
      <c r="AH1423" s="1"/>
      <c r="AK1423" s="1"/>
      <c r="AL1423" s="1"/>
      <c r="AM1423" s="2"/>
      <c r="AN1423" s="2"/>
      <c r="AQ1423" s="1"/>
      <c r="BG1423" s="1"/>
    </row>
    <row r="1424" spans="15:59">
      <c r="O1424" s="1"/>
      <c r="P1424" s="1"/>
      <c r="AA1424" s="1"/>
      <c r="AB1424" s="1"/>
      <c r="AG1424" s="1"/>
      <c r="AH1424" s="1"/>
      <c r="AK1424" s="1"/>
      <c r="AL1424" s="1"/>
      <c r="AM1424" s="2"/>
      <c r="AN1424" s="2"/>
      <c r="AQ1424" s="1"/>
      <c r="BG1424" s="1"/>
    </row>
    <row r="1425" spans="15:59">
      <c r="O1425" s="1"/>
      <c r="P1425" s="1"/>
      <c r="AA1425" s="1"/>
      <c r="AB1425" s="1"/>
      <c r="AG1425" s="1"/>
      <c r="AH1425" s="1"/>
      <c r="AK1425" s="1"/>
      <c r="AL1425" s="1"/>
      <c r="AM1425" s="2"/>
      <c r="AN1425" s="2"/>
      <c r="AQ1425" s="1"/>
      <c r="BG1425" s="1"/>
    </row>
    <row r="1426" spans="15:59">
      <c r="O1426" s="1"/>
      <c r="P1426" s="1"/>
      <c r="AA1426" s="1"/>
      <c r="AB1426" s="1"/>
      <c r="AG1426" s="1"/>
      <c r="AH1426" s="1"/>
      <c r="AK1426" s="1"/>
      <c r="AL1426" s="1"/>
      <c r="AM1426" s="2"/>
      <c r="AN1426" s="2"/>
      <c r="AQ1426" s="1"/>
      <c r="BG1426" s="1"/>
    </row>
    <row r="1427" spans="15:59">
      <c r="O1427" s="1"/>
      <c r="P1427" s="1"/>
      <c r="AA1427" s="1"/>
      <c r="AB1427" s="1"/>
      <c r="AG1427" s="1"/>
      <c r="AH1427" s="1"/>
      <c r="AK1427" s="1"/>
      <c r="AL1427" s="1"/>
      <c r="AM1427" s="2"/>
      <c r="AN1427" s="2"/>
      <c r="AQ1427" s="1"/>
      <c r="BG1427" s="1"/>
    </row>
    <row r="1428" spans="15:59">
      <c r="O1428" s="1"/>
      <c r="P1428" s="1"/>
      <c r="AA1428" s="1"/>
      <c r="AB1428" s="1"/>
      <c r="AG1428" s="1"/>
      <c r="AH1428" s="1"/>
      <c r="AK1428" s="1"/>
      <c r="AL1428" s="1"/>
      <c r="AM1428" s="2"/>
      <c r="AN1428" s="2"/>
      <c r="AQ1428" s="1"/>
      <c r="BG1428" s="1"/>
    </row>
    <row r="1429" spans="15:59">
      <c r="O1429" s="1"/>
      <c r="P1429" s="1"/>
      <c r="AA1429" s="1"/>
      <c r="AB1429" s="1"/>
      <c r="AG1429" s="1"/>
      <c r="AH1429" s="1"/>
      <c r="AK1429" s="1"/>
      <c r="AL1429" s="1"/>
      <c r="AM1429" s="2"/>
      <c r="AN1429" s="2"/>
      <c r="AQ1429" s="1"/>
      <c r="BG1429" s="1"/>
    </row>
    <row r="1430" spans="15:59">
      <c r="O1430" s="1"/>
      <c r="P1430" s="1"/>
      <c r="AA1430" s="1"/>
      <c r="AB1430" s="1"/>
      <c r="AG1430" s="1"/>
      <c r="AH1430" s="1"/>
      <c r="AK1430" s="1"/>
      <c r="AL1430" s="1"/>
      <c r="AM1430" s="2"/>
      <c r="AN1430" s="2"/>
      <c r="AQ1430" s="1"/>
      <c r="BG1430" s="1"/>
    </row>
    <row r="1431" spans="15:59">
      <c r="O1431" s="1"/>
      <c r="P1431" s="1"/>
      <c r="AA1431" s="1"/>
      <c r="AB1431" s="1"/>
      <c r="AG1431" s="1"/>
      <c r="AH1431" s="1"/>
      <c r="AK1431" s="1"/>
      <c r="AL1431" s="1"/>
      <c r="AM1431" s="2"/>
      <c r="AN1431" s="2"/>
      <c r="AQ1431" s="1"/>
      <c r="BG1431" s="1"/>
    </row>
    <row r="1432" spans="15:59">
      <c r="O1432" s="1"/>
      <c r="P1432" s="1"/>
      <c r="AA1432" s="1"/>
      <c r="AB1432" s="1"/>
      <c r="AG1432" s="1"/>
      <c r="AH1432" s="1"/>
      <c r="AK1432" s="1"/>
      <c r="AL1432" s="1"/>
      <c r="AM1432" s="2"/>
      <c r="AN1432" s="2"/>
      <c r="AQ1432" s="1"/>
      <c r="BG1432" s="1"/>
    </row>
    <row r="1433" spans="15:59">
      <c r="O1433" s="1"/>
      <c r="P1433" s="1"/>
      <c r="AA1433" s="1"/>
      <c r="AB1433" s="1"/>
      <c r="AG1433" s="1"/>
      <c r="AH1433" s="1"/>
      <c r="AK1433" s="1"/>
      <c r="AL1433" s="1"/>
      <c r="AM1433" s="2"/>
      <c r="AN1433" s="2"/>
      <c r="AQ1433" s="1"/>
      <c r="BG1433" s="1"/>
    </row>
    <row r="1434" spans="15:59">
      <c r="O1434" s="1"/>
      <c r="P1434" s="1"/>
      <c r="AA1434" s="1"/>
      <c r="AB1434" s="1"/>
      <c r="AG1434" s="1"/>
      <c r="AH1434" s="1"/>
      <c r="AK1434" s="1"/>
      <c r="AL1434" s="1"/>
      <c r="AM1434" s="2"/>
      <c r="AN1434" s="2"/>
      <c r="AQ1434" s="1"/>
      <c r="BG1434" s="1"/>
    </row>
    <row r="1435" spans="15:59">
      <c r="O1435" s="1"/>
      <c r="P1435" s="1"/>
      <c r="AA1435" s="1"/>
      <c r="AB1435" s="1"/>
      <c r="AG1435" s="1"/>
      <c r="AH1435" s="1"/>
      <c r="AK1435" s="1"/>
      <c r="AL1435" s="1"/>
      <c r="AM1435" s="2"/>
      <c r="AN1435" s="2"/>
      <c r="AQ1435" s="1"/>
      <c r="BG1435" s="1"/>
    </row>
    <row r="1436" spans="15:59">
      <c r="O1436" s="1"/>
      <c r="P1436" s="1"/>
      <c r="AA1436" s="1"/>
      <c r="AB1436" s="1"/>
      <c r="AG1436" s="1"/>
      <c r="AH1436" s="1"/>
      <c r="AK1436" s="1"/>
      <c r="AL1436" s="1"/>
      <c r="AM1436" s="2"/>
      <c r="AN1436" s="2"/>
      <c r="AQ1436" s="1"/>
      <c r="BG1436" s="1"/>
    </row>
    <row r="1437" spans="15:59">
      <c r="O1437" s="1"/>
      <c r="P1437" s="1"/>
      <c r="AA1437" s="1"/>
      <c r="AB1437" s="1"/>
      <c r="AG1437" s="1"/>
      <c r="AH1437" s="1"/>
      <c r="AK1437" s="1"/>
      <c r="AL1437" s="1"/>
      <c r="AM1437" s="2"/>
      <c r="AN1437" s="2"/>
      <c r="AQ1437" s="1"/>
      <c r="BG1437" s="1"/>
    </row>
    <row r="1438" spans="15:59">
      <c r="O1438" s="1"/>
      <c r="P1438" s="1"/>
      <c r="AA1438" s="1"/>
      <c r="AB1438" s="1"/>
      <c r="AG1438" s="1"/>
      <c r="AH1438" s="1"/>
      <c r="AK1438" s="1"/>
      <c r="AL1438" s="1"/>
      <c r="AM1438" s="2"/>
      <c r="AN1438" s="2"/>
      <c r="AQ1438" s="1"/>
      <c r="BG1438" s="1"/>
    </row>
    <row r="1439" spans="15:59">
      <c r="O1439" s="1"/>
      <c r="P1439" s="1"/>
      <c r="AA1439" s="1"/>
      <c r="AB1439" s="1"/>
      <c r="AG1439" s="1"/>
      <c r="AH1439" s="1"/>
      <c r="AK1439" s="1"/>
      <c r="AL1439" s="1"/>
      <c r="AM1439" s="2"/>
      <c r="AN1439" s="2"/>
      <c r="AQ1439" s="1"/>
      <c r="BG1439" s="1"/>
    </row>
    <row r="1440" spans="15:59">
      <c r="O1440" s="1"/>
      <c r="P1440" s="1"/>
      <c r="AA1440" s="1"/>
      <c r="AB1440" s="1"/>
      <c r="AG1440" s="1"/>
      <c r="AH1440" s="1"/>
      <c r="AK1440" s="1"/>
      <c r="AL1440" s="1"/>
      <c r="AM1440" s="2"/>
      <c r="AN1440" s="2"/>
      <c r="AQ1440" s="1"/>
      <c r="BG1440" s="1"/>
    </row>
    <row r="1441" spans="15:59">
      <c r="O1441" s="1"/>
      <c r="P1441" s="1"/>
      <c r="AA1441" s="1"/>
      <c r="AB1441" s="1"/>
      <c r="AG1441" s="1"/>
      <c r="AH1441" s="1"/>
      <c r="AK1441" s="1"/>
      <c r="AL1441" s="1"/>
      <c r="AM1441" s="2"/>
      <c r="AN1441" s="2"/>
      <c r="AQ1441" s="1"/>
      <c r="BG1441" s="1"/>
    </row>
    <row r="1442" spans="15:59">
      <c r="O1442" s="1"/>
      <c r="P1442" s="1"/>
      <c r="AA1442" s="1"/>
      <c r="AB1442" s="1"/>
      <c r="AG1442" s="1"/>
      <c r="AH1442" s="1"/>
      <c r="AK1442" s="1"/>
      <c r="AL1442" s="1"/>
      <c r="AM1442" s="2"/>
      <c r="AN1442" s="2"/>
      <c r="AQ1442" s="1"/>
      <c r="BG1442" s="1"/>
    </row>
    <row r="1443" spans="15:59">
      <c r="O1443" s="1"/>
      <c r="P1443" s="1"/>
      <c r="AA1443" s="1"/>
      <c r="AB1443" s="1"/>
      <c r="AG1443" s="1"/>
      <c r="AH1443" s="1"/>
      <c r="AK1443" s="1"/>
      <c r="AL1443" s="1"/>
      <c r="AM1443" s="2"/>
      <c r="AN1443" s="2"/>
      <c r="AQ1443" s="1"/>
      <c r="BG1443" s="1"/>
    </row>
    <row r="1444" spans="15:59">
      <c r="O1444" s="1"/>
      <c r="P1444" s="1"/>
      <c r="AA1444" s="1"/>
      <c r="AB1444" s="1"/>
      <c r="AG1444" s="1"/>
      <c r="AH1444" s="1"/>
      <c r="AK1444" s="1"/>
      <c r="AL1444" s="1"/>
      <c r="AM1444" s="2"/>
      <c r="AN1444" s="2"/>
      <c r="AQ1444" s="1"/>
      <c r="BG1444" s="1"/>
    </row>
    <row r="1445" spans="15:59">
      <c r="O1445" s="1"/>
      <c r="P1445" s="1"/>
      <c r="AA1445" s="1"/>
      <c r="AB1445" s="1"/>
      <c r="AG1445" s="1"/>
      <c r="AH1445" s="1"/>
      <c r="AK1445" s="1"/>
      <c r="AL1445" s="1"/>
      <c r="AM1445" s="2"/>
      <c r="AN1445" s="2"/>
      <c r="AQ1445" s="1"/>
      <c r="BG1445" s="1"/>
    </row>
    <row r="1446" spans="15:59">
      <c r="O1446" s="1"/>
      <c r="P1446" s="1"/>
      <c r="AA1446" s="1"/>
      <c r="AB1446" s="1"/>
      <c r="AG1446" s="1"/>
      <c r="AH1446" s="1"/>
      <c r="AK1446" s="1"/>
      <c r="AL1446" s="1"/>
      <c r="AM1446" s="2"/>
      <c r="AN1446" s="2"/>
      <c r="AQ1446" s="1"/>
      <c r="BG1446" s="1"/>
    </row>
    <row r="1447" spans="15:59">
      <c r="O1447" s="1"/>
      <c r="P1447" s="1"/>
      <c r="AA1447" s="1"/>
      <c r="AB1447" s="1"/>
      <c r="AG1447" s="1"/>
      <c r="AH1447" s="1"/>
      <c r="AK1447" s="1"/>
      <c r="AL1447" s="1"/>
      <c r="AM1447" s="2"/>
      <c r="AN1447" s="2"/>
      <c r="AQ1447" s="1"/>
      <c r="BG1447" s="1"/>
    </row>
    <row r="1448" spans="15:59">
      <c r="O1448" s="1"/>
      <c r="P1448" s="1"/>
      <c r="AA1448" s="1"/>
      <c r="AB1448" s="1"/>
      <c r="AG1448" s="1"/>
      <c r="AH1448" s="1"/>
      <c r="AK1448" s="1"/>
      <c r="AL1448" s="1"/>
      <c r="AM1448" s="2"/>
      <c r="AN1448" s="2"/>
      <c r="AQ1448" s="1"/>
      <c r="BG1448" s="1"/>
    </row>
    <row r="1449" spans="15:59">
      <c r="O1449" s="1"/>
      <c r="P1449" s="1"/>
      <c r="AA1449" s="1"/>
      <c r="AB1449" s="1"/>
      <c r="AG1449" s="1"/>
      <c r="AH1449" s="1"/>
      <c r="AK1449" s="1"/>
      <c r="AL1449" s="1"/>
      <c r="AM1449" s="2"/>
      <c r="AN1449" s="2"/>
      <c r="AQ1449" s="1"/>
      <c r="BG1449" s="1"/>
    </row>
    <row r="1450" spans="15:59">
      <c r="O1450" s="1"/>
      <c r="P1450" s="1"/>
      <c r="AA1450" s="1"/>
      <c r="AB1450" s="1"/>
      <c r="AG1450" s="1"/>
      <c r="AH1450" s="1"/>
      <c r="AK1450" s="1"/>
      <c r="AL1450" s="1"/>
      <c r="AM1450" s="2"/>
      <c r="AN1450" s="2"/>
      <c r="AQ1450" s="1"/>
      <c r="BG1450" s="1"/>
    </row>
    <row r="1451" spans="15:59">
      <c r="O1451" s="1"/>
      <c r="P1451" s="1"/>
      <c r="AA1451" s="1"/>
      <c r="AB1451" s="1"/>
      <c r="AG1451" s="1"/>
      <c r="AH1451" s="1"/>
      <c r="AK1451" s="1"/>
      <c r="AL1451" s="1"/>
      <c r="AM1451" s="2"/>
      <c r="AN1451" s="2"/>
      <c r="AQ1451" s="1"/>
      <c r="BG1451" s="1"/>
    </row>
    <row r="1452" spans="15:59">
      <c r="O1452" s="1"/>
      <c r="P1452" s="1"/>
      <c r="AA1452" s="1"/>
      <c r="AB1452" s="1"/>
      <c r="AG1452" s="1"/>
      <c r="AH1452" s="1"/>
      <c r="AK1452" s="1"/>
      <c r="AL1452" s="1"/>
      <c r="AM1452" s="2"/>
      <c r="AN1452" s="2"/>
      <c r="AQ1452" s="1"/>
      <c r="BG1452" s="1"/>
    </row>
    <row r="1453" spans="15:59">
      <c r="O1453" s="1"/>
      <c r="P1453" s="1"/>
      <c r="AA1453" s="1"/>
      <c r="AB1453" s="1"/>
      <c r="AG1453" s="1"/>
      <c r="AH1453" s="1"/>
      <c r="AK1453" s="1"/>
      <c r="AL1453" s="1"/>
      <c r="AM1453" s="2"/>
      <c r="AN1453" s="2"/>
      <c r="AQ1453" s="1"/>
      <c r="BG1453" s="1"/>
    </row>
    <row r="1454" spans="15:59">
      <c r="O1454" s="1"/>
      <c r="P1454" s="1"/>
      <c r="AA1454" s="1"/>
      <c r="AB1454" s="1"/>
      <c r="AG1454" s="1"/>
      <c r="AH1454" s="1"/>
      <c r="AK1454" s="1"/>
      <c r="AL1454" s="1"/>
      <c r="AM1454" s="2"/>
      <c r="AN1454" s="2"/>
      <c r="AQ1454" s="1"/>
      <c r="BG1454" s="1"/>
    </row>
    <row r="1455" spans="15:59">
      <c r="O1455" s="1"/>
      <c r="P1455" s="1"/>
      <c r="AA1455" s="1"/>
      <c r="AB1455" s="1"/>
      <c r="AG1455" s="1"/>
      <c r="AH1455" s="1"/>
      <c r="AK1455" s="1"/>
      <c r="AL1455" s="1"/>
      <c r="AM1455" s="2"/>
      <c r="AN1455" s="2"/>
      <c r="AQ1455" s="1"/>
      <c r="BG1455" s="1"/>
    </row>
    <row r="1456" spans="15:59">
      <c r="O1456" s="1"/>
      <c r="P1456" s="1"/>
      <c r="AA1456" s="1"/>
      <c r="AB1456" s="1"/>
      <c r="AG1456" s="1"/>
      <c r="AH1456" s="1"/>
      <c r="AK1456" s="1"/>
      <c r="AL1456" s="1"/>
      <c r="AM1456" s="2"/>
      <c r="AN1456" s="2"/>
      <c r="AQ1456" s="1"/>
      <c r="BG1456" s="1"/>
    </row>
    <row r="1457" spans="15:59">
      <c r="O1457" s="1"/>
      <c r="P1457" s="1"/>
      <c r="AA1457" s="1"/>
      <c r="AB1457" s="1"/>
      <c r="AG1457" s="1"/>
      <c r="AH1457" s="1"/>
      <c r="AK1457" s="1"/>
      <c r="AL1457" s="1"/>
      <c r="AM1457" s="2"/>
      <c r="AN1457" s="2"/>
      <c r="AQ1457" s="1"/>
      <c r="BG1457" s="1"/>
    </row>
    <row r="1458" spans="15:59">
      <c r="O1458" s="1"/>
      <c r="P1458" s="1"/>
      <c r="AA1458" s="1"/>
      <c r="AB1458" s="1"/>
      <c r="AG1458" s="1"/>
      <c r="AH1458" s="1"/>
      <c r="AK1458" s="1"/>
      <c r="AL1458" s="1"/>
      <c r="AM1458" s="2"/>
      <c r="AN1458" s="2"/>
      <c r="AQ1458" s="1"/>
      <c r="BG1458" s="1"/>
    </row>
    <row r="1459" spans="15:59">
      <c r="O1459" s="1"/>
      <c r="P1459" s="1"/>
      <c r="AA1459" s="1"/>
      <c r="AB1459" s="1"/>
      <c r="AG1459" s="1"/>
      <c r="AH1459" s="1"/>
      <c r="AK1459" s="1"/>
      <c r="AL1459" s="1"/>
      <c r="AM1459" s="2"/>
      <c r="AN1459" s="2"/>
      <c r="AQ1459" s="1"/>
      <c r="BG1459" s="1"/>
    </row>
    <row r="1460" spans="15:59">
      <c r="O1460" s="1"/>
      <c r="P1460" s="1"/>
      <c r="AA1460" s="1"/>
      <c r="AB1460" s="1"/>
      <c r="AG1460" s="1"/>
      <c r="AH1460" s="1"/>
      <c r="AK1460" s="1"/>
      <c r="AL1460" s="1"/>
      <c r="AM1460" s="2"/>
      <c r="AN1460" s="2"/>
      <c r="AQ1460" s="1"/>
      <c r="BG1460" s="1"/>
    </row>
    <row r="1461" spans="15:59">
      <c r="O1461" s="1"/>
      <c r="P1461" s="1"/>
      <c r="AA1461" s="1"/>
      <c r="AB1461" s="1"/>
      <c r="AG1461" s="1"/>
      <c r="AH1461" s="1"/>
      <c r="AK1461" s="1"/>
      <c r="AL1461" s="1"/>
      <c r="AM1461" s="2"/>
      <c r="AN1461" s="2"/>
      <c r="AQ1461" s="1"/>
      <c r="BG1461" s="1"/>
    </row>
    <row r="1462" spans="15:59">
      <c r="O1462" s="1"/>
      <c r="P1462" s="1"/>
      <c r="AA1462" s="1"/>
      <c r="AB1462" s="1"/>
      <c r="AG1462" s="1"/>
      <c r="AH1462" s="1"/>
      <c r="AK1462" s="1"/>
      <c r="AL1462" s="1"/>
      <c r="AM1462" s="2"/>
      <c r="AN1462" s="2"/>
      <c r="AQ1462" s="1"/>
      <c r="BG1462" s="1"/>
    </row>
    <row r="1463" spans="15:59">
      <c r="O1463" s="1"/>
      <c r="P1463" s="1"/>
      <c r="AA1463" s="1"/>
      <c r="AB1463" s="1"/>
      <c r="AG1463" s="1"/>
      <c r="AH1463" s="1"/>
      <c r="AK1463" s="1"/>
      <c r="AL1463" s="1"/>
      <c r="AM1463" s="2"/>
      <c r="AN1463" s="2"/>
      <c r="AQ1463" s="1"/>
      <c r="BG1463" s="1"/>
    </row>
    <row r="1464" spans="15:59">
      <c r="O1464" s="1"/>
      <c r="P1464" s="1"/>
      <c r="AA1464" s="1"/>
      <c r="AB1464" s="1"/>
      <c r="AG1464" s="1"/>
      <c r="AH1464" s="1"/>
      <c r="AK1464" s="1"/>
      <c r="AL1464" s="1"/>
      <c r="AM1464" s="2"/>
      <c r="AN1464" s="2"/>
      <c r="AQ1464" s="1"/>
      <c r="BG1464" s="1"/>
    </row>
    <row r="1465" spans="15:59">
      <c r="O1465" s="1"/>
      <c r="P1465" s="1"/>
      <c r="AA1465" s="1"/>
      <c r="AB1465" s="1"/>
      <c r="AG1465" s="1"/>
      <c r="AH1465" s="1"/>
      <c r="AK1465" s="1"/>
      <c r="AL1465" s="1"/>
      <c r="AM1465" s="2"/>
      <c r="AN1465" s="2"/>
      <c r="AQ1465" s="1"/>
      <c r="BG1465" s="1"/>
    </row>
    <row r="1466" spans="15:59">
      <c r="O1466" s="1"/>
      <c r="P1466" s="1"/>
      <c r="AA1466" s="1"/>
      <c r="AB1466" s="1"/>
      <c r="AG1466" s="1"/>
      <c r="AH1466" s="1"/>
      <c r="AK1466" s="1"/>
      <c r="AL1466" s="1"/>
      <c r="AM1466" s="2"/>
      <c r="AN1466" s="2"/>
      <c r="AQ1466" s="1"/>
      <c r="BG1466" s="1"/>
    </row>
    <row r="1467" spans="15:59">
      <c r="O1467" s="1"/>
      <c r="P1467" s="1"/>
      <c r="AA1467" s="1"/>
      <c r="AB1467" s="1"/>
      <c r="AG1467" s="1"/>
      <c r="AH1467" s="1"/>
      <c r="AK1467" s="1"/>
      <c r="AL1467" s="1"/>
      <c r="AM1467" s="2"/>
      <c r="AN1467" s="2"/>
      <c r="AQ1467" s="1"/>
      <c r="BG1467" s="1"/>
    </row>
    <row r="1468" spans="15:59">
      <c r="O1468" s="1"/>
      <c r="P1468" s="1"/>
      <c r="AA1468" s="1"/>
      <c r="AB1468" s="1"/>
      <c r="AG1468" s="1"/>
      <c r="AH1468" s="1"/>
      <c r="AK1468" s="1"/>
      <c r="AL1468" s="1"/>
      <c r="AM1468" s="2"/>
      <c r="AN1468" s="2"/>
      <c r="AQ1468" s="1"/>
      <c r="BG1468" s="1"/>
    </row>
    <row r="1469" spans="15:59">
      <c r="O1469" s="1"/>
      <c r="P1469" s="1"/>
      <c r="AA1469" s="1"/>
      <c r="AB1469" s="1"/>
      <c r="AG1469" s="1"/>
      <c r="AH1469" s="1"/>
      <c r="AK1469" s="1"/>
      <c r="AL1469" s="1"/>
      <c r="AM1469" s="2"/>
      <c r="AN1469" s="2"/>
      <c r="AQ1469" s="1"/>
      <c r="BG1469" s="1"/>
    </row>
    <row r="1470" spans="15:59">
      <c r="O1470" s="1"/>
      <c r="P1470" s="1"/>
      <c r="AA1470" s="1"/>
      <c r="AB1470" s="1"/>
      <c r="AG1470" s="1"/>
      <c r="AH1470" s="1"/>
      <c r="AK1470" s="1"/>
      <c r="AL1470" s="1"/>
      <c r="AM1470" s="2"/>
      <c r="AN1470" s="2"/>
      <c r="AQ1470" s="1"/>
      <c r="BG1470" s="1"/>
    </row>
    <row r="1471" spans="15:59">
      <c r="O1471" s="1"/>
      <c r="P1471" s="1"/>
      <c r="AA1471" s="1"/>
      <c r="AB1471" s="1"/>
      <c r="AG1471" s="1"/>
      <c r="AH1471" s="1"/>
      <c r="AK1471" s="1"/>
      <c r="AL1471" s="1"/>
      <c r="AM1471" s="2"/>
      <c r="AN1471" s="2"/>
      <c r="AQ1471" s="1"/>
      <c r="BG1471" s="1"/>
    </row>
    <row r="1472" spans="15:59">
      <c r="O1472" s="1"/>
      <c r="P1472" s="1"/>
      <c r="AA1472" s="1"/>
      <c r="AB1472" s="1"/>
      <c r="AG1472" s="1"/>
      <c r="AH1472" s="1"/>
      <c r="AK1472" s="1"/>
      <c r="AL1472" s="1"/>
      <c r="AM1472" s="2"/>
      <c r="AN1472" s="2"/>
      <c r="AQ1472" s="1"/>
      <c r="BG1472" s="1"/>
    </row>
    <row r="1473" spans="15:59">
      <c r="O1473" s="1"/>
      <c r="P1473" s="1"/>
      <c r="AA1473" s="1"/>
      <c r="AB1473" s="1"/>
      <c r="AG1473" s="1"/>
      <c r="AH1473" s="1"/>
      <c r="AK1473" s="1"/>
      <c r="AL1473" s="1"/>
      <c r="AM1473" s="2"/>
      <c r="AN1473" s="2"/>
      <c r="AQ1473" s="1"/>
      <c r="BG1473" s="1"/>
    </row>
    <row r="1474" spans="15:59">
      <c r="O1474" s="1"/>
      <c r="P1474" s="1"/>
      <c r="AA1474" s="1"/>
      <c r="AB1474" s="1"/>
      <c r="AG1474" s="1"/>
      <c r="AH1474" s="1"/>
      <c r="AK1474" s="1"/>
      <c r="AL1474" s="1"/>
      <c r="AM1474" s="2"/>
      <c r="AN1474" s="2"/>
      <c r="AQ1474" s="1"/>
      <c r="BG1474" s="1"/>
    </row>
    <row r="1475" spans="15:59">
      <c r="O1475" s="1"/>
      <c r="P1475" s="1"/>
      <c r="AA1475" s="1"/>
      <c r="AB1475" s="1"/>
      <c r="AG1475" s="1"/>
      <c r="AH1475" s="1"/>
      <c r="AK1475" s="1"/>
      <c r="AL1475" s="1"/>
      <c r="AM1475" s="2"/>
      <c r="AN1475" s="2"/>
      <c r="AQ1475" s="1"/>
      <c r="BG1475" s="1"/>
    </row>
    <row r="1476" spans="15:59">
      <c r="O1476" s="1"/>
      <c r="P1476" s="1"/>
      <c r="AA1476" s="1"/>
      <c r="AB1476" s="1"/>
      <c r="AG1476" s="1"/>
      <c r="AH1476" s="1"/>
      <c r="AK1476" s="1"/>
      <c r="AL1476" s="1"/>
      <c r="AM1476" s="2"/>
      <c r="AN1476" s="2"/>
      <c r="AQ1476" s="1"/>
      <c r="BG1476" s="1"/>
    </row>
    <row r="1477" spans="15:59">
      <c r="O1477" s="1"/>
      <c r="P1477" s="1"/>
      <c r="AA1477" s="1"/>
      <c r="AB1477" s="1"/>
      <c r="AG1477" s="1"/>
      <c r="AH1477" s="1"/>
      <c r="AK1477" s="1"/>
      <c r="AL1477" s="1"/>
      <c r="AM1477" s="2"/>
      <c r="AN1477" s="2"/>
      <c r="AQ1477" s="1"/>
      <c r="BG1477" s="1"/>
    </row>
    <row r="1478" spans="15:59">
      <c r="O1478" s="1"/>
      <c r="P1478" s="1"/>
      <c r="AA1478" s="1"/>
      <c r="AB1478" s="1"/>
      <c r="AG1478" s="1"/>
      <c r="AH1478" s="1"/>
      <c r="AK1478" s="1"/>
      <c r="AL1478" s="1"/>
      <c r="AM1478" s="2"/>
      <c r="AN1478" s="2"/>
      <c r="AQ1478" s="1"/>
      <c r="BG1478" s="1"/>
    </row>
    <row r="1479" spans="15:59">
      <c r="O1479" s="1"/>
      <c r="P1479" s="1"/>
      <c r="AA1479" s="1"/>
      <c r="AB1479" s="1"/>
      <c r="AG1479" s="1"/>
      <c r="AH1479" s="1"/>
      <c r="AK1479" s="1"/>
      <c r="AL1479" s="1"/>
      <c r="AM1479" s="2"/>
      <c r="AN1479" s="2"/>
      <c r="AQ1479" s="1"/>
      <c r="BG1479" s="1"/>
    </row>
    <row r="1480" spans="15:59">
      <c r="O1480" s="1"/>
      <c r="P1480" s="1"/>
      <c r="AA1480" s="1"/>
      <c r="AB1480" s="1"/>
      <c r="AG1480" s="1"/>
      <c r="AH1480" s="1"/>
      <c r="AK1480" s="1"/>
      <c r="AL1480" s="1"/>
      <c r="AM1480" s="2"/>
      <c r="AN1480" s="2"/>
      <c r="AQ1480" s="1"/>
      <c r="BG1480" s="1"/>
    </row>
    <row r="1481" spans="15:59">
      <c r="O1481" s="1"/>
      <c r="P1481" s="1"/>
      <c r="AA1481" s="1"/>
      <c r="AB1481" s="1"/>
      <c r="AG1481" s="1"/>
      <c r="AH1481" s="1"/>
      <c r="AK1481" s="1"/>
      <c r="AL1481" s="1"/>
      <c r="AM1481" s="2"/>
      <c r="AN1481" s="2"/>
      <c r="AQ1481" s="1"/>
      <c r="BG1481" s="1"/>
    </row>
    <row r="1482" spans="15:59">
      <c r="O1482" s="1"/>
      <c r="P1482" s="1"/>
      <c r="AA1482" s="1"/>
      <c r="AB1482" s="1"/>
      <c r="AG1482" s="1"/>
      <c r="AH1482" s="1"/>
      <c r="AK1482" s="1"/>
      <c r="AL1482" s="1"/>
      <c r="AM1482" s="2"/>
      <c r="AN1482" s="2"/>
      <c r="AQ1482" s="1"/>
      <c r="BG1482" s="1"/>
    </row>
    <row r="1483" spans="15:59">
      <c r="O1483" s="1"/>
      <c r="P1483" s="1"/>
      <c r="AA1483" s="1"/>
      <c r="AB1483" s="1"/>
      <c r="AG1483" s="1"/>
      <c r="AH1483" s="1"/>
      <c r="AK1483" s="1"/>
      <c r="AL1483" s="1"/>
      <c r="AM1483" s="2"/>
      <c r="AN1483" s="2"/>
      <c r="AQ1483" s="1"/>
      <c r="BG1483" s="1"/>
    </row>
    <row r="1484" spans="15:59">
      <c r="O1484" s="1"/>
      <c r="P1484" s="1"/>
      <c r="AA1484" s="1"/>
      <c r="AB1484" s="1"/>
      <c r="AG1484" s="1"/>
      <c r="AH1484" s="1"/>
      <c r="AK1484" s="1"/>
      <c r="AL1484" s="1"/>
      <c r="AM1484" s="2"/>
      <c r="AN1484" s="2"/>
      <c r="AQ1484" s="1"/>
      <c r="BG1484" s="1"/>
    </row>
    <row r="1485" spans="15:59">
      <c r="O1485" s="1"/>
      <c r="P1485" s="1"/>
      <c r="AA1485" s="1"/>
      <c r="AB1485" s="1"/>
      <c r="AG1485" s="1"/>
      <c r="AH1485" s="1"/>
      <c r="AK1485" s="1"/>
      <c r="AL1485" s="1"/>
      <c r="AM1485" s="2"/>
      <c r="AN1485" s="2"/>
      <c r="AQ1485" s="1"/>
      <c r="BG1485" s="1"/>
    </row>
    <row r="1486" spans="15:59">
      <c r="O1486" s="1"/>
      <c r="P1486" s="1"/>
      <c r="AA1486" s="1"/>
      <c r="AB1486" s="1"/>
      <c r="AG1486" s="1"/>
      <c r="AH1486" s="1"/>
      <c r="AK1486" s="1"/>
      <c r="AL1486" s="1"/>
      <c r="AM1486" s="2"/>
      <c r="AN1486" s="2"/>
      <c r="AQ1486" s="1"/>
      <c r="BG1486" s="1"/>
    </row>
    <row r="1487" spans="15:59">
      <c r="O1487" s="1"/>
      <c r="P1487" s="1"/>
      <c r="AA1487" s="1"/>
      <c r="AB1487" s="1"/>
      <c r="AG1487" s="1"/>
      <c r="AH1487" s="1"/>
      <c r="AK1487" s="1"/>
      <c r="AL1487" s="1"/>
      <c r="AM1487" s="2"/>
      <c r="AN1487" s="2"/>
      <c r="AQ1487" s="1"/>
      <c r="BG1487" s="1"/>
    </row>
    <row r="1488" spans="15:59">
      <c r="O1488" s="1"/>
      <c r="P1488" s="1"/>
      <c r="AA1488" s="1"/>
      <c r="AB1488" s="1"/>
      <c r="AG1488" s="1"/>
      <c r="AH1488" s="1"/>
      <c r="AK1488" s="1"/>
      <c r="AL1488" s="1"/>
      <c r="AM1488" s="2"/>
      <c r="AN1488" s="2"/>
      <c r="AQ1488" s="1"/>
      <c r="BG1488" s="1"/>
    </row>
    <row r="1489" spans="15:59">
      <c r="O1489" s="1"/>
      <c r="P1489" s="1"/>
      <c r="AA1489" s="1"/>
      <c r="AB1489" s="1"/>
      <c r="AG1489" s="1"/>
      <c r="AH1489" s="1"/>
      <c r="AK1489" s="1"/>
      <c r="AL1489" s="1"/>
      <c r="AM1489" s="2"/>
      <c r="AN1489" s="2"/>
      <c r="AQ1489" s="1"/>
      <c r="BG1489" s="1"/>
    </row>
    <row r="1490" spans="15:59">
      <c r="O1490" s="1"/>
      <c r="P1490" s="1"/>
      <c r="AA1490" s="1"/>
      <c r="AB1490" s="1"/>
      <c r="AG1490" s="1"/>
      <c r="AH1490" s="1"/>
      <c r="AK1490" s="1"/>
      <c r="AL1490" s="1"/>
      <c r="AM1490" s="2"/>
      <c r="AN1490" s="2"/>
      <c r="AQ1490" s="1"/>
      <c r="BG1490" s="1"/>
    </row>
    <row r="1491" spans="15:59">
      <c r="O1491" s="1"/>
      <c r="P1491" s="1"/>
      <c r="AA1491" s="1"/>
      <c r="AB1491" s="1"/>
      <c r="AG1491" s="1"/>
      <c r="AH1491" s="1"/>
      <c r="AK1491" s="1"/>
      <c r="AL1491" s="1"/>
      <c r="AM1491" s="2"/>
      <c r="AN1491" s="2"/>
      <c r="AQ1491" s="1"/>
      <c r="BG1491" s="1"/>
    </row>
    <row r="1492" spans="15:59">
      <c r="O1492" s="1"/>
      <c r="P1492" s="1"/>
      <c r="AA1492" s="1"/>
      <c r="AB1492" s="1"/>
      <c r="AG1492" s="1"/>
      <c r="AH1492" s="1"/>
      <c r="AK1492" s="1"/>
      <c r="AL1492" s="1"/>
      <c r="AM1492" s="2"/>
      <c r="AN1492" s="2"/>
      <c r="AQ1492" s="1"/>
      <c r="BG1492" s="1"/>
    </row>
    <row r="1493" spans="15:59">
      <c r="O1493" s="1"/>
      <c r="P1493" s="1"/>
      <c r="AA1493" s="1"/>
      <c r="AB1493" s="1"/>
      <c r="AG1493" s="1"/>
      <c r="AH1493" s="1"/>
      <c r="AK1493" s="1"/>
      <c r="AL1493" s="1"/>
      <c r="AM1493" s="2"/>
      <c r="AN1493" s="2"/>
      <c r="AQ1493" s="1"/>
      <c r="BG1493" s="1"/>
    </row>
    <row r="1494" spans="15:59">
      <c r="O1494" s="1"/>
      <c r="P1494" s="1"/>
      <c r="AA1494" s="1"/>
      <c r="AB1494" s="1"/>
      <c r="AG1494" s="1"/>
      <c r="AH1494" s="1"/>
      <c r="AK1494" s="1"/>
      <c r="AL1494" s="1"/>
      <c r="AM1494" s="2"/>
      <c r="AN1494" s="2"/>
      <c r="AQ1494" s="1"/>
      <c r="BG1494" s="1"/>
    </row>
    <row r="1495" spans="15:59">
      <c r="O1495" s="1"/>
      <c r="P1495" s="1"/>
      <c r="AA1495" s="1"/>
      <c r="AB1495" s="1"/>
      <c r="AG1495" s="1"/>
      <c r="AH1495" s="1"/>
      <c r="AK1495" s="1"/>
      <c r="AL1495" s="1"/>
      <c r="AM1495" s="2"/>
      <c r="AN1495" s="2"/>
      <c r="AQ1495" s="1"/>
      <c r="BG1495" s="1"/>
    </row>
    <row r="1496" spans="15:59">
      <c r="O1496" s="1"/>
      <c r="P1496" s="1"/>
      <c r="AA1496" s="1"/>
      <c r="AB1496" s="1"/>
      <c r="AG1496" s="1"/>
      <c r="AH1496" s="1"/>
      <c r="AK1496" s="1"/>
      <c r="AL1496" s="1"/>
      <c r="AM1496" s="2"/>
      <c r="AN1496" s="2"/>
      <c r="AQ1496" s="1"/>
      <c r="BG1496" s="1"/>
    </row>
    <row r="1497" spans="15:59">
      <c r="O1497" s="1"/>
      <c r="P1497" s="1"/>
      <c r="AA1497" s="1"/>
      <c r="AB1497" s="1"/>
      <c r="AG1497" s="1"/>
      <c r="AH1497" s="1"/>
      <c r="AK1497" s="1"/>
      <c r="AL1497" s="1"/>
      <c r="AM1497" s="2"/>
      <c r="AN1497" s="2"/>
      <c r="AQ1497" s="1"/>
      <c r="BG1497" s="1"/>
    </row>
    <row r="1498" spans="15:59">
      <c r="O1498" s="1"/>
      <c r="P1498" s="1"/>
      <c r="AA1498" s="1"/>
      <c r="AB1498" s="1"/>
      <c r="AG1498" s="1"/>
      <c r="AH1498" s="1"/>
      <c r="AK1498" s="1"/>
      <c r="AL1498" s="1"/>
      <c r="AM1498" s="2"/>
      <c r="AN1498" s="2"/>
      <c r="AQ1498" s="1"/>
      <c r="BG1498" s="1"/>
    </row>
    <row r="1499" spans="15:59">
      <c r="O1499" s="1"/>
      <c r="P1499" s="1"/>
      <c r="AA1499" s="1"/>
      <c r="AB1499" s="1"/>
      <c r="AG1499" s="1"/>
      <c r="AH1499" s="1"/>
      <c r="AK1499" s="1"/>
      <c r="AL1499" s="1"/>
      <c r="AM1499" s="2"/>
      <c r="AN1499" s="2"/>
      <c r="AQ1499" s="1"/>
      <c r="BG1499" s="1"/>
    </row>
    <row r="1500" spans="15:59">
      <c r="O1500" s="1"/>
      <c r="P1500" s="1"/>
      <c r="AA1500" s="1"/>
      <c r="AB1500" s="1"/>
      <c r="AG1500" s="1"/>
      <c r="AH1500" s="1"/>
      <c r="AK1500" s="1"/>
      <c r="AL1500" s="1"/>
      <c r="AM1500" s="2"/>
      <c r="AN1500" s="2"/>
      <c r="AQ1500" s="1"/>
      <c r="BG1500" s="1"/>
    </row>
    <row r="1501" spans="15:59">
      <c r="O1501" s="1"/>
      <c r="P1501" s="1"/>
      <c r="AA1501" s="1"/>
      <c r="AB1501" s="1"/>
      <c r="AG1501" s="1"/>
      <c r="AH1501" s="1"/>
      <c r="AK1501" s="1"/>
      <c r="AL1501" s="1"/>
      <c r="AM1501" s="2"/>
      <c r="AN1501" s="2"/>
      <c r="AQ1501" s="1"/>
      <c r="BG1501" s="1"/>
    </row>
    <row r="1502" spans="15:59">
      <c r="O1502" s="1"/>
      <c r="P1502" s="1"/>
      <c r="AA1502" s="1"/>
      <c r="AB1502" s="1"/>
      <c r="AG1502" s="1"/>
      <c r="AH1502" s="1"/>
      <c r="AK1502" s="1"/>
      <c r="AL1502" s="1"/>
      <c r="AM1502" s="2"/>
      <c r="AN1502" s="2"/>
      <c r="AQ1502" s="1"/>
      <c r="BG1502" s="1"/>
    </row>
    <row r="1503" spans="15:59">
      <c r="O1503" s="1"/>
      <c r="P1503" s="1"/>
      <c r="AA1503" s="1"/>
      <c r="AB1503" s="1"/>
      <c r="AG1503" s="1"/>
      <c r="AH1503" s="1"/>
      <c r="AK1503" s="1"/>
      <c r="AL1503" s="1"/>
      <c r="AM1503" s="2"/>
      <c r="AN1503" s="2"/>
      <c r="AQ1503" s="1"/>
      <c r="BG1503" s="1"/>
    </row>
    <row r="1504" spans="15:59">
      <c r="O1504" s="1"/>
      <c r="P1504" s="1"/>
      <c r="AA1504" s="1"/>
      <c r="AB1504" s="1"/>
      <c r="AG1504" s="1"/>
      <c r="AH1504" s="1"/>
      <c r="AK1504" s="1"/>
      <c r="AL1504" s="1"/>
      <c r="AM1504" s="2"/>
      <c r="AN1504" s="2"/>
      <c r="AQ1504" s="1"/>
      <c r="BG1504" s="1"/>
    </row>
    <row r="1505" spans="15:59">
      <c r="O1505" s="1"/>
      <c r="P1505" s="1"/>
      <c r="AA1505" s="1"/>
      <c r="AB1505" s="1"/>
      <c r="AG1505" s="1"/>
      <c r="AH1505" s="1"/>
      <c r="AK1505" s="1"/>
      <c r="AL1505" s="1"/>
      <c r="AM1505" s="2"/>
      <c r="AN1505" s="2"/>
      <c r="AQ1505" s="1"/>
      <c r="BG1505" s="1"/>
    </row>
    <row r="1506" spans="15:59">
      <c r="O1506" s="1"/>
      <c r="P1506" s="1"/>
      <c r="AA1506" s="1"/>
      <c r="AB1506" s="1"/>
      <c r="AG1506" s="1"/>
      <c r="AH1506" s="1"/>
      <c r="AK1506" s="1"/>
      <c r="AL1506" s="1"/>
      <c r="AM1506" s="2"/>
      <c r="AN1506" s="2"/>
      <c r="AQ1506" s="1"/>
      <c r="BG1506" s="1"/>
    </row>
    <row r="1507" spans="15:59">
      <c r="O1507" s="1"/>
      <c r="P1507" s="1"/>
      <c r="AA1507" s="1"/>
      <c r="AB1507" s="1"/>
      <c r="AG1507" s="1"/>
      <c r="AH1507" s="1"/>
      <c r="AK1507" s="1"/>
      <c r="AL1507" s="1"/>
      <c r="AM1507" s="2"/>
      <c r="AN1507" s="2"/>
      <c r="AQ1507" s="1"/>
      <c r="BG1507" s="1"/>
    </row>
    <row r="1508" spans="15:59">
      <c r="O1508" s="1"/>
      <c r="P1508" s="1"/>
      <c r="AA1508" s="1"/>
      <c r="AB1508" s="1"/>
      <c r="AG1508" s="1"/>
      <c r="AH1508" s="1"/>
      <c r="AK1508" s="1"/>
      <c r="AL1508" s="1"/>
      <c r="AM1508" s="2"/>
      <c r="AN1508" s="2"/>
      <c r="AQ1508" s="1"/>
      <c r="BG1508" s="1"/>
    </row>
    <row r="1509" spans="15:59">
      <c r="O1509" s="1"/>
      <c r="P1509" s="1"/>
      <c r="AA1509" s="1"/>
      <c r="AB1509" s="1"/>
      <c r="AG1509" s="1"/>
      <c r="AH1509" s="1"/>
      <c r="AK1509" s="1"/>
      <c r="AL1509" s="1"/>
      <c r="AM1509" s="2"/>
      <c r="AN1509" s="2"/>
      <c r="AQ1509" s="1"/>
      <c r="BG1509" s="1"/>
    </row>
    <row r="1510" spans="15:59">
      <c r="O1510" s="1"/>
      <c r="P1510" s="1"/>
      <c r="AA1510" s="1"/>
      <c r="AB1510" s="1"/>
      <c r="AG1510" s="1"/>
      <c r="AH1510" s="1"/>
      <c r="AK1510" s="1"/>
      <c r="AL1510" s="1"/>
      <c r="AM1510" s="2"/>
      <c r="AN1510" s="2"/>
      <c r="AQ1510" s="1"/>
      <c r="BG1510" s="1"/>
    </row>
    <row r="1511" spans="15:59">
      <c r="O1511" s="1"/>
      <c r="P1511" s="1"/>
      <c r="AA1511" s="1"/>
      <c r="AB1511" s="1"/>
      <c r="AG1511" s="1"/>
      <c r="AH1511" s="1"/>
      <c r="AK1511" s="1"/>
      <c r="AL1511" s="1"/>
      <c r="AM1511" s="2"/>
      <c r="AN1511" s="2"/>
      <c r="AQ1511" s="1"/>
      <c r="BG1511" s="1"/>
    </row>
    <row r="1512" spans="15:59">
      <c r="O1512" s="1"/>
      <c r="P1512" s="1"/>
      <c r="AA1512" s="1"/>
      <c r="AB1512" s="1"/>
      <c r="AG1512" s="1"/>
      <c r="AH1512" s="1"/>
      <c r="AK1512" s="1"/>
      <c r="AL1512" s="1"/>
      <c r="AM1512" s="2"/>
      <c r="AN1512" s="2"/>
      <c r="AQ1512" s="1"/>
      <c r="BG1512" s="1"/>
    </row>
    <row r="1513" spans="15:59">
      <c r="O1513" s="1"/>
      <c r="P1513" s="1"/>
      <c r="AA1513" s="1"/>
      <c r="AB1513" s="1"/>
      <c r="AG1513" s="1"/>
      <c r="AH1513" s="1"/>
      <c r="AK1513" s="1"/>
      <c r="AL1513" s="1"/>
      <c r="AM1513" s="2"/>
      <c r="AN1513" s="2"/>
      <c r="AQ1513" s="1"/>
      <c r="BG1513" s="1"/>
    </row>
    <row r="1514" spans="15:59">
      <c r="O1514" s="1"/>
      <c r="P1514" s="1"/>
      <c r="AA1514" s="1"/>
      <c r="AB1514" s="1"/>
      <c r="AG1514" s="1"/>
      <c r="AH1514" s="1"/>
      <c r="AK1514" s="1"/>
      <c r="AL1514" s="1"/>
      <c r="AM1514" s="2"/>
      <c r="AN1514" s="2"/>
      <c r="AQ1514" s="1"/>
      <c r="BG1514" s="1"/>
    </row>
    <row r="1515" spans="15:59">
      <c r="O1515" s="1"/>
      <c r="P1515" s="1"/>
      <c r="AA1515" s="1"/>
      <c r="AB1515" s="1"/>
      <c r="AG1515" s="1"/>
      <c r="AH1515" s="1"/>
      <c r="AK1515" s="1"/>
      <c r="AL1515" s="1"/>
      <c r="AM1515" s="2"/>
      <c r="AN1515" s="2"/>
      <c r="AQ1515" s="1"/>
      <c r="BG1515" s="1"/>
    </row>
    <row r="1516" spans="15:59">
      <c r="O1516" s="1"/>
      <c r="P1516" s="1"/>
      <c r="AA1516" s="1"/>
      <c r="AB1516" s="1"/>
      <c r="AG1516" s="1"/>
      <c r="AH1516" s="1"/>
      <c r="AK1516" s="1"/>
      <c r="AL1516" s="1"/>
      <c r="AM1516" s="2"/>
      <c r="AN1516" s="2"/>
      <c r="AQ1516" s="1"/>
      <c r="BG1516" s="1"/>
    </row>
    <row r="1517" spans="15:59">
      <c r="O1517" s="1"/>
      <c r="P1517" s="1"/>
      <c r="AA1517" s="1"/>
      <c r="AB1517" s="1"/>
      <c r="AG1517" s="1"/>
      <c r="AH1517" s="1"/>
      <c r="AK1517" s="1"/>
      <c r="AL1517" s="1"/>
      <c r="AM1517" s="2"/>
      <c r="AN1517" s="2"/>
      <c r="AQ1517" s="1"/>
      <c r="BG1517" s="1"/>
    </row>
    <row r="1518" spans="15:59">
      <c r="O1518" s="1"/>
      <c r="P1518" s="1"/>
      <c r="AA1518" s="1"/>
      <c r="AB1518" s="1"/>
      <c r="AG1518" s="1"/>
      <c r="AH1518" s="1"/>
      <c r="AK1518" s="1"/>
      <c r="AL1518" s="1"/>
      <c r="AM1518" s="2"/>
      <c r="AN1518" s="2"/>
      <c r="AQ1518" s="1"/>
      <c r="BG1518" s="1"/>
    </row>
    <row r="1519" spans="15:59">
      <c r="O1519" s="1"/>
      <c r="P1519" s="1"/>
      <c r="AA1519" s="1"/>
      <c r="AB1519" s="1"/>
      <c r="AG1519" s="1"/>
      <c r="AH1519" s="1"/>
      <c r="AK1519" s="1"/>
      <c r="AL1519" s="1"/>
      <c r="AM1519" s="2"/>
      <c r="AN1519" s="2"/>
      <c r="AQ1519" s="1"/>
      <c r="BG1519" s="1"/>
    </row>
    <row r="1520" spans="15:59">
      <c r="O1520" s="1"/>
      <c r="P1520" s="1"/>
      <c r="AA1520" s="1"/>
      <c r="AB1520" s="1"/>
      <c r="AG1520" s="1"/>
      <c r="AH1520" s="1"/>
      <c r="AK1520" s="1"/>
      <c r="AL1520" s="1"/>
      <c r="AM1520" s="2"/>
      <c r="AN1520" s="2"/>
      <c r="AQ1520" s="1"/>
      <c r="BG1520" s="1"/>
    </row>
    <row r="1521" spans="15:59">
      <c r="O1521" s="1"/>
      <c r="P1521" s="1"/>
      <c r="AA1521" s="1"/>
      <c r="AB1521" s="1"/>
      <c r="AG1521" s="1"/>
      <c r="AH1521" s="1"/>
      <c r="AK1521" s="1"/>
      <c r="AL1521" s="1"/>
      <c r="AM1521" s="2"/>
      <c r="AN1521" s="2"/>
      <c r="AQ1521" s="1"/>
      <c r="BG1521" s="1"/>
    </row>
    <row r="1522" spans="15:59">
      <c r="O1522" s="1"/>
      <c r="P1522" s="1"/>
      <c r="AA1522" s="1"/>
      <c r="AB1522" s="1"/>
      <c r="AG1522" s="1"/>
      <c r="AH1522" s="1"/>
      <c r="AK1522" s="1"/>
      <c r="AL1522" s="1"/>
      <c r="AM1522" s="2"/>
      <c r="AN1522" s="2"/>
      <c r="AQ1522" s="1"/>
      <c r="BG1522" s="1"/>
    </row>
    <row r="1523" spans="15:59">
      <c r="O1523" s="1"/>
      <c r="P1523" s="1"/>
      <c r="AA1523" s="1"/>
      <c r="AB1523" s="1"/>
      <c r="AG1523" s="1"/>
      <c r="AH1523" s="1"/>
      <c r="AK1523" s="1"/>
      <c r="AL1523" s="1"/>
      <c r="AM1523" s="2"/>
      <c r="AN1523" s="2"/>
      <c r="AQ1523" s="1"/>
      <c r="BG1523" s="1"/>
    </row>
    <row r="1524" spans="15:59">
      <c r="O1524" s="1"/>
      <c r="P1524" s="1"/>
      <c r="AA1524" s="1"/>
      <c r="AB1524" s="1"/>
      <c r="AG1524" s="1"/>
      <c r="AH1524" s="1"/>
      <c r="AK1524" s="1"/>
      <c r="AL1524" s="1"/>
      <c r="AM1524" s="2"/>
      <c r="AN1524" s="2"/>
      <c r="AQ1524" s="1"/>
      <c r="BG1524" s="1"/>
    </row>
    <row r="1525" spans="15:59">
      <c r="O1525" s="1"/>
      <c r="P1525" s="1"/>
      <c r="AA1525" s="1"/>
      <c r="AB1525" s="1"/>
      <c r="AG1525" s="1"/>
      <c r="AH1525" s="1"/>
      <c r="AK1525" s="1"/>
      <c r="AL1525" s="1"/>
      <c r="AM1525" s="2"/>
      <c r="AN1525" s="2"/>
      <c r="AQ1525" s="1"/>
      <c r="BG1525" s="1"/>
    </row>
    <row r="1526" spans="15:59">
      <c r="O1526" s="1"/>
      <c r="P1526" s="1"/>
      <c r="AA1526" s="1"/>
      <c r="AB1526" s="1"/>
      <c r="AG1526" s="1"/>
      <c r="AH1526" s="1"/>
      <c r="AK1526" s="1"/>
      <c r="AL1526" s="1"/>
      <c r="AM1526" s="2"/>
      <c r="AN1526" s="2"/>
      <c r="AQ1526" s="1"/>
      <c r="BG1526" s="1"/>
    </row>
    <row r="1527" spans="15:59">
      <c r="O1527" s="1"/>
      <c r="P1527" s="1"/>
      <c r="AA1527" s="1"/>
      <c r="AB1527" s="1"/>
      <c r="AG1527" s="1"/>
      <c r="AH1527" s="1"/>
      <c r="AK1527" s="1"/>
      <c r="AL1527" s="1"/>
      <c r="AM1527" s="2"/>
      <c r="AN1527" s="2"/>
      <c r="AQ1527" s="1"/>
      <c r="BG1527" s="1"/>
    </row>
    <row r="1528" spans="15:59">
      <c r="O1528" s="1"/>
      <c r="P1528" s="1"/>
      <c r="AA1528" s="1"/>
      <c r="AB1528" s="1"/>
      <c r="AG1528" s="1"/>
      <c r="AH1528" s="1"/>
      <c r="AK1528" s="1"/>
      <c r="AL1528" s="1"/>
      <c r="AM1528" s="2"/>
      <c r="AN1528" s="2"/>
      <c r="AQ1528" s="1"/>
      <c r="BG1528" s="1"/>
    </row>
    <row r="1529" spans="15:59">
      <c r="O1529" s="1"/>
      <c r="P1529" s="1"/>
      <c r="AA1529" s="1"/>
      <c r="AB1529" s="1"/>
      <c r="AG1529" s="1"/>
      <c r="AH1529" s="1"/>
      <c r="AK1529" s="1"/>
      <c r="AL1529" s="1"/>
      <c r="AM1529" s="2"/>
      <c r="AN1529" s="2"/>
      <c r="AQ1529" s="1"/>
      <c r="BG1529" s="1"/>
    </row>
    <row r="1530" spans="15:59">
      <c r="O1530" s="1"/>
      <c r="P1530" s="1"/>
      <c r="AA1530" s="1"/>
      <c r="AB1530" s="1"/>
      <c r="AG1530" s="1"/>
      <c r="AH1530" s="1"/>
      <c r="AK1530" s="1"/>
      <c r="AL1530" s="1"/>
      <c r="AM1530" s="2"/>
      <c r="AN1530" s="2"/>
      <c r="AQ1530" s="1"/>
      <c r="BG1530" s="1"/>
    </row>
    <row r="1531" spans="15:59">
      <c r="O1531" s="1"/>
      <c r="P1531" s="1"/>
      <c r="AA1531" s="1"/>
      <c r="AB1531" s="1"/>
      <c r="AG1531" s="1"/>
      <c r="AH1531" s="1"/>
      <c r="AK1531" s="1"/>
      <c r="AL1531" s="1"/>
      <c r="AM1531" s="2"/>
      <c r="AN1531" s="2"/>
      <c r="AQ1531" s="1"/>
      <c r="BG1531" s="1"/>
    </row>
    <row r="1532" spans="15:59">
      <c r="O1532" s="1"/>
      <c r="P1532" s="1"/>
      <c r="AA1532" s="1"/>
      <c r="AB1532" s="1"/>
      <c r="AG1532" s="1"/>
      <c r="AH1532" s="1"/>
      <c r="AK1532" s="1"/>
      <c r="AL1532" s="1"/>
      <c r="AM1532" s="2"/>
      <c r="AN1532" s="2"/>
      <c r="AQ1532" s="1"/>
      <c r="BG1532" s="1"/>
    </row>
    <row r="1533" spans="15:59">
      <c r="O1533" s="1"/>
      <c r="P1533" s="1"/>
      <c r="AA1533" s="1"/>
      <c r="AB1533" s="1"/>
      <c r="AG1533" s="1"/>
      <c r="AH1533" s="1"/>
      <c r="AK1533" s="1"/>
      <c r="AL1533" s="1"/>
      <c r="AM1533" s="2"/>
      <c r="AN1533" s="2"/>
      <c r="AQ1533" s="1"/>
      <c r="BG1533" s="1"/>
    </row>
    <row r="1534" spans="15:59">
      <c r="O1534" s="1"/>
      <c r="P1534" s="1"/>
      <c r="AA1534" s="1"/>
      <c r="AB1534" s="1"/>
      <c r="AG1534" s="1"/>
      <c r="AH1534" s="1"/>
      <c r="AK1534" s="1"/>
      <c r="AL1534" s="1"/>
      <c r="AM1534" s="2"/>
      <c r="AN1534" s="2"/>
      <c r="AQ1534" s="1"/>
      <c r="BG1534" s="1"/>
    </row>
    <row r="1535" spans="15:59">
      <c r="O1535" s="1"/>
      <c r="P1535" s="1"/>
      <c r="AA1535" s="1"/>
      <c r="AB1535" s="1"/>
      <c r="AG1535" s="1"/>
      <c r="AH1535" s="1"/>
      <c r="AK1535" s="1"/>
      <c r="AL1535" s="1"/>
      <c r="AM1535" s="2"/>
      <c r="AN1535" s="2"/>
      <c r="AQ1535" s="1"/>
      <c r="BG1535" s="1"/>
    </row>
    <row r="1536" spans="15:59">
      <c r="O1536" s="1"/>
      <c r="P1536" s="1"/>
      <c r="AA1536" s="1"/>
      <c r="AB1536" s="1"/>
      <c r="AG1536" s="1"/>
      <c r="AH1536" s="1"/>
      <c r="AK1536" s="1"/>
      <c r="AL1536" s="1"/>
      <c r="AM1536" s="2"/>
      <c r="AN1536" s="2"/>
      <c r="AQ1536" s="1"/>
      <c r="BG1536" s="1"/>
    </row>
    <row r="1537" spans="15:59">
      <c r="O1537" s="1"/>
      <c r="P1537" s="1"/>
      <c r="AA1537" s="1"/>
      <c r="AB1537" s="1"/>
      <c r="AG1537" s="1"/>
      <c r="AH1537" s="1"/>
      <c r="AK1537" s="1"/>
      <c r="AL1537" s="1"/>
      <c r="AM1537" s="2"/>
      <c r="AN1537" s="2"/>
      <c r="AQ1537" s="1"/>
      <c r="BG1537" s="1"/>
    </row>
    <row r="1538" spans="15:59">
      <c r="O1538" s="1"/>
      <c r="P1538" s="1"/>
      <c r="AA1538" s="1"/>
      <c r="AB1538" s="1"/>
      <c r="AG1538" s="1"/>
      <c r="AH1538" s="1"/>
      <c r="AK1538" s="1"/>
      <c r="AL1538" s="1"/>
      <c r="AM1538" s="2"/>
      <c r="AN1538" s="2"/>
      <c r="AQ1538" s="1"/>
      <c r="BG1538" s="1"/>
    </row>
    <row r="1539" spans="15:59">
      <c r="O1539" s="1"/>
      <c r="P1539" s="1"/>
      <c r="AA1539" s="1"/>
      <c r="AB1539" s="1"/>
      <c r="AG1539" s="1"/>
      <c r="AH1539" s="1"/>
      <c r="AK1539" s="1"/>
      <c r="AL1539" s="1"/>
      <c r="AM1539" s="2"/>
      <c r="AN1539" s="2"/>
      <c r="AQ1539" s="1"/>
      <c r="BG1539" s="1"/>
    </row>
    <row r="1540" spans="15:59">
      <c r="O1540" s="1"/>
      <c r="P1540" s="1"/>
      <c r="AA1540" s="1"/>
      <c r="AB1540" s="1"/>
      <c r="AG1540" s="1"/>
      <c r="AH1540" s="1"/>
      <c r="AK1540" s="1"/>
      <c r="AL1540" s="1"/>
      <c r="AM1540" s="2"/>
      <c r="AN1540" s="2"/>
      <c r="AQ1540" s="1"/>
      <c r="BG1540" s="1"/>
    </row>
    <row r="1541" spans="15:59">
      <c r="O1541" s="1"/>
      <c r="P1541" s="1"/>
      <c r="AA1541" s="1"/>
      <c r="AB1541" s="1"/>
      <c r="AG1541" s="1"/>
      <c r="AH1541" s="1"/>
      <c r="AK1541" s="1"/>
      <c r="AL1541" s="1"/>
      <c r="AM1541" s="2"/>
      <c r="AN1541" s="2"/>
      <c r="AQ1541" s="1"/>
      <c r="BG1541" s="1"/>
    </row>
    <row r="1542" spans="15:59">
      <c r="O1542" s="1"/>
      <c r="P1542" s="1"/>
      <c r="AA1542" s="1"/>
      <c r="AB1542" s="1"/>
      <c r="AG1542" s="1"/>
      <c r="AH1542" s="1"/>
      <c r="AK1542" s="1"/>
      <c r="AL1542" s="1"/>
      <c r="AM1542" s="2"/>
      <c r="AN1542" s="2"/>
      <c r="AQ1542" s="1"/>
      <c r="BG1542" s="1"/>
    </row>
    <row r="1543" spans="15:59">
      <c r="O1543" s="1"/>
      <c r="P1543" s="1"/>
      <c r="AA1543" s="1"/>
      <c r="AB1543" s="1"/>
      <c r="AG1543" s="1"/>
      <c r="AH1543" s="1"/>
      <c r="AK1543" s="1"/>
      <c r="AL1543" s="1"/>
      <c r="AM1543" s="2"/>
      <c r="AN1543" s="2"/>
      <c r="AQ1543" s="1"/>
      <c r="BG1543" s="1"/>
    </row>
    <row r="1544" spans="15:59">
      <c r="O1544" s="1"/>
      <c r="P1544" s="1"/>
      <c r="AA1544" s="1"/>
      <c r="AB1544" s="1"/>
      <c r="AG1544" s="1"/>
      <c r="AH1544" s="1"/>
      <c r="AK1544" s="1"/>
      <c r="AL1544" s="1"/>
      <c r="AM1544" s="2"/>
      <c r="AN1544" s="2"/>
      <c r="AQ1544" s="1"/>
      <c r="BG1544" s="1"/>
    </row>
    <row r="1545" spans="15:59">
      <c r="O1545" s="1"/>
      <c r="P1545" s="1"/>
      <c r="AA1545" s="1"/>
      <c r="AB1545" s="1"/>
      <c r="AG1545" s="1"/>
      <c r="AH1545" s="1"/>
      <c r="AK1545" s="1"/>
      <c r="AL1545" s="1"/>
      <c r="AM1545" s="2"/>
      <c r="AN1545" s="2"/>
      <c r="AQ1545" s="1"/>
      <c r="BG1545" s="1"/>
    </row>
    <row r="1546" spans="15:59">
      <c r="O1546" s="1"/>
      <c r="P1546" s="1"/>
      <c r="AA1546" s="1"/>
      <c r="AB1546" s="1"/>
      <c r="AG1546" s="1"/>
      <c r="AH1546" s="1"/>
      <c r="AK1546" s="1"/>
      <c r="AL1546" s="1"/>
      <c r="AM1546" s="2"/>
      <c r="AN1546" s="2"/>
      <c r="AQ1546" s="1"/>
      <c r="BG1546" s="1"/>
    </row>
    <row r="1547" spans="15:59">
      <c r="O1547" s="1"/>
      <c r="P1547" s="1"/>
      <c r="AA1547" s="1"/>
      <c r="AB1547" s="1"/>
      <c r="AG1547" s="1"/>
      <c r="AH1547" s="1"/>
      <c r="AK1547" s="1"/>
      <c r="AL1547" s="1"/>
      <c r="AM1547" s="2"/>
      <c r="AN1547" s="2"/>
      <c r="AQ1547" s="1"/>
      <c r="BG1547" s="1"/>
    </row>
    <row r="1548" spans="15:59">
      <c r="O1548" s="1"/>
      <c r="P1548" s="1"/>
      <c r="AA1548" s="1"/>
      <c r="AB1548" s="1"/>
      <c r="AG1548" s="1"/>
      <c r="AH1548" s="1"/>
      <c r="AK1548" s="1"/>
      <c r="AL1548" s="1"/>
      <c r="AM1548" s="2"/>
      <c r="AN1548" s="2"/>
      <c r="AQ1548" s="1"/>
      <c r="BG1548" s="1"/>
    </row>
    <row r="1549" spans="15:59">
      <c r="O1549" s="1"/>
      <c r="P1549" s="1"/>
      <c r="AA1549" s="1"/>
      <c r="AB1549" s="1"/>
      <c r="AG1549" s="1"/>
      <c r="AH1549" s="1"/>
      <c r="AK1549" s="1"/>
      <c r="AL1549" s="1"/>
      <c r="AM1549" s="2"/>
      <c r="AN1549" s="2"/>
      <c r="AQ1549" s="1"/>
      <c r="BG1549" s="1"/>
    </row>
    <row r="1550" spans="15:59">
      <c r="O1550" s="1"/>
      <c r="P1550" s="1"/>
      <c r="AA1550" s="1"/>
      <c r="AB1550" s="1"/>
      <c r="AG1550" s="1"/>
      <c r="AH1550" s="1"/>
      <c r="AK1550" s="1"/>
      <c r="AL1550" s="1"/>
      <c r="AM1550" s="2"/>
      <c r="AN1550" s="2"/>
      <c r="AQ1550" s="1"/>
      <c r="BG1550" s="1"/>
    </row>
    <row r="1551" spans="15:59">
      <c r="O1551" s="1"/>
      <c r="P1551" s="1"/>
      <c r="AA1551" s="1"/>
      <c r="AB1551" s="1"/>
      <c r="AG1551" s="1"/>
      <c r="AH1551" s="1"/>
      <c r="AK1551" s="1"/>
      <c r="AL1551" s="1"/>
      <c r="AM1551" s="2"/>
      <c r="AN1551" s="2"/>
      <c r="AQ1551" s="1"/>
      <c r="BG1551" s="1"/>
    </row>
    <row r="1552" spans="15:59">
      <c r="O1552" s="1"/>
      <c r="P1552" s="1"/>
      <c r="AA1552" s="1"/>
      <c r="AB1552" s="1"/>
      <c r="AG1552" s="1"/>
      <c r="AH1552" s="1"/>
      <c r="AK1552" s="1"/>
      <c r="AL1552" s="1"/>
      <c r="AM1552" s="2"/>
      <c r="AN1552" s="2"/>
      <c r="AQ1552" s="1"/>
      <c r="BG1552" s="1"/>
    </row>
    <row r="1553" spans="15:59">
      <c r="O1553" s="1"/>
      <c r="P1553" s="1"/>
      <c r="AA1553" s="1"/>
      <c r="AB1553" s="1"/>
      <c r="AG1553" s="1"/>
      <c r="AH1553" s="1"/>
      <c r="AK1553" s="1"/>
      <c r="AL1553" s="1"/>
      <c r="AM1553" s="2"/>
      <c r="AN1553" s="2"/>
      <c r="AQ1553" s="1"/>
      <c r="BG1553" s="1"/>
    </row>
    <row r="1554" spans="15:59">
      <c r="O1554" s="1"/>
      <c r="P1554" s="1"/>
      <c r="AA1554" s="1"/>
      <c r="AB1554" s="1"/>
      <c r="AG1554" s="1"/>
      <c r="AH1554" s="1"/>
      <c r="AK1554" s="1"/>
      <c r="AL1554" s="1"/>
      <c r="AM1554" s="2"/>
      <c r="AN1554" s="2"/>
      <c r="AQ1554" s="1"/>
      <c r="BG1554" s="1"/>
    </row>
    <row r="1555" spans="15:59">
      <c r="O1555" s="1"/>
      <c r="P1555" s="1"/>
      <c r="AA1555" s="1"/>
      <c r="AB1555" s="1"/>
      <c r="AG1555" s="1"/>
      <c r="AH1555" s="1"/>
      <c r="AK1555" s="1"/>
      <c r="AL1555" s="1"/>
      <c r="AM1555" s="2"/>
      <c r="AN1555" s="2"/>
      <c r="AQ1555" s="1"/>
      <c r="BG1555" s="1"/>
    </row>
    <row r="1556" spans="15:59">
      <c r="O1556" s="1"/>
      <c r="P1556" s="1"/>
      <c r="AA1556" s="1"/>
      <c r="AB1556" s="1"/>
      <c r="AG1556" s="1"/>
      <c r="AH1556" s="1"/>
      <c r="AK1556" s="1"/>
      <c r="AL1556" s="1"/>
      <c r="AM1556" s="2"/>
      <c r="AN1556" s="2"/>
      <c r="AQ1556" s="1"/>
      <c r="BG1556" s="1"/>
    </row>
    <row r="1557" spans="15:59">
      <c r="O1557" s="1"/>
      <c r="P1557" s="1"/>
      <c r="AA1557" s="1"/>
      <c r="AB1557" s="1"/>
      <c r="AG1557" s="1"/>
      <c r="AH1557" s="1"/>
      <c r="AK1557" s="1"/>
      <c r="AL1557" s="1"/>
      <c r="AM1557" s="2"/>
      <c r="AN1557" s="2"/>
      <c r="AQ1557" s="1"/>
      <c r="BG1557" s="1"/>
    </row>
    <row r="1558" spans="15:59">
      <c r="O1558" s="1"/>
      <c r="P1558" s="1"/>
      <c r="AA1558" s="1"/>
      <c r="AB1558" s="1"/>
      <c r="AG1558" s="1"/>
      <c r="AH1558" s="1"/>
      <c r="AK1558" s="1"/>
      <c r="AL1558" s="1"/>
      <c r="AM1558" s="2"/>
      <c r="AN1558" s="2"/>
      <c r="AQ1558" s="1"/>
      <c r="BG1558" s="1"/>
    </row>
    <row r="1559" spans="15:59">
      <c r="O1559" s="1"/>
      <c r="P1559" s="1"/>
      <c r="AA1559" s="1"/>
      <c r="AB1559" s="1"/>
      <c r="AG1559" s="1"/>
      <c r="AH1559" s="1"/>
      <c r="AK1559" s="1"/>
      <c r="AL1559" s="1"/>
      <c r="AM1559" s="2"/>
      <c r="AN1559" s="2"/>
      <c r="AQ1559" s="1"/>
      <c r="BG1559" s="1"/>
    </row>
    <row r="1560" spans="15:59">
      <c r="O1560" s="1"/>
      <c r="P1560" s="1"/>
      <c r="AA1560" s="1"/>
      <c r="AB1560" s="1"/>
      <c r="AG1560" s="1"/>
      <c r="AH1560" s="1"/>
      <c r="AK1560" s="1"/>
      <c r="AL1560" s="1"/>
      <c r="AM1560" s="2"/>
      <c r="AN1560" s="2"/>
      <c r="AQ1560" s="1"/>
      <c r="BG1560" s="1"/>
    </row>
    <row r="1561" spans="15:59">
      <c r="O1561" s="1"/>
      <c r="P1561" s="1"/>
      <c r="AA1561" s="1"/>
      <c r="AB1561" s="1"/>
      <c r="AG1561" s="1"/>
      <c r="AH1561" s="1"/>
      <c r="AK1561" s="1"/>
      <c r="AL1561" s="1"/>
      <c r="AM1561" s="2"/>
      <c r="AN1561" s="2"/>
      <c r="AQ1561" s="1"/>
      <c r="BG1561" s="1"/>
    </row>
    <row r="1562" spans="15:59">
      <c r="O1562" s="1"/>
      <c r="P1562" s="1"/>
      <c r="AA1562" s="1"/>
      <c r="AB1562" s="1"/>
      <c r="AG1562" s="1"/>
      <c r="AH1562" s="1"/>
      <c r="AK1562" s="1"/>
      <c r="AL1562" s="1"/>
      <c r="AM1562" s="2"/>
      <c r="AN1562" s="2"/>
      <c r="AQ1562" s="1"/>
      <c r="BG1562" s="1"/>
    </row>
    <row r="1563" spans="15:59">
      <c r="O1563" s="1"/>
      <c r="P1563" s="1"/>
      <c r="AA1563" s="1"/>
      <c r="AB1563" s="1"/>
      <c r="AG1563" s="1"/>
      <c r="AH1563" s="1"/>
      <c r="AK1563" s="1"/>
      <c r="AL1563" s="1"/>
      <c r="AM1563" s="2"/>
      <c r="AN1563" s="2"/>
      <c r="AQ1563" s="1"/>
      <c r="BG1563" s="1"/>
    </row>
    <row r="1564" spans="15:59">
      <c r="O1564" s="1"/>
      <c r="P1564" s="1"/>
      <c r="AA1564" s="1"/>
      <c r="AB1564" s="1"/>
      <c r="AG1564" s="1"/>
      <c r="AH1564" s="1"/>
      <c r="AK1564" s="1"/>
      <c r="AL1564" s="1"/>
      <c r="AM1564" s="2"/>
      <c r="AN1564" s="2"/>
      <c r="AQ1564" s="1"/>
      <c r="BG1564" s="1"/>
    </row>
    <row r="1565" spans="15:59">
      <c r="O1565" s="1"/>
      <c r="P1565" s="1"/>
      <c r="AA1565" s="1"/>
      <c r="AB1565" s="1"/>
      <c r="AG1565" s="1"/>
      <c r="AH1565" s="1"/>
      <c r="AK1565" s="1"/>
      <c r="AL1565" s="1"/>
      <c r="AM1565" s="2"/>
      <c r="AN1565" s="2"/>
      <c r="AQ1565" s="1"/>
      <c r="BG1565" s="1"/>
    </row>
    <row r="1566" spans="15:59">
      <c r="O1566" s="1"/>
      <c r="P1566" s="1"/>
      <c r="AA1566" s="1"/>
      <c r="AB1566" s="1"/>
      <c r="AG1566" s="1"/>
      <c r="AH1566" s="1"/>
      <c r="AK1566" s="1"/>
      <c r="AL1566" s="1"/>
      <c r="AM1566" s="2"/>
      <c r="AN1566" s="2"/>
      <c r="AQ1566" s="1"/>
      <c r="BG1566" s="1"/>
    </row>
    <row r="1567" spans="15:59">
      <c r="O1567" s="1"/>
      <c r="P1567" s="1"/>
      <c r="AA1567" s="1"/>
      <c r="AB1567" s="1"/>
      <c r="AG1567" s="1"/>
      <c r="AH1567" s="1"/>
      <c r="AK1567" s="1"/>
      <c r="AL1567" s="1"/>
      <c r="AM1567" s="2"/>
      <c r="AN1567" s="2"/>
      <c r="AQ1567" s="1"/>
      <c r="BG1567" s="1"/>
    </row>
    <row r="1568" spans="15:59">
      <c r="O1568" s="1"/>
      <c r="P1568" s="1"/>
      <c r="AA1568" s="1"/>
      <c r="AB1568" s="1"/>
      <c r="AG1568" s="1"/>
      <c r="AH1568" s="1"/>
      <c r="AK1568" s="1"/>
      <c r="AL1568" s="1"/>
      <c r="AM1568" s="2"/>
      <c r="AN1568" s="2"/>
      <c r="AQ1568" s="1"/>
      <c r="BG1568" s="1"/>
    </row>
    <row r="1569" spans="15:59">
      <c r="O1569" s="1"/>
      <c r="P1569" s="1"/>
      <c r="AA1569" s="1"/>
      <c r="AB1569" s="1"/>
      <c r="AG1569" s="1"/>
      <c r="AH1569" s="1"/>
      <c r="AK1569" s="1"/>
      <c r="AL1569" s="1"/>
      <c r="AM1569" s="2"/>
      <c r="AN1569" s="2"/>
      <c r="AQ1569" s="1"/>
      <c r="BG1569" s="1"/>
    </row>
    <row r="1570" spans="15:59">
      <c r="O1570" s="1"/>
      <c r="P1570" s="1"/>
      <c r="AA1570" s="1"/>
      <c r="AB1570" s="1"/>
      <c r="AG1570" s="1"/>
      <c r="AH1570" s="1"/>
      <c r="AK1570" s="1"/>
      <c r="AL1570" s="1"/>
      <c r="AM1570" s="2"/>
      <c r="AN1570" s="2"/>
      <c r="AQ1570" s="1"/>
      <c r="BG1570" s="1"/>
    </row>
    <row r="1571" spans="15:59">
      <c r="O1571" s="1"/>
      <c r="P1571" s="1"/>
      <c r="AA1571" s="1"/>
      <c r="AB1571" s="1"/>
      <c r="AG1571" s="1"/>
      <c r="AH1571" s="1"/>
      <c r="AK1571" s="1"/>
      <c r="AL1571" s="1"/>
      <c r="AM1571" s="2"/>
      <c r="AN1571" s="2"/>
      <c r="AQ1571" s="1"/>
      <c r="BG1571" s="1"/>
    </row>
    <row r="1572" spans="15:59">
      <c r="O1572" s="1"/>
      <c r="P1572" s="1"/>
      <c r="AA1572" s="1"/>
      <c r="AB1572" s="1"/>
      <c r="AG1572" s="1"/>
      <c r="AH1572" s="1"/>
      <c r="AK1572" s="1"/>
      <c r="AL1572" s="1"/>
      <c r="AM1572" s="2"/>
      <c r="AN1572" s="2"/>
      <c r="AQ1572" s="1"/>
      <c r="BG1572" s="1"/>
    </row>
    <row r="1573" spans="15:59">
      <c r="O1573" s="1"/>
      <c r="P1573" s="1"/>
      <c r="AA1573" s="1"/>
      <c r="AB1573" s="1"/>
      <c r="AG1573" s="1"/>
      <c r="AH1573" s="1"/>
      <c r="AK1573" s="1"/>
      <c r="AL1573" s="1"/>
      <c r="AM1573" s="2"/>
      <c r="AN1573" s="2"/>
      <c r="AQ1573" s="1"/>
      <c r="BG1573" s="1"/>
    </row>
    <row r="1574" spans="15:59">
      <c r="O1574" s="1"/>
      <c r="P1574" s="1"/>
      <c r="AA1574" s="1"/>
      <c r="AB1574" s="1"/>
      <c r="AG1574" s="1"/>
      <c r="AH1574" s="1"/>
      <c r="AK1574" s="1"/>
      <c r="AL1574" s="1"/>
      <c r="AM1574" s="2"/>
      <c r="AN1574" s="2"/>
      <c r="AQ1574" s="1"/>
      <c r="BG1574" s="1"/>
    </row>
    <row r="1575" spans="15:59">
      <c r="O1575" s="1"/>
      <c r="P1575" s="1"/>
      <c r="AA1575" s="1"/>
      <c r="AB1575" s="1"/>
      <c r="AG1575" s="1"/>
      <c r="AH1575" s="1"/>
      <c r="AK1575" s="1"/>
      <c r="AL1575" s="1"/>
      <c r="AM1575" s="2"/>
      <c r="AN1575" s="2"/>
      <c r="AQ1575" s="1"/>
      <c r="BG1575" s="1"/>
    </row>
    <row r="1576" spans="15:59">
      <c r="O1576" s="1"/>
      <c r="P1576" s="1"/>
      <c r="AA1576" s="1"/>
      <c r="AB1576" s="1"/>
      <c r="AG1576" s="1"/>
      <c r="AH1576" s="1"/>
      <c r="AK1576" s="1"/>
      <c r="AL1576" s="1"/>
      <c r="AM1576" s="2"/>
      <c r="AN1576" s="2"/>
      <c r="AQ1576" s="1"/>
      <c r="BG1576" s="1"/>
    </row>
    <row r="1577" spans="15:59">
      <c r="O1577" s="1"/>
      <c r="P1577" s="1"/>
      <c r="AA1577" s="1"/>
      <c r="AB1577" s="1"/>
      <c r="AG1577" s="1"/>
      <c r="AH1577" s="1"/>
      <c r="AK1577" s="1"/>
      <c r="AL1577" s="1"/>
      <c r="AM1577" s="2"/>
      <c r="AN1577" s="2"/>
      <c r="AQ1577" s="1"/>
      <c r="BG1577" s="1"/>
    </row>
    <row r="1578" spans="15:59">
      <c r="O1578" s="1"/>
      <c r="P1578" s="1"/>
      <c r="AA1578" s="1"/>
      <c r="AB1578" s="1"/>
      <c r="AG1578" s="1"/>
      <c r="AH1578" s="1"/>
      <c r="AK1578" s="1"/>
      <c r="AL1578" s="1"/>
      <c r="AM1578" s="2"/>
      <c r="AN1578" s="2"/>
      <c r="AQ1578" s="1"/>
      <c r="BG1578" s="1"/>
    </row>
    <row r="1579" spans="15:59">
      <c r="O1579" s="1"/>
      <c r="P1579" s="1"/>
      <c r="AA1579" s="1"/>
      <c r="AB1579" s="1"/>
      <c r="AG1579" s="1"/>
      <c r="AH1579" s="1"/>
      <c r="AK1579" s="1"/>
      <c r="AL1579" s="1"/>
      <c r="AM1579" s="2"/>
      <c r="AN1579" s="2"/>
      <c r="AQ1579" s="1"/>
      <c r="BG1579" s="1"/>
    </row>
    <row r="1580" spans="15:59">
      <c r="O1580" s="1"/>
      <c r="P1580" s="1"/>
      <c r="AA1580" s="1"/>
      <c r="AB1580" s="1"/>
      <c r="AG1580" s="1"/>
      <c r="AH1580" s="1"/>
      <c r="AK1580" s="1"/>
      <c r="AL1580" s="1"/>
      <c r="AM1580" s="2"/>
      <c r="AN1580" s="2"/>
      <c r="AQ1580" s="1"/>
      <c r="BG1580" s="1"/>
    </row>
    <row r="1581" spans="15:59">
      <c r="O1581" s="1"/>
      <c r="P1581" s="1"/>
      <c r="AA1581" s="1"/>
      <c r="AB1581" s="1"/>
      <c r="AG1581" s="1"/>
      <c r="AH1581" s="1"/>
      <c r="AK1581" s="1"/>
      <c r="AL1581" s="1"/>
      <c r="AM1581" s="2"/>
      <c r="AN1581" s="2"/>
      <c r="AQ1581" s="1"/>
      <c r="BG1581" s="1"/>
    </row>
    <row r="1582" spans="15:59">
      <c r="O1582" s="1"/>
      <c r="P1582" s="1"/>
      <c r="AA1582" s="1"/>
      <c r="AB1582" s="1"/>
      <c r="AG1582" s="1"/>
      <c r="AH1582" s="1"/>
      <c r="AK1582" s="1"/>
      <c r="AL1582" s="1"/>
      <c r="AM1582" s="2"/>
      <c r="AN1582" s="2"/>
      <c r="AQ1582" s="1"/>
      <c r="BG1582" s="1"/>
    </row>
    <row r="1583" spans="15:59">
      <c r="O1583" s="1"/>
      <c r="P1583" s="1"/>
      <c r="AA1583" s="1"/>
      <c r="AB1583" s="1"/>
      <c r="AG1583" s="1"/>
      <c r="AH1583" s="1"/>
      <c r="AK1583" s="1"/>
      <c r="AL1583" s="1"/>
      <c r="AM1583" s="2"/>
      <c r="AN1583" s="2"/>
      <c r="AQ1583" s="1"/>
      <c r="BG1583" s="1"/>
    </row>
    <row r="1584" spans="15:59">
      <c r="O1584" s="1"/>
      <c r="P1584" s="1"/>
      <c r="AA1584" s="1"/>
      <c r="AB1584" s="1"/>
      <c r="AG1584" s="1"/>
      <c r="AH1584" s="1"/>
      <c r="AK1584" s="1"/>
      <c r="AL1584" s="1"/>
      <c r="AM1584" s="2"/>
      <c r="AN1584" s="2"/>
      <c r="AQ1584" s="1"/>
      <c r="BG1584" s="1"/>
    </row>
    <row r="1585" spans="15:59">
      <c r="O1585" s="1"/>
      <c r="P1585" s="1"/>
      <c r="AA1585" s="1"/>
      <c r="AB1585" s="1"/>
      <c r="AG1585" s="1"/>
      <c r="AH1585" s="1"/>
      <c r="AK1585" s="1"/>
      <c r="AL1585" s="1"/>
      <c r="AM1585" s="2"/>
      <c r="AN1585" s="2"/>
      <c r="AQ1585" s="1"/>
      <c r="BG1585" s="1"/>
    </row>
    <row r="1586" spans="15:59">
      <c r="O1586" s="1"/>
      <c r="P1586" s="1"/>
      <c r="AA1586" s="1"/>
      <c r="AB1586" s="1"/>
      <c r="AG1586" s="1"/>
      <c r="AH1586" s="1"/>
      <c r="AK1586" s="1"/>
      <c r="AL1586" s="1"/>
      <c r="AM1586" s="2"/>
      <c r="AN1586" s="2"/>
      <c r="AQ1586" s="1"/>
      <c r="BG1586" s="1"/>
    </row>
    <row r="1587" spans="15:59">
      <c r="O1587" s="1"/>
      <c r="P1587" s="1"/>
      <c r="AA1587" s="1"/>
      <c r="AB1587" s="1"/>
      <c r="AG1587" s="1"/>
      <c r="AH1587" s="1"/>
      <c r="AK1587" s="1"/>
      <c r="AL1587" s="1"/>
      <c r="AM1587" s="2"/>
      <c r="AN1587" s="2"/>
      <c r="AQ1587" s="1"/>
      <c r="BG1587" s="1"/>
    </row>
    <row r="1588" spans="15:59">
      <c r="O1588" s="1"/>
      <c r="P1588" s="1"/>
      <c r="AA1588" s="1"/>
      <c r="AB1588" s="1"/>
      <c r="AG1588" s="1"/>
      <c r="AH1588" s="1"/>
      <c r="AK1588" s="1"/>
      <c r="AL1588" s="1"/>
      <c r="AM1588" s="2"/>
      <c r="AN1588" s="2"/>
      <c r="AQ1588" s="1"/>
      <c r="BG1588" s="1"/>
    </row>
    <row r="1589" spans="15:59">
      <c r="O1589" s="1"/>
      <c r="P1589" s="1"/>
      <c r="AA1589" s="1"/>
      <c r="AB1589" s="1"/>
      <c r="AG1589" s="1"/>
      <c r="AH1589" s="1"/>
      <c r="AK1589" s="1"/>
      <c r="AL1589" s="1"/>
      <c r="AM1589" s="2"/>
      <c r="AN1589" s="2"/>
      <c r="AQ1589" s="1"/>
      <c r="BG1589" s="1"/>
    </row>
    <row r="1590" spans="15:59">
      <c r="O1590" s="1"/>
      <c r="P1590" s="1"/>
      <c r="AA1590" s="1"/>
      <c r="AB1590" s="1"/>
      <c r="AG1590" s="1"/>
      <c r="AH1590" s="1"/>
      <c r="AK1590" s="1"/>
      <c r="AL1590" s="1"/>
      <c r="AM1590" s="2"/>
      <c r="AN1590" s="2"/>
      <c r="AQ1590" s="1"/>
      <c r="BG1590" s="1"/>
    </row>
    <row r="1591" spans="15:59">
      <c r="O1591" s="1"/>
      <c r="P1591" s="1"/>
      <c r="AA1591" s="1"/>
      <c r="AB1591" s="1"/>
      <c r="AG1591" s="1"/>
      <c r="AH1591" s="1"/>
      <c r="AK1591" s="1"/>
      <c r="AL1591" s="1"/>
      <c r="AM1591" s="2"/>
      <c r="AN1591" s="2"/>
      <c r="AQ1591" s="1"/>
      <c r="BG1591" s="1"/>
    </row>
    <row r="1592" spans="15:59">
      <c r="O1592" s="1"/>
      <c r="P1592" s="1"/>
      <c r="AA1592" s="1"/>
      <c r="AB1592" s="1"/>
      <c r="AG1592" s="1"/>
      <c r="AH1592" s="1"/>
      <c r="AK1592" s="1"/>
      <c r="AL1592" s="1"/>
      <c r="AM1592" s="2"/>
      <c r="AN1592" s="2"/>
      <c r="AQ1592" s="1"/>
      <c r="BG1592" s="1"/>
    </row>
    <row r="1593" spans="15:59">
      <c r="O1593" s="1"/>
      <c r="P1593" s="1"/>
      <c r="AA1593" s="1"/>
      <c r="AB1593" s="1"/>
      <c r="AG1593" s="1"/>
      <c r="AH1593" s="1"/>
      <c r="AK1593" s="1"/>
      <c r="AL1593" s="1"/>
      <c r="AM1593" s="2"/>
      <c r="AN1593" s="2"/>
      <c r="AQ1593" s="1"/>
      <c r="BG1593" s="1"/>
    </row>
    <row r="1594" spans="15:59">
      <c r="O1594" s="1"/>
      <c r="P1594" s="1"/>
      <c r="AA1594" s="1"/>
      <c r="AB1594" s="1"/>
      <c r="AG1594" s="1"/>
      <c r="AH1594" s="1"/>
      <c r="AK1594" s="1"/>
      <c r="AL1594" s="1"/>
      <c r="AM1594" s="2"/>
      <c r="AN1594" s="2"/>
      <c r="AQ1594" s="1"/>
      <c r="BG1594" s="1"/>
    </row>
    <row r="1595" spans="15:59">
      <c r="O1595" s="1"/>
      <c r="P1595" s="1"/>
      <c r="AA1595" s="1"/>
      <c r="AB1595" s="1"/>
      <c r="AG1595" s="1"/>
      <c r="AH1595" s="1"/>
      <c r="AK1595" s="1"/>
      <c r="AL1595" s="1"/>
      <c r="AM1595" s="2"/>
      <c r="AN1595" s="2"/>
      <c r="AQ1595" s="1"/>
      <c r="BG1595" s="1"/>
    </row>
    <row r="1596" spans="15:59">
      <c r="O1596" s="1"/>
      <c r="P1596" s="1"/>
      <c r="AA1596" s="1"/>
      <c r="AB1596" s="1"/>
      <c r="AG1596" s="1"/>
      <c r="AH1596" s="1"/>
      <c r="AK1596" s="1"/>
      <c r="AL1596" s="1"/>
      <c r="AM1596" s="2"/>
      <c r="AN1596" s="2"/>
      <c r="AQ1596" s="1"/>
      <c r="BG1596" s="1"/>
    </row>
    <row r="1597" spans="15:59">
      <c r="O1597" s="1"/>
      <c r="P1597" s="1"/>
      <c r="AA1597" s="1"/>
      <c r="AB1597" s="1"/>
      <c r="AG1597" s="1"/>
      <c r="AH1597" s="1"/>
      <c r="AK1597" s="1"/>
      <c r="AL1597" s="1"/>
      <c r="AM1597" s="2"/>
      <c r="AN1597" s="2"/>
      <c r="AQ1597" s="1"/>
      <c r="BG1597" s="1"/>
    </row>
    <row r="1598" spans="15:59">
      <c r="O1598" s="1"/>
      <c r="P1598" s="1"/>
      <c r="AA1598" s="1"/>
      <c r="AB1598" s="1"/>
      <c r="AG1598" s="1"/>
      <c r="AH1598" s="1"/>
      <c r="AK1598" s="1"/>
      <c r="AL1598" s="1"/>
      <c r="AM1598" s="2"/>
      <c r="AN1598" s="2"/>
      <c r="AQ1598" s="1"/>
      <c r="BG1598" s="1"/>
    </row>
    <row r="1599" spans="15:59">
      <c r="O1599" s="1"/>
      <c r="P1599" s="1"/>
      <c r="AA1599" s="1"/>
      <c r="AB1599" s="1"/>
      <c r="AG1599" s="1"/>
      <c r="AH1599" s="1"/>
      <c r="AK1599" s="1"/>
      <c r="AL1599" s="1"/>
      <c r="AM1599" s="2"/>
      <c r="AN1599" s="2"/>
      <c r="AQ1599" s="1"/>
      <c r="BG1599" s="1"/>
    </row>
    <row r="1600" spans="15:59">
      <c r="O1600" s="1"/>
      <c r="P1600" s="1"/>
      <c r="AA1600" s="1"/>
      <c r="AB1600" s="1"/>
      <c r="AG1600" s="1"/>
      <c r="AH1600" s="1"/>
      <c r="AK1600" s="1"/>
      <c r="AL1600" s="1"/>
      <c r="AM1600" s="2"/>
      <c r="AN1600" s="2"/>
      <c r="AQ1600" s="1"/>
      <c r="BG1600" s="1"/>
    </row>
    <row r="1601" spans="15:59">
      <c r="O1601" s="1"/>
      <c r="P1601" s="1"/>
      <c r="AA1601" s="1"/>
      <c r="AB1601" s="1"/>
      <c r="AG1601" s="1"/>
      <c r="AH1601" s="1"/>
      <c r="AK1601" s="1"/>
      <c r="AL1601" s="1"/>
      <c r="AM1601" s="2"/>
      <c r="AN1601" s="2"/>
      <c r="AQ1601" s="1"/>
      <c r="BG1601" s="1"/>
    </row>
    <row r="1602" spans="15:59">
      <c r="O1602" s="1"/>
      <c r="P1602" s="1"/>
      <c r="AA1602" s="1"/>
      <c r="AB1602" s="1"/>
      <c r="AG1602" s="1"/>
      <c r="AH1602" s="1"/>
      <c r="AK1602" s="1"/>
      <c r="AL1602" s="1"/>
      <c r="AM1602" s="2"/>
      <c r="AN1602" s="2"/>
      <c r="AQ1602" s="1"/>
      <c r="BG1602" s="1"/>
    </row>
    <row r="1603" spans="15:59">
      <c r="O1603" s="1"/>
      <c r="P1603" s="1"/>
      <c r="AA1603" s="1"/>
      <c r="AB1603" s="1"/>
      <c r="AG1603" s="1"/>
      <c r="AH1603" s="1"/>
      <c r="AK1603" s="1"/>
      <c r="AL1603" s="1"/>
      <c r="AM1603" s="2"/>
      <c r="AN1603" s="2"/>
      <c r="AQ1603" s="1"/>
      <c r="BG1603" s="1"/>
    </row>
    <row r="1604" spans="15:59">
      <c r="O1604" s="1"/>
      <c r="P1604" s="1"/>
      <c r="AA1604" s="1"/>
      <c r="AB1604" s="1"/>
      <c r="AG1604" s="1"/>
      <c r="AH1604" s="1"/>
      <c r="AK1604" s="1"/>
      <c r="AL1604" s="1"/>
      <c r="AM1604" s="2"/>
      <c r="AN1604" s="2"/>
      <c r="AQ1604" s="1"/>
      <c r="BG1604" s="1"/>
    </row>
    <row r="1605" spans="15:59">
      <c r="O1605" s="1"/>
      <c r="P1605" s="1"/>
      <c r="AA1605" s="1"/>
      <c r="AB1605" s="1"/>
      <c r="AG1605" s="1"/>
      <c r="AH1605" s="1"/>
      <c r="AK1605" s="1"/>
      <c r="AL1605" s="1"/>
      <c r="AM1605" s="2"/>
      <c r="AN1605" s="2"/>
      <c r="AQ1605" s="1"/>
      <c r="BG1605" s="1"/>
    </row>
    <row r="1606" spans="15:59">
      <c r="O1606" s="1"/>
      <c r="P1606" s="1"/>
      <c r="AA1606" s="1"/>
      <c r="AB1606" s="1"/>
      <c r="AG1606" s="1"/>
      <c r="AH1606" s="1"/>
      <c r="AK1606" s="1"/>
      <c r="AL1606" s="1"/>
      <c r="AM1606" s="2"/>
      <c r="AN1606" s="2"/>
      <c r="AQ1606" s="1"/>
      <c r="BG1606" s="1"/>
    </row>
    <row r="1607" spans="15:59">
      <c r="O1607" s="1"/>
      <c r="P1607" s="1"/>
      <c r="AA1607" s="1"/>
      <c r="AB1607" s="1"/>
      <c r="AG1607" s="1"/>
      <c r="AH1607" s="1"/>
      <c r="AK1607" s="1"/>
      <c r="AL1607" s="1"/>
      <c r="AM1607" s="2"/>
      <c r="AN1607" s="2"/>
      <c r="AQ1607" s="1"/>
      <c r="BG1607" s="1"/>
    </row>
    <row r="1608" spans="15:59">
      <c r="O1608" s="1"/>
      <c r="P1608" s="1"/>
      <c r="AA1608" s="1"/>
      <c r="AB1608" s="1"/>
      <c r="AG1608" s="1"/>
      <c r="AH1608" s="1"/>
      <c r="AK1608" s="1"/>
      <c r="AL1608" s="1"/>
      <c r="AM1608" s="2"/>
      <c r="AN1608" s="2"/>
      <c r="AQ1608" s="1"/>
      <c r="BG1608" s="1"/>
    </row>
    <row r="1609" spans="15:59">
      <c r="O1609" s="1"/>
      <c r="P1609" s="1"/>
      <c r="AA1609" s="1"/>
      <c r="AB1609" s="1"/>
      <c r="AG1609" s="1"/>
      <c r="AH1609" s="1"/>
      <c r="AK1609" s="1"/>
      <c r="AL1609" s="1"/>
      <c r="AM1609" s="2"/>
      <c r="AN1609" s="2"/>
      <c r="AQ1609" s="1"/>
      <c r="BG1609" s="1"/>
    </row>
    <row r="1610" spans="15:59">
      <c r="O1610" s="1"/>
      <c r="P1610" s="1"/>
      <c r="AA1610" s="1"/>
      <c r="AB1610" s="1"/>
      <c r="AG1610" s="1"/>
      <c r="AH1610" s="1"/>
      <c r="AK1610" s="1"/>
      <c r="AL1610" s="1"/>
      <c r="AM1610" s="2"/>
      <c r="AN1610" s="2"/>
      <c r="AQ1610" s="1"/>
      <c r="BG1610" s="1"/>
    </row>
    <row r="1611" spans="15:59">
      <c r="O1611" s="1"/>
      <c r="P1611" s="1"/>
      <c r="AA1611" s="1"/>
      <c r="AB1611" s="1"/>
      <c r="AG1611" s="1"/>
      <c r="AH1611" s="1"/>
      <c r="AK1611" s="1"/>
      <c r="AL1611" s="1"/>
      <c r="AM1611" s="2"/>
      <c r="AN1611" s="2"/>
      <c r="AQ1611" s="1"/>
      <c r="BG1611" s="1"/>
    </row>
    <row r="1612" spans="15:59">
      <c r="O1612" s="1"/>
      <c r="P1612" s="1"/>
      <c r="AA1612" s="1"/>
      <c r="AB1612" s="1"/>
      <c r="AG1612" s="1"/>
      <c r="AH1612" s="1"/>
      <c r="AK1612" s="1"/>
      <c r="AL1612" s="1"/>
      <c r="AM1612" s="2"/>
      <c r="AN1612" s="2"/>
      <c r="AQ1612" s="1"/>
      <c r="BG1612" s="1"/>
    </row>
    <row r="1613" spans="15:59">
      <c r="O1613" s="1"/>
      <c r="P1613" s="1"/>
      <c r="AA1613" s="1"/>
      <c r="AB1613" s="1"/>
      <c r="AG1613" s="1"/>
      <c r="AH1613" s="1"/>
      <c r="AK1613" s="1"/>
      <c r="AL1613" s="1"/>
      <c r="AM1613" s="2"/>
      <c r="AN1613" s="2"/>
      <c r="AQ1613" s="1"/>
      <c r="BG1613" s="1"/>
    </row>
    <row r="1614" spans="15:59">
      <c r="O1614" s="1"/>
      <c r="P1614" s="1"/>
      <c r="AA1614" s="1"/>
      <c r="AB1614" s="1"/>
      <c r="AG1614" s="1"/>
      <c r="AH1614" s="1"/>
      <c r="AK1614" s="1"/>
      <c r="AL1614" s="1"/>
      <c r="AM1614" s="2"/>
      <c r="AN1614" s="2"/>
      <c r="AQ1614" s="1"/>
      <c r="BG1614" s="1"/>
    </row>
    <row r="1615" spans="15:59">
      <c r="O1615" s="1"/>
      <c r="P1615" s="1"/>
      <c r="AA1615" s="1"/>
      <c r="AB1615" s="1"/>
      <c r="AG1615" s="1"/>
      <c r="AH1615" s="1"/>
      <c r="AK1615" s="1"/>
      <c r="AL1615" s="1"/>
      <c r="AM1615" s="2"/>
      <c r="AN1615" s="2"/>
      <c r="AQ1615" s="1"/>
      <c r="BG1615" s="1"/>
    </row>
    <row r="1616" spans="15:59">
      <c r="O1616" s="1"/>
      <c r="P1616" s="1"/>
      <c r="AA1616" s="1"/>
      <c r="AB1616" s="1"/>
      <c r="AG1616" s="1"/>
      <c r="AH1616" s="1"/>
      <c r="AK1616" s="1"/>
      <c r="AL1616" s="1"/>
      <c r="AM1616" s="2"/>
      <c r="AN1616" s="2"/>
      <c r="AQ1616" s="1"/>
      <c r="BG1616" s="1"/>
    </row>
    <row r="1617" spans="15:59">
      <c r="O1617" s="1"/>
      <c r="P1617" s="1"/>
      <c r="AA1617" s="1"/>
      <c r="AB1617" s="1"/>
      <c r="AG1617" s="1"/>
      <c r="AH1617" s="1"/>
      <c r="AK1617" s="1"/>
      <c r="AL1617" s="1"/>
      <c r="AM1617" s="2"/>
      <c r="AN1617" s="2"/>
      <c r="AQ1617" s="1"/>
      <c r="BG1617" s="1"/>
    </row>
    <row r="1618" spans="15:59">
      <c r="O1618" s="1"/>
      <c r="P1618" s="1"/>
      <c r="AA1618" s="1"/>
      <c r="AB1618" s="1"/>
      <c r="AG1618" s="1"/>
      <c r="AH1618" s="1"/>
      <c r="AK1618" s="1"/>
      <c r="AL1618" s="1"/>
      <c r="AM1618" s="2"/>
      <c r="AN1618" s="2"/>
      <c r="AQ1618" s="1"/>
      <c r="BG1618" s="1"/>
    </row>
    <row r="1619" spans="15:59">
      <c r="O1619" s="1"/>
      <c r="P1619" s="1"/>
      <c r="AA1619" s="1"/>
      <c r="AB1619" s="1"/>
      <c r="AG1619" s="1"/>
      <c r="AH1619" s="1"/>
      <c r="AK1619" s="1"/>
      <c r="AL1619" s="1"/>
      <c r="AM1619" s="2"/>
      <c r="AN1619" s="2"/>
      <c r="AQ1619" s="1"/>
      <c r="BG1619" s="1"/>
    </row>
    <row r="1620" spans="15:59">
      <c r="O1620" s="1"/>
      <c r="P1620" s="1"/>
      <c r="AA1620" s="1"/>
      <c r="AB1620" s="1"/>
      <c r="AG1620" s="1"/>
      <c r="AH1620" s="1"/>
      <c r="AK1620" s="1"/>
      <c r="AL1620" s="1"/>
      <c r="AM1620" s="2"/>
      <c r="AN1620" s="2"/>
      <c r="AQ1620" s="1"/>
      <c r="BG1620" s="1"/>
    </row>
    <row r="1621" spans="15:59">
      <c r="O1621" s="1"/>
      <c r="P1621" s="1"/>
      <c r="AA1621" s="1"/>
      <c r="AB1621" s="1"/>
      <c r="AG1621" s="1"/>
      <c r="AH1621" s="1"/>
      <c r="AK1621" s="1"/>
      <c r="AL1621" s="1"/>
      <c r="AM1621" s="2"/>
      <c r="AN1621" s="2"/>
      <c r="AQ1621" s="1"/>
      <c r="BG1621" s="1"/>
    </row>
    <row r="1622" spans="15:59">
      <c r="O1622" s="1"/>
      <c r="P1622" s="1"/>
      <c r="AA1622" s="1"/>
      <c r="AB1622" s="1"/>
      <c r="AG1622" s="1"/>
      <c r="AH1622" s="1"/>
      <c r="AK1622" s="1"/>
      <c r="AL1622" s="1"/>
      <c r="AM1622" s="2"/>
      <c r="AN1622" s="2"/>
      <c r="AQ1622" s="1"/>
      <c r="BG1622" s="1"/>
    </row>
    <row r="1623" spans="15:59">
      <c r="O1623" s="1"/>
      <c r="P1623" s="1"/>
      <c r="AA1623" s="1"/>
      <c r="AB1623" s="1"/>
      <c r="AG1623" s="1"/>
      <c r="AH1623" s="1"/>
      <c r="AK1623" s="1"/>
      <c r="AL1623" s="1"/>
      <c r="AM1623" s="2"/>
      <c r="AN1623" s="2"/>
      <c r="AQ1623" s="1"/>
      <c r="BG1623" s="1"/>
    </row>
    <row r="1624" spans="15:59">
      <c r="O1624" s="1"/>
      <c r="P1624" s="1"/>
      <c r="AA1624" s="1"/>
      <c r="AB1624" s="1"/>
      <c r="AG1624" s="1"/>
      <c r="AH1624" s="1"/>
      <c r="AK1624" s="1"/>
      <c r="AL1624" s="1"/>
      <c r="AM1624" s="2"/>
      <c r="AN1624" s="2"/>
      <c r="AQ1624" s="1"/>
      <c r="BG1624" s="1"/>
    </row>
    <row r="1625" spans="15:59">
      <c r="O1625" s="1"/>
      <c r="P1625" s="1"/>
      <c r="AA1625" s="1"/>
      <c r="AB1625" s="1"/>
      <c r="AG1625" s="1"/>
      <c r="AH1625" s="1"/>
      <c r="AK1625" s="1"/>
      <c r="AL1625" s="1"/>
      <c r="AM1625" s="2"/>
      <c r="AN1625" s="2"/>
      <c r="AQ1625" s="1"/>
      <c r="BG1625" s="1"/>
    </row>
    <row r="1626" spans="15:59">
      <c r="O1626" s="1"/>
      <c r="P1626" s="1"/>
      <c r="AA1626" s="1"/>
      <c r="AB1626" s="1"/>
      <c r="AG1626" s="1"/>
      <c r="AH1626" s="1"/>
      <c r="AK1626" s="1"/>
      <c r="AL1626" s="1"/>
      <c r="AM1626" s="2"/>
      <c r="AN1626" s="2"/>
      <c r="AQ1626" s="1"/>
      <c r="BG1626" s="1"/>
    </row>
    <row r="1627" spans="15:59">
      <c r="O1627" s="1"/>
      <c r="P1627" s="1"/>
      <c r="AA1627" s="1"/>
      <c r="AB1627" s="1"/>
      <c r="AG1627" s="1"/>
      <c r="AH1627" s="1"/>
      <c r="AK1627" s="1"/>
      <c r="AL1627" s="1"/>
      <c r="AM1627" s="2"/>
      <c r="AN1627" s="2"/>
      <c r="AQ1627" s="1"/>
      <c r="BG1627" s="1"/>
    </row>
    <row r="1628" spans="15:59">
      <c r="O1628" s="1"/>
      <c r="P1628" s="1"/>
      <c r="AA1628" s="1"/>
      <c r="AB1628" s="1"/>
      <c r="AG1628" s="1"/>
      <c r="AH1628" s="1"/>
      <c r="AK1628" s="1"/>
      <c r="AL1628" s="1"/>
      <c r="AM1628" s="2"/>
      <c r="AN1628" s="2"/>
      <c r="AQ1628" s="1"/>
      <c r="BG1628" s="1"/>
    </row>
    <row r="1629" spans="15:59">
      <c r="O1629" s="1"/>
      <c r="P1629" s="1"/>
      <c r="AA1629" s="1"/>
      <c r="AB1629" s="1"/>
      <c r="AG1629" s="1"/>
      <c r="AH1629" s="1"/>
      <c r="AK1629" s="1"/>
      <c r="AL1629" s="1"/>
      <c r="AM1629" s="2"/>
      <c r="AN1629" s="2"/>
      <c r="AQ1629" s="1"/>
      <c r="BG1629" s="1"/>
    </row>
    <row r="1630" spans="15:59">
      <c r="O1630" s="1"/>
      <c r="P1630" s="1"/>
      <c r="AA1630" s="1"/>
      <c r="AB1630" s="1"/>
      <c r="AG1630" s="1"/>
      <c r="AH1630" s="1"/>
      <c r="AK1630" s="1"/>
      <c r="AL1630" s="1"/>
      <c r="AM1630" s="2"/>
      <c r="AN1630" s="2"/>
      <c r="AQ1630" s="1"/>
      <c r="BG1630" s="1"/>
    </row>
    <row r="1631" spans="15:59">
      <c r="O1631" s="1"/>
      <c r="P1631" s="1"/>
      <c r="AA1631" s="1"/>
      <c r="AB1631" s="1"/>
      <c r="AG1631" s="1"/>
      <c r="AH1631" s="1"/>
      <c r="AK1631" s="1"/>
      <c r="AL1631" s="1"/>
      <c r="AM1631" s="2"/>
      <c r="AN1631" s="2"/>
      <c r="AQ1631" s="1"/>
      <c r="BG1631" s="1"/>
    </row>
    <row r="1632" spans="15:59">
      <c r="O1632" s="1"/>
      <c r="P1632" s="1"/>
      <c r="AA1632" s="1"/>
      <c r="AB1632" s="1"/>
      <c r="AG1632" s="1"/>
      <c r="AH1632" s="1"/>
      <c r="AK1632" s="1"/>
      <c r="AL1632" s="1"/>
      <c r="AM1632" s="2"/>
      <c r="AN1632" s="2"/>
      <c r="AQ1632" s="1"/>
      <c r="BG1632" s="1"/>
    </row>
    <row r="1633" spans="15:59">
      <c r="O1633" s="1"/>
      <c r="P1633" s="1"/>
      <c r="AA1633" s="1"/>
      <c r="AB1633" s="1"/>
      <c r="AG1633" s="1"/>
      <c r="AH1633" s="1"/>
      <c r="AK1633" s="1"/>
      <c r="AL1633" s="1"/>
      <c r="AM1633" s="2"/>
      <c r="AN1633" s="2"/>
      <c r="AQ1633" s="1"/>
      <c r="BG1633" s="1"/>
    </row>
    <row r="1634" spans="15:59">
      <c r="O1634" s="1"/>
      <c r="P1634" s="1"/>
      <c r="AA1634" s="1"/>
      <c r="AB1634" s="1"/>
      <c r="AG1634" s="1"/>
      <c r="AH1634" s="1"/>
      <c r="AK1634" s="1"/>
      <c r="AL1634" s="1"/>
      <c r="AM1634" s="2"/>
      <c r="AN1634" s="2"/>
      <c r="AQ1634" s="1"/>
      <c r="BG1634" s="1"/>
    </row>
    <row r="1635" spans="15:59">
      <c r="O1635" s="1"/>
      <c r="P1635" s="1"/>
      <c r="AA1635" s="1"/>
      <c r="AB1635" s="1"/>
      <c r="AG1635" s="1"/>
      <c r="AH1635" s="1"/>
      <c r="AK1635" s="1"/>
      <c r="AL1635" s="1"/>
      <c r="AM1635" s="2"/>
      <c r="AN1635" s="2"/>
      <c r="AQ1635" s="1"/>
      <c r="BG1635" s="1"/>
    </row>
    <row r="1636" spans="15:59">
      <c r="O1636" s="1"/>
      <c r="P1636" s="1"/>
      <c r="AA1636" s="1"/>
      <c r="AB1636" s="1"/>
      <c r="AG1636" s="1"/>
      <c r="AH1636" s="1"/>
      <c r="AK1636" s="1"/>
      <c r="AL1636" s="1"/>
      <c r="AM1636" s="2"/>
      <c r="AN1636" s="2"/>
      <c r="AQ1636" s="1"/>
      <c r="BG1636" s="1"/>
    </row>
    <row r="1637" spans="15:59">
      <c r="O1637" s="1"/>
      <c r="P1637" s="1"/>
      <c r="AA1637" s="1"/>
      <c r="AB1637" s="1"/>
      <c r="AG1637" s="1"/>
      <c r="AH1637" s="1"/>
      <c r="AK1637" s="1"/>
      <c r="AL1637" s="1"/>
      <c r="AM1637" s="2"/>
      <c r="AN1637" s="2"/>
      <c r="AQ1637" s="1"/>
      <c r="BG1637" s="1"/>
    </row>
    <row r="1638" spans="15:59">
      <c r="O1638" s="1"/>
      <c r="P1638" s="1"/>
      <c r="AA1638" s="1"/>
      <c r="AB1638" s="1"/>
      <c r="AG1638" s="1"/>
      <c r="AH1638" s="1"/>
      <c r="AK1638" s="1"/>
      <c r="AL1638" s="1"/>
      <c r="AM1638" s="2"/>
      <c r="AN1638" s="2"/>
      <c r="AQ1638" s="1"/>
      <c r="BG1638" s="1"/>
    </row>
    <row r="1639" spans="15:59">
      <c r="O1639" s="1"/>
      <c r="P1639" s="1"/>
      <c r="AA1639" s="1"/>
      <c r="AB1639" s="1"/>
      <c r="AG1639" s="1"/>
      <c r="AH1639" s="1"/>
      <c r="AK1639" s="1"/>
      <c r="AL1639" s="1"/>
      <c r="AM1639" s="2"/>
      <c r="AN1639" s="2"/>
      <c r="AQ1639" s="1"/>
      <c r="BG1639" s="1"/>
    </row>
    <row r="1640" spans="15:59">
      <c r="O1640" s="1"/>
      <c r="P1640" s="1"/>
      <c r="AA1640" s="1"/>
      <c r="AB1640" s="1"/>
      <c r="AG1640" s="1"/>
      <c r="AH1640" s="1"/>
      <c r="AK1640" s="1"/>
      <c r="AL1640" s="1"/>
      <c r="AM1640" s="2"/>
      <c r="AN1640" s="2"/>
      <c r="AQ1640" s="1"/>
      <c r="BG1640" s="1"/>
    </row>
    <row r="1641" spans="15:59">
      <c r="O1641" s="1"/>
      <c r="P1641" s="1"/>
      <c r="AA1641" s="1"/>
      <c r="AB1641" s="1"/>
      <c r="AG1641" s="1"/>
      <c r="AH1641" s="1"/>
      <c r="AK1641" s="1"/>
      <c r="AL1641" s="1"/>
      <c r="AM1641" s="2"/>
      <c r="AN1641" s="2"/>
      <c r="AQ1641" s="1"/>
      <c r="BG1641" s="1"/>
    </row>
    <row r="1642" spans="15:59">
      <c r="O1642" s="1"/>
      <c r="P1642" s="1"/>
      <c r="AA1642" s="1"/>
      <c r="AB1642" s="1"/>
      <c r="AG1642" s="1"/>
      <c r="AH1642" s="1"/>
      <c r="AK1642" s="1"/>
      <c r="AL1642" s="1"/>
      <c r="AM1642" s="2"/>
      <c r="AN1642" s="2"/>
      <c r="AQ1642" s="1"/>
      <c r="BG1642" s="1"/>
    </row>
    <row r="1643" spans="15:59">
      <c r="O1643" s="1"/>
      <c r="P1643" s="1"/>
      <c r="AA1643" s="1"/>
      <c r="AB1643" s="1"/>
      <c r="AG1643" s="1"/>
      <c r="AH1643" s="1"/>
      <c r="AK1643" s="1"/>
      <c r="AL1643" s="1"/>
      <c r="AM1643" s="2"/>
      <c r="AN1643" s="2"/>
      <c r="AQ1643" s="1"/>
      <c r="BG1643" s="1"/>
    </row>
    <row r="1644" spans="15:59">
      <c r="O1644" s="1"/>
      <c r="P1644" s="1"/>
      <c r="AA1644" s="1"/>
      <c r="AB1644" s="1"/>
      <c r="AG1644" s="1"/>
      <c r="AH1644" s="1"/>
      <c r="AK1644" s="1"/>
      <c r="AL1644" s="1"/>
      <c r="AM1644" s="2"/>
      <c r="AN1644" s="2"/>
      <c r="AQ1644" s="1"/>
      <c r="BG1644" s="1"/>
    </row>
    <row r="1645" spans="15:59">
      <c r="O1645" s="1"/>
      <c r="P1645" s="1"/>
      <c r="AA1645" s="1"/>
      <c r="AB1645" s="1"/>
      <c r="AG1645" s="1"/>
      <c r="AH1645" s="1"/>
      <c r="AK1645" s="1"/>
      <c r="AL1645" s="1"/>
      <c r="AM1645" s="2"/>
      <c r="AN1645" s="2"/>
      <c r="AQ1645" s="1"/>
      <c r="BG1645" s="1"/>
    </row>
    <row r="1646" spans="15:59">
      <c r="O1646" s="1"/>
      <c r="P1646" s="1"/>
      <c r="AA1646" s="1"/>
      <c r="AB1646" s="1"/>
      <c r="AG1646" s="1"/>
      <c r="AH1646" s="1"/>
      <c r="AK1646" s="1"/>
      <c r="AL1646" s="1"/>
      <c r="AM1646" s="2"/>
      <c r="AN1646" s="2"/>
      <c r="AQ1646" s="1"/>
      <c r="BG1646" s="1"/>
    </row>
    <row r="1647" spans="15:59">
      <c r="O1647" s="1"/>
      <c r="P1647" s="1"/>
      <c r="AA1647" s="1"/>
      <c r="AB1647" s="1"/>
      <c r="AG1647" s="1"/>
      <c r="AH1647" s="1"/>
      <c r="AK1647" s="1"/>
      <c r="AL1647" s="1"/>
      <c r="AM1647" s="2"/>
      <c r="AN1647" s="2"/>
      <c r="AQ1647" s="1"/>
      <c r="BG1647" s="1"/>
    </row>
    <row r="1648" spans="15:59">
      <c r="O1648" s="1"/>
      <c r="P1648" s="1"/>
      <c r="AA1648" s="1"/>
      <c r="AB1648" s="1"/>
      <c r="AG1648" s="1"/>
      <c r="AH1648" s="1"/>
      <c r="AK1648" s="1"/>
      <c r="AL1648" s="1"/>
      <c r="AM1648" s="2"/>
      <c r="AN1648" s="2"/>
      <c r="AQ1648" s="1"/>
      <c r="BG1648" s="1"/>
    </row>
    <row r="1649" spans="15:59">
      <c r="O1649" s="1"/>
      <c r="P1649" s="1"/>
      <c r="AA1649" s="1"/>
      <c r="AB1649" s="1"/>
      <c r="AG1649" s="1"/>
      <c r="AH1649" s="1"/>
      <c r="AK1649" s="1"/>
      <c r="AL1649" s="1"/>
      <c r="AM1649" s="2"/>
      <c r="AN1649" s="2"/>
      <c r="AQ1649" s="1"/>
      <c r="BG1649" s="1"/>
    </row>
    <row r="1650" spans="15:59">
      <c r="O1650" s="1"/>
      <c r="P1650" s="1"/>
      <c r="AA1650" s="1"/>
      <c r="AB1650" s="1"/>
      <c r="AG1650" s="1"/>
      <c r="AH1650" s="1"/>
      <c r="AK1650" s="1"/>
      <c r="AL1650" s="1"/>
      <c r="AM1650" s="2"/>
      <c r="AN1650" s="2"/>
      <c r="AQ1650" s="1"/>
      <c r="BG1650" s="1"/>
    </row>
    <row r="1651" spans="15:59">
      <c r="O1651" s="1"/>
      <c r="P1651" s="1"/>
      <c r="AA1651" s="1"/>
      <c r="AB1651" s="1"/>
      <c r="AG1651" s="1"/>
      <c r="AH1651" s="1"/>
      <c r="AK1651" s="1"/>
      <c r="AL1651" s="1"/>
      <c r="AM1651" s="2"/>
      <c r="AN1651" s="2"/>
      <c r="AQ1651" s="1"/>
      <c r="BG1651" s="1"/>
    </row>
    <row r="1652" spans="15:59">
      <c r="O1652" s="1"/>
      <c r="P1652" s="1"/>
      <c r="AA1652" s="1"/>
      <c r="AB1652" s="1"/>
      <c r="AG1652" s="1"/>
      <c r="AH1652" s="1"/>
      <c r="AK1652" s="1"/>
      <c r="AL1652" s="1"/>
      <c r="AM1652" s="2"/>
      <c r="AN1652" s="2"/>
      <c r="AQ1652" s="1"/>
      <c r="BG1652" s="1"/>
    </row>
    <row r="1653" spans="15:59">
      <c r="O1653" s="1"/>
      <c r="P1653" s="1"/>
      <c r="AA1653" s="1"/>
      <c r="AB1653" s="1"/>
      <c r="AG1653" s="1"/>
      <c r="AH1653" s="1"/>
      <c r="AK1653" s="1"/>
      <c r="AL1653" s="1"/>
      <c r="AM1653" s="2"/>
      <c r="AN1653" s="2"/>
      <c r="AQ1653" s="1"/>
      <c r="BG1653" s="1"/>
    </row>
    <row r="1654" spans="15:59">
      <c r="O1654" s="1"/>
      <c r="P1654" s="1"/>
      <c r="AA1654" s="1"/>
      <c r="AB1654" s="1"/>
      <c r="AG1654" s="1"/>
      <c r="AH1654" s="1"/>
      <c r="AK1654" s="1"/>
      <c r="AL1654" s="1"/>
      <c r="AM1654" s="2"/>
      <c r="AN1654" s="2"/>
      <c r="AQ1654" s="1"/>
      <c r="BG1654" s="1"/>
    </row>
    <row r="1655" spans="15:59">
      <c r="O1655" s="1"/>
      <c r="P1655" s="1"/>
      <c r="AA1655" s="1"/>
      <c r="AB1655" s="1"/>
      <c r="AG1655" s="1"/>
      <c r="AH1655" s="1"/>
      <c r="AK1655" s="1"/>
      <c r="AL1655" s="1"/>
      <c r="AM1655" s="2"/>
      <c r="AN1655" s="2"/>
      <c r="AQ1655" s="1"/>
      <c r="BG1655" s="1"/>
    </row>
    <row r="1656" spans="15:59">
      <c r="O1656" s="1"/>
      <c r="P1656" s="1"/>
      <c r="AA1656" s="1"/>
      <c r="AB1656" s="1"/>
      <c r="AG1656" s="1"/>
      <c r="AH1656" s="1"/>
      <c r="AK1656" s="1"/>
      <c r="AL1656" s="1"/>
      <c r="AM1656" s="2"/>
      <c r="AN1656" s="2"/>
      <c r="AQ1656" s="1"/>
      <c r="BG1656" s="1"/>
    </row>
    <row r="1657" spans="15:59">
      <c r="O1657" s="1"/>
      <c r="P1657" s="1"/>
      <c r="AA1657" s="1"/>
      <c r="AB1657" s="1"/>
      <c r="AG1657" s="1"/>
      <c r="AH1657" s="1"/>
      <c r="AK1657" s="1"/>
      <c r="AL1657" s="1"/>
      <c r="AM1657" s="2"/>
      <c r="AN1657" s="2"/>
      <c r="AQ1657" s="1"/>
      <c r="BG1657" s="1"/>
    </row>
    <row r="1658" spans="15:59">
      <c r="O1658" s="1"/>
      <c r="P1658" s="1"/>
      <c r="AA1658" s="1"/>
      <c r="AB1658" s="1"/>
      <c r="AG1658" s="1"/>
      <c r="AH1658" s="1"/>
      <c r="AK1658" s="1"/>
      <c r="AL1658" s="1"/>
      <c r="AM1658" s="2"/>
      <c r="AN1658" s="2"/>
      <c r="AQ1658" s="1"/>
      <c r="BG1658" s="1"/>
    </row>
    <row r="1659" spans="15:59">
      <c r="O1659" s="1"/>
      <c r="P1659" s="1"/>
      <c r="AA1659" s="1"/>
      <c r="AB1659" s="1"/>
      <c r="AG1659" s="1"/>
      <c r="AH1659" s="1"/>
      <c r="AK1659" s="1"/>
      <c r="AL1659" s="1"/>
      <c r="AM1659" s="2"/>
      <c r="AN1659" s="2"/>
      <c r="AQ1659" s="1"/>
      <c r="BG1659" s="1"/>
    </row>
    <row r="1660" spans="15:59">
      <c r="O1660" s="1"/>
      <c r="P1660" s="1"/>
      <c r="AA1660" s="1"/>
      <c r="AB1660" s="1"/>
      <c r="AG1660" s="1"/>
      <c r="AH1660" s="1"/>
      <c r="AK1660" s="1"/>
      <c r="AL1660" s="1"/>
      <c r="AM1660" s="2"/>
      <c r="AN1660" s="2"/>
      <c r="AQ1660" s="1"/>
      <c r="BG1660" s="1"/>
    </row>
    <row r="1661" spans="15:59">
      <c r="O1661" s="1"/>
      <c r="P1661" s="1"/>
      <c r="AA1661" s="1"/>
      <c r="AB1661" s="1"/>
      <c r="AG1661" s="1"/>
      <c r="AH1661" s="1"/>
      <c r="AK1661" s="1"/>
      <c r="AL1661" s="1"/>
      <c r="AM1661" s="2"/>
      <c r="AN1661" s="2"/>
      <c r="AQ1661" s="1"/>
      <c r="BG1661" s="1"/>
    </row>
    <row r="1662" spans="15:59">
      <c r="O1662" s="1"/>
      <c r="P1662" s="1"/>
      <c r="AA1662" s="1"/>
      <c r="AB1662" s="1"/>
      <c r="AG1662" s="1"/>
      <c r="AH1662" s="1"/>
      <c r="AK1662" s="1"/>
      <c r="AL1662" s="1"/>
      <c r="AM1662" s="2"/>
      <c r="AN1662" s="2"/>
      <c r="AQ1662" s="1"/>
      <c r="BG1662" s="1"/>
    </row>
    <row r="1663" spans="15:59">
      <c r="O1663" s="1"/>
      <c r="P1663" s="1"/>
      <c r="AA1663" s="1"/>
      <c r="AB1663" s="1"/>
      <c r="AG1663" s="1"/>
      <c r="AH1663" s="1"/>
      <c r="AK1663" s="1"/>
      <c r="AL1663" s="1"/>
      <c r="AM1663" s="2"/>
      <c r="AN1663" s="2"/>
      <c r="AQ1663" s="1"/>
      <c r="BG1663" s="1"/>
    </row>
    <row r="1664" spans="15:59">
      <c r="O1664" s="1"/>
      <c r="P1664" s="1"/>
      <c r="AA1664" s="1"/>
      <c r="AB1664" s="1"/>
      <c r="AG1664" s="1"/>
      <c r="AH1664" s="1"/>
      <c r="AK1664" s="1"/>
      <c r="AL1664" s="1"/>
      <c r="AM1664" s="2"/>
      <c r="AN1664" s="2"/>
      <c r="AQ1664" s="1"/>
      <c r="BG1664" s="1"/>
    </row>
    <row r="1665" spans="15:59">
      <c r="O1665" s="1"/>
      <c r="P1665" s="1"/>
      <c r="AA1665" s="1"/>
      <c r="AB1665" s="1"/>
      <c r="AG1665" s="1"/>
      <c r="AH1665" s="1"/>
      <c r="AK1665" s="1"/>
      <c r="AL1665" s="1"/>
      <c r="AM1665" s="2"/>
      <c r="AN1665" s="2"/>
      <c r="AQ1665" s="1"/>
      <c r="BG1665" s="1"/>
    </row>
    <row r="1666" spans="15:59">
      <c r="O1666" s="1"/>
      <c r="P1666" s="1"/>
      <c r="AA1666" s="1"/>
      <c r="AB1666" s="1"/>
      <c r="AG1666" s="1"/>
      <c r="AH1666" s="1"/>
      <c r="AK1666" s="1"/>
      <c r="AL1666" s="1"/>
      <c r="AM1666" s="2"/>
      <c r="AN1666" s="2"/>
      <c r="AQ1666" s="1"/>
      <c r="BG1666" s="1"/>
    </row>
    <row r="1667" spans="15:59">
      <c r="O1667" s="1"/>
      <c r="P1667" s="1"/>
      <c r="AA1667" s="1"/>
      <c r="AB1667" s="1"/>
      <c r="AG1667" s="1"/>
      <c r="AH1667" s="1"/>
      <c r="AK1667" s="1"/>
      <c r="AL1667" s="1"/>
      <c r="AM1667" s="2"/>
      <c r="AN1667" s="2"/>
      <c r="AQ1667" s="1"/>
      <c r="BG1667" s="1"/>
    </row>
    <row r="1668" spans="15:59">
      <c r="O1668" s="1"/>
      <c r="P1668" s="1"/>
      <c r="AA1668" s="1"/>
      <c r="AB1668" s="1"/>
      <c r="AG1668" s="1"/>
      <c r="AH1668" s="1"/>
      <c r="AK1668" s="1"/>
      <c r="AL1668" s="1"/>
      <c r="AM1668" s="2"/>
      <c r="AN1668" s="2"/>
      <c r="AQ1668" s="1"/>
      <c r="BG1668" s="1"/>
    </row>
    <row r="1669" spans="15:59">
      <c r="O1669" s="1"/>
      <c r="P1669" s="1"/>
      <c r="AA1669" s="1"/>
      <c r="AB1669" s="1"/>
      <c r="AG1669" s="1"/>
      <c r="AH1669" s="1"/>
      <c r="AK1669" s="1"/>
      <c r="AL1669" s="1"/>
      <c r="AM1669" s="2"/>
      <c r="AN1669" s="2"/>
      <c r="AQ1669" s="1"/>
      <c r="BG1669" s="1"/>
    </row>
    <row r="1670" spans="15:59">
      <c r="O1670" s="1"/>
      <c r="P1670" s="1"/>
      <c r="AA1670" s="1"/>
      <c r="AB1670" s="1"/>
      <c r="AG1670" s="1"/>
      <c r="AH1670" s="1"/>
      <c r="AK1670" s="1"/>
      <c r="AL1670" s="1"/>
      <c r="AM1670" s="2"/>
      <c r="AN1670" s="2"/>
      <c r="AQ1670" s="1"/>
      <c r="BG1670" s="1"/>
    </row>
    <row r="1671" spans="15:59">
      <c r="O1671" s="1"/>
      <c r="P1671" s="1"/>
      <c r="AA1671" s="1"/>
      <c r="AB1671" s="1"/>
      <c r="AG1671" s="1"/>
      <c r="AH1671" s="1"/>
      <c r="AK1671" s="1"/>
      <c r="AL1671" s="1"/>
      <c r="AM1671" s="2"/>
      <c r="AN1671" s="2"/>
      <c r="AQ1671" s="1"/>
      <c r="BG1671" s="1"/>
    </row>
    <row r="1672" spans="15:59">
      <c r="O1672" s="1"/>
      <c r="P1672" s="1"/>
      <c r="AA1672" s="1"/>
      <c r="AB1672" s="1"/>
      <c r="AG1672" s="1"/>
      <c r="AH1672" s="1"/>
      <c r="AK1672" s="1"/>
      <c r="AL1672" s="1"/>
      <c r="AM1672" s="2"/>
      <c r="AN1672" s="2"/>
      <c r="AQ1672" s="1"/>
      <c r="BG1672" s="1"/>
    </row>
    <row r="1673" spans="15:59">
      <c r="O1673" s="1"/>
      <c r="P1673" s="1"/>
      <c r="AA1673" s="1"/>
      <c r="AB1673" s="1"/>
      <c r="AG1673" s="1"/>
      <c r="AH1673" s="1"/>
      <c r="AK1673" s="1"/>
      <c r="AL1673" s="1"/>
      <c r="AM1673" s="2"/>
      <c r="AN1673" s="2"/>
      <c r="AQ1673" s="1"/>
      <c r="BG1673" s="1"/>
    </row>
    <row r="1674" spans="15:59">
      <c r="O1674" s="1"/>
      <c r="P1674" s="1"/>
      <c r="AA1674" s="1"/>
      <c r="AB1674" s="1"/>
      <c r="AG1674" s="1"/>
      <c r="AH1674" s="1"/>
      <c r="AK1674" s="1"/>
      <c r="AL1674" s="1"/>
      <c r="AM1674" s="2"/>
      <c r="AN1674" s="2"/>
      <c r="AQ1674" s="1"/>
      <c r="BG1674" s="1"/>
    </row>
    <row r="1675" spans="15:59">
      <c r="O1675" s="1"/>
      <c r="P1675" s="1"/>
      <c r="AA1675" s="1"/>
      <c r="AB1675" s="1"/>
      <c r="AG1675" s="1"/>
      <c r="AH1675" s="1"/>
      <c r="AK1675" s="1"/>
      <c r="AL1675" s="1"/>
      <c r="AM1675" s="2"/>
      <c r="AN1675" s="2"/>
      <c r="AQ1675" s="1"/>
      <c r="BG1675" s="1"/>
    </row>
    <row r="1676" spans="15:59">
      <c r="O1676" s="1"/>
      <c r="P1676" s="1"/>
      <c r="AA1676" s="1"/>
      <c r="AB1676" s="1"/>
      <c r="AG1676" s="1"/>
      <c r="AH1676" s="1"/>
      <c r="AK1676" s="1"/>
      <c r="AL1676" s="1"/>
      <c r="AM1676" s="2"/>
      <c r="AN1676" s="2"/>
      <c r="AQ1676" s="1"/>
      <c r="BG1676" s="1"/>
    </row>
    <row r="1677" spans="15:59">
      <c r="O1677" s="1"/>
      <c r="P1677" s="1"/>
      <c r="AA1677" s="1"/>
      <c r="AB1677" s="1"/>
      <c r="AG1677" s="1"/>
      <c r="AH1677" s="1"/>
      <c r="AK1677" s="1"/>
      <c r="AL1677" s="1"/>
      <c r="AM1677" s="2"/>
      <c r="AN1677" s="2"/>
      <c r="AQ1677" s="1"/>
      <c r="BG1677" s="1"/>
    </row>
    <row r="1678" spans="15:59">
      <c r="O1678" s="1"/>
      <c r="P1678" s="1"/>
      <c r="AA1678" s="1"/>
      <c r="AB1678" s="1"/>
      <c r="AG1678" s="1"/>
      <c r="AH1678" s="1"/>
      <c r="AK1678" s="1"/>
      <c r="AL1678" s="1"/>
      <c r="AM1678" s="2"/>
      <c r="AN1678" s="2"/>
      <c r="AQ1678" s="1"/>
      <c r="BG1678" s="1"/>
    </row>
    <row r="1679" spans="15:59">
      <c r="O1679" s="1"/>
      <c r="P1679" s="1"/>
      <c r="AA1679" s="1"/>
      <c r="AB1679" s="1"/>
      <c r="AG1679" s="1"/>
      <c r="AH1679" s="1"/>
      <c r="AK1679" s="1"/>
      <c r="AL1679" s="1"/>
      <c r="AM1679" s="2"/>
      <c r="AN1679" s="2"/>
      <c r="AQ1679" s="1"/>
      <c r="BG1679" s="1"/>
    </row>
    <row r="1680" spans="15:59">
      <c r="O1680" s="1"/>
      <c r="P1680" s="1"/>
      <c r="AA1680" s="1"/>
      <c r="AB1680" s="1"/>
      <c r="AG1680" s="1"/>
      <c r="AH1680" s="1"/>
      <c r="AK1680" s="1"/>
      <c r="AL1680" s="1"/>
      <c r="AM1680" s="2"/>
      <c r="AN1680" s="2"/>
      <c r="AQ1680" s="1"/>
      <c r="BG1680" s="1"/>
    </row>
    <row r="1681" spans="15:59">
      <c r="O1681" s="1"/>
      <c r="P1681" s="1"/>
      <c r="AA1681" s="1"/>
      <c r="AB1681" s="1"/>
      <c r="AG1681" s="1"/>
      <c r="AH1681" s="1"/>
      <c r="AK1681" s="1"/>
      <c r="AL1681" s="1"/>
      <c r="AM1681" s="2"/>
      <c r="AN1681" s="2"/>
      <c r="AQ1681" s="1"/>
      <c r="BG1681" s="1"/>
    </row>
    <row r="1682" spans="15:59">
      <c r="O1682" s="1"/>
      <c r="P1682" s="1"/>
      <c r="AA1682" s="1"/>
      <c r="AB1682" s="1"/>
      <c r="AG1682" s="1"/>
      <c r="AH1682" s="1"/>
      <c r="AK1682" s="1"/>
      <c r="AL1682" s="1"/>
      <c r="AM1682" s="2"/>
      <c r="AN1682" s="2"/>
      <c r="AQ1682" s="1"/>
      <c r="BG1682" s="1"/>
    </row>
    <row r="1683" spans="15:59">
      <c r="O1683" s="1"/>
      <c r="P1683" s="1"/>
      <c r="AA1683" s="1"/>
      <c r="AB1683" s="1"/>
      <c r="AG1683" s="1"/>
      <c r="AH1683" s="1"/>
      <c r="AK1683" s="1"/>
      <c r="AL1683" s="1"/>
      <c r="AM1683" s="2"/>
      <c r="AN1683" s="2"/>
      <c r="AQ1683" s="1"/>
      <c r="BG1683" s="1"/>
    </row>
    <row r="1684" spans="15:59">
      <c r="O1684" s="1"/>
      <c r="P1684" s="1"/>
      <c r="AA1684" s="1"/>
      <c r="AB1684" s="1"/>
      <c r="AG1684" s="1"/>
      <c r="AH1684" s="1"/>
      <c r="AK1684" s="1"/>
      <c r="AL1684" s="1"/>
      <c r="AM1684" s="2"/>
      <c r="AN1684" s="2"/>
      <c r="AQ1684" s="1"/>
      <c r="BG1684" s="1"/>
    </row>
    <row r="1685" spans="15:59">
      <c r="O1685" s="1"/>
      <c r="P1685" s="1"/>
      <c r="AA1685" s="1"/>
      <c r="AB1685" s="1"/>
      <c r="AG1685" s="1"/>
      <c r="AH1685" s="1"/>
      <c r="AK1685" s="1"/>
      <c r="AL1685" s="1"/>
      <c r="AM1685" s="2"/>
      <c r="AN1685" s="2"/>
      <c r="AQ1685" s="1"/>
      <c r="BG1685" s="1"/>
    </row>
    <row r="1686" spans="15:59">
      <c r="O1686" s="1"/>
      <c r="P1686" s="1"/>
      <c r="AA1686" s="1"/>
      <c r="AB1686" s="1"/>
      <c r="AG1686" s="1"/>
      <c r="AH1686" s="1"/>
      <c r="AK1686" s="1"/>
      <c r="AL1686" s="1"/>
      <c r="AM1686" s="2"/>
      <c r="AN1686" s="2"/>
      <c r="AQ1686" s="1"/>
      <c r="BG1686" s="1"/>
    </row>
    <row r="1687" spans="15:59">
      <c r="O1687" s="1"/>
      <c r="P1687" s="1"/>
      <c r="AA1687" s="1"/>
      <c r="AB1687" s="1"/>
      <c r="AG1687" s="1"/>
      <c r="AH1687" s="1"/>
      <c r="AK1687" s="1"/>
      <c r="AL1687" s="1"/>
      <c r="AM1687" s="2"/>
      <c r="AN1687" s="2"/>
      <c r="AQ1687" s="1"/>
      <c r="BG1687" s="1"/>
    </row>
    <row r="1688" spans="15:59">
      <c r="O1688" s="1"/>
      <c r="P1688" s="1"/>
      <c r="AA1688" s="1"/>
      <c r="AB1688" s="1"/>
      <c r="AG1688" s="1"/>
      <c r="AH1688" s="1"/>
      <c r="AK1688" s="1"/>
      <c r="AL1688" s="1"/>
      <c r="AM1688" s="2"/>
      <c r="AN1688" s="2"/>
      <c r="AQ1688" s="1"/>
      <c r="BG1688" s="1"/>
    </row>
    <row r="1689" spans="15:59">
      <c r="O1689" s="1"/>
      <c r="P1689" s="1"/>
      <c r="AA1689" s="1"/>
      <c r="AB1689" s="1"/>
      <c r="AG1689" s="1"/>
      <c r="AH1689" s="1"/>
      <c r="AK1689" s="1"/>
      <c r="AL1689" s="1"/>
      <c r="AM1689" s="2"/>
      <c r="AN1689" s="2"/>
      <c r="AQ1689" s="1"/>
      <c r="BG1689" s="1"/>
    </row>
    <row r="1690" spans="15:59">
      <c r="O1690" s="1"/>
      <c r="P1690" s="1"/>
      <c r="AA1690" s="1"/>
      <c r="AB1690" s="1"/>
      <c r="AG1690" s="1"/>
      <c r="AH1690" s="1"/>
      <c r="AK1690" s="1"/>
      <c r="AL1690" s="1"/>
      <c r="AM1690" s="2"/>
      <c r="AN1690" s="2"/>
      <c r="AQ1690" s="1"/>
      <c r="BG1690" s="1"/>
    </row>
    <row r="1691" spans="15:59">
      <c r="O1691" s="1"/>
      <c r="P1691" s="1"/>
      <c r="AA1691" s="1"/>
      <c r="AB1691" s="1"/>
      <c r="AG1691" s="1"/>
      <c r="AH1691" s="1"/>
      <c r="AK1691" s="1"/>
      <c r="AL1691" s="1"/>
      <c r="AM1691" s="2"/>
      <c r="AN1691" s="2"/>
      <c r="AQ1691" s="1"/>
      <c r="BG1691" s="1"/>
    </row>
    <row r="1692" spans="15:59">
      <c r="O1692" s="1"/>
      <c r="P1692" s="1"/>
      <c r="AA1692" s="1"/>
      <c r="AB1692" s="1"/>
      <c r="AG1692" s="1"/>
      <c r="AH1692" s="1"/>
      <c r="AK1692" s="1"/>
      <c r="AL1692" s="1"/>
      <c r="AM1692" s="2"/>
      <c r="AN1692" s="2"/>
      <c r="AQ1692" s="1"/>
      <c r="BG1692" s="1"/>
    </row>
    <row r="1693" spans="15:59">
      <c r="O1693" s="1"/>
      <c r="P1693" s="1"/>
      <c r="AA1693" s="1"/>
      <c r="AB1693" s="1"/>
      <c r="AG1693" s="1"/>
      <c r="AH1693" s="1"/>
      <c r="AK1693" s="1"/>
      <c r="AL1693" s="1"/>
      <c r="AM1693" s="2"/>
      <c r="AN1693" s="2"/>
      <c r="AQ1693" s="1"/>
      <c r="BG1693" s="1"/>
    </row>
    <row r="1694" spans="15:59">
      <c r="O1694" s="1"/>
      <c r="P1694" s="1"/>
      <c r="AA1694" s="1"/>
      <c r="AB1694" s="1"/>
      <c r="AG1694" s="1"/>
      <c r="AH1694" s="1"/>
      <c r="AK1694" s="1"/>
      <c r="AL1694" s="1"/>
      <c r="AM1694" s="2"/>
      <c r="AN1694" s="2"/>
      <c r="AQ1694" s="1"/>
      <c r="BG1694" s="1"/>
    </row>
    <row r="1695" spans="15:59">
      <c r="O1695" s="1"/>
      <c r="P1695" s="1"/>
      <c r="AA1695" s="1"/>
      <c r="AB1695" s="1"/>
      <c r="AG1695" s="1"/>
      <c r="AH1695" s="1"/>
      <c r="AK1695" s="1"/>
      <c r="AL1695" s="1"/>
      <c r="AM1695" s="2"/>
      <c r="AN1695" s="2"/>
      <c r="AQ1695" s="1"/>
      <c r="BG1695" s="1"/>
    </row>
    <row r="1696" spans="15:59">
      <c r="O1696" s="1"/>
      <c r="P1696" s="1"/>
      <c r="AA1696" s="1"/>
      <c r="AB1696" s="1"/>
      <c r="AG1696" s="1"/>
      <c r="AH1696" s="1"/>
      <c r="AK1696" s="1"/>
      <c r="AL1696" s="1"/>
      <c r="AM1696" s="2"/>
      <c r="AN1696" s="2"/>
      <c r="AQ1696" s="1"/>
      <c r="BG1696" s="1"/>
    </row>
    <row r="1697" spans="15:59">
      <c r="O1697" s="1"/>
      <c r="P1697" s="1"/>
      <c r="AA1697" s="1"/>
      <c r="AB1697" s="1"/>
      <c r="AG1697" s="1"/>
      <c r="AH1697" s="1"/>
      <c r="AK1697" s="1"/>
      <c r="AL1697" s="1"/>
      <c r="AM1697" s="2"/>
      <c r="AN1697" s="2"/>
      <c r="AQ1697" s="1"/>
      <c r="BG1697" s="1"/>
    </row>
    <row r="1698" spans="15:59">
      <c r="O1698" s="1"/>
      <c r="P1698" s="1"/>
      <c r="AA1698" s="1"/>
      <c r="AB1698" s="1"/>
      <c r="AG1698" s="1"/>
      <c r="AH1698" s="1"/>
      <c r="AK1698" s="1"/>
      <c r="AL1698" s="1"/>
      <c r="AM1698" s="2"/>
      <c r="AN1698" s="2"/>
      <c r="AQ1698" s="1"/>
      <c r="BG1698" s="1"/>
    </row>
    <row r="1699" spans="15:59">
      <c r="O1699" s="1"/>
      <c r="P1699" s="1"/>
      <c r="AA1699" s="1"/>
      <c r="AB1699" s="1"/>
      <c r="AG1699" s="1"/>
      <c r="AH1699" s="1"/>
      <c r="AK1699" s="1"/>
      <c r="AL1699" s="1"/>
      <c r="AM1699" s="2"/>
      <c r="AN1699" s="2"/>
      <c r="AQ1699" s="1"/>
      <c r="BG1699" s="1"/>
    </row>
    <row r="1700" spans="15:59">
      <c r="O1700" s="1"/>
      <c r="P1700" s="1"/>
      <c r="AA1700" s="1"/>
      <c r="AB1700" s="1"/>
      <c r="AG1700" s="1"/>
      <c r="AH1700" s="1"/>
      <c r="AK1700" s="1"/>
      <c r="AL1700" s="1"/>
      <c r="AM1700" s="2"/>
      <c r="AN1700" s="2"/>
      <c r="AQ1700" s="1"/>
      <c r="BG1700" s="1"/>
    </row>
    <row r="1701" spans="15:59">
      <c r="O1701" s="1"/>
      <c r="P1701" s="1"/>
      <c r="AA1701" s="1"/>
      <c r="AB1701" s="1"/>
      <c r="AG1701" s="1"/>
      <c r="AH1701" s="1"/>
      <c r="AK1701" s="1"/>
      <c r="AL1701" s="1"/>
      <c r="AM1701" s="2"/>
      <c r="AN1701" s="2"/>
      <c r="AQ1701" s="1"/>
      <c r="BG1701" s="1"/>
    </row>
    <row r="1702" spans="15:59">
      <c r="O1702" s="1"/>
      <c r="P1702" s="1"/>
      <c r="AA1702" s="1"/>
      <c r="AB1702" s="1"/>
      <c r="AG1702" s="1"/>
      <c r="AH1702" s="1"/>
      <c r="AK1702" s="1"/>
      <c r="AL1702" s="1"/>
      <c r="AM1702" s="2"/>
      <c r="AN1702" s="2"/>
      <c r="AQ1702" s="1"/>
      <c r="BG1702" s="1"/>
    </row>
    <row r="1703" spans="15:59">
      <c r="O1703" s="1"/>
      <c r="P1703" s="1"/>
      <c r="AA1703" s="1"/>
      <c r="AB1703" s="1"/>
      <c r="AG1703" s="1"/>
      <c r="AH1703" s="1"/>
      <c r="AK1703" s="1"/>
      <c r="AL1703" s="1"/>
      <c r="AM1703" s="2"/>
      <c r="AN1703" s="2"/>
      <c r="AQ1703" s="1"/>
      <c r="BG1703" s="1"/>
    </row>
    <row r="1704" spans="15:59">
      <c r="O1704" s="1"/>
      <c r="P1704" s="1"/>
      <c r="AA1704" s="1"/>
      <c r="AB1704" s="1"/>
      <c r="AG1704" s="1"/>
      <c r="AH1704" s="1"/>
      <c r="AK1704" s="1"/>
      <c r="AL1704" s="1"/>
      <c r="AM1704" s="2"/>
      <c r="AN1704" s="2"/>
      <c r="AQ1704" s="1"/>
      <c r="BG1704" s="1"/>
    </row>
    <row r="1705" spans="15:59">
      <c r="O1705" s="1"/>
      <c r="P1705" s="1"/>
      <c r="AA1705" s="1"/>
      <c r="AB1705" s="1"/>
      <c r="AG1705" s="1"/>
      <c r="AH1705" s="1"/>
      <c r="AK1705" s="1"/>
      <c r="AL1705" s="1"/>
      <c r="AM1705" s="2"/>
      <c r="AN1705" s="2"/>
      <c r="AQ1705" s="1"/>
      <c r="BG1705" s="1"/>
    </row>
    <row r="1706" spans="15:59">
      <c r="O1706" s="1"/>
      <c r="P1706" s="1"/>
      <c r="AA1706" s="1"/>
      <c r="AB1706" s="1"/>
      <c r="AG1706" s="1"/>
      <c r="AH1706" s="1"/>
      <c r="AK1706" s="1"/>
      <c r="AL1706" s="1"/>
      <c r="AM1706" s="2"/>
      <c r="AN1706" s="2"/>
      <c r="AQ1706" s="1"/>
      <c r="BG1706" s="1"/>
    </row>
    <row r="1707" spans="15:59">
      <c r="O1707" s="1"/>
      <c r="P1707" s="1"/>
      <c r="AA1707" s="1"/>
      <c r="AB1707" s="1"/>
      <c r="AG1707" s="1"/>
      <c r="AH1707" s="1"/>
      <c r="AK1707" s="1"/>
      <c r="AL1707" s="1"/>
      <c r="AM1707" s="2"/>
      <c r="AN1707" s="2"/>
      <c r="AQ1707" s="1"/>
      <c r="BG1707" s="1"/>
    </row>
    <row r="1708" spans="15:59">
      <c r="O1708" s="1"/>
      <c r="P1708" s="1"/>
      <c r="AA1708" s="1"/>
      <c r="AB1708" s="1"/>
      <c r="AG1708" s="1"/>
      <c r="AH1708" s="1"/>
      <c r="AK1708" s="1"/>
      <c r="AL1708" s="1"/>
      <c r="AM1708" s="2"/>
      <c r="AN1708" s="2"/>
      <c r="AQ1708" s="1"/>
      <c r="BG1708" s="1"/>
    </row>
    <row r="1709" spans="15:59">
      <c r="O1709" s="1"/>
      <c r="P1709" s="1"/>
      <c r="AA1709" s="1"/>
      <c r="AB1709" s="1"/>
      <c r="AG1709" s="1"/>
      <c r="AH1709" s="1"/>
      <c r="AK1709" s="1"/>
      <c r="AL1709" s="1"/>
      <c r="AM1709" s="2"/>
      <c r="AN1709" s="2"/>
      <c r="AQ1709" s="1"/>
      <c r="BG1709" s="1"/>
    </row>
    <row r="1710" spans="15:59">
      <c r="O1710" s="1"/>
      <c r="P1710" s="1"/>
      <c r="AA1710" s="1"/>
      <c r="AB1710" s="1"/>
      <c r="AG1710" s="1"/>
      <c r="AH1710" s="1"/>
      <c r="AK1710" s="1"/>
      <c r="AL1710" s="1"/>
      <c r="AM1710" s="2"/>
      <c r="AN1710" s="2"/>
      <c r="AQ1710" s="1"/>
      <c r="BG1710" s="1"/>
    </row>
    <row r="1711" spans="15:59">
      <c r="O1711" s="1"/>
      <c r="P1711" s="1"/>
      <c r="AA1711" s="1"/>
      <c r="AB1711" s="1"/>
      <c r="AG1711" s="1"/>
      <c r="AH1711" s="1"/>
      <c r="AK1711" s="1"/>
      <c r="AL1711" s="1"/>
      <c r="AM1711" s="2"/>
      <c r="AN1711" s="2"/>
      <c r="AQ1711" s="1"/>
      <c r="BG1711" s="1"/>
    </row>
    <row r="1712" spans="15:59">
      <c r="O1712" s="1"/>
      <c r="P1712" s="1"/>
      <c r="AA1712" s="1"/>
      <c r="AB1712" s="1"/>
      <c r="AG1712" s="1"/>
      <c r="AH1712" s="1"/>
      <c r="AK1712" s="1"/>
      <c r="AL1712" s="1"/>
      <c r="AM1712" s="2"/>
      <c r="AN1712" s="2"/>
      <c r="AQ1712" s="1"/>
      <c r="BG1712" s="1"/>
    </row>
    <row r="1713" spans="15:59">
      <c r="O1713" s="1"/>
      <c r="P1713" s="1"/>
      <c r="AA1713" s="1"/>
      <c r="AB1713" s="1"/>
      <c r="AG1713" s="1"/>
      <c r="AH1713" s="1"/>
      <c r="AK1713" s="1"/>
      <c r="AL1713" s="1"/>
      <c r="AM1713" s="2"/>
      <c r="AN1713" s="2"/>
      <c r="AQ1713" s="1"/>
      <c r="BG1713" s="1"/>
    </row>
    <row r="1714" spans="15:59">
      <c r="O1714" s="1"/>
      <c r="P1714" s="1"/>
      <c r="AA1714" s="1"/>
      <c r="AB1714" s="1"/>
      <c r="AG1714" s="1"/>
      <c r="AH1714" s="1"/>
      <c r="AK1714" s="1"/>
      <c r="AL1714" s="1"/>
      <c r="AM1714" s="2"/>
      <c r="AN1714" s="2"/>
      <c r="AQ1714" s="1"/>
      <c r="BG1714" s="1"/>
    </row>
    <row r="1715" spans="15:59">
      <c r="O1715" s="1"/>
      <c r="P1715" s="1"/>
      <c r="AA1715" s="1"/>
      <c r="AB1715" s="1"/>
      <c r="AG1715" s="1"/>
      <c r="AH1715" s="1"/>
      <c r="AK1715" s="1"/>
      <c r="AL1715" s="1"/>
      <c r="AM1715" s="2"/>
      <c r="AN1715" s="2"/>
      <c r="AQ1715" s="1"/>
      <c r="BG1715" s="1"/>
    </row>
    <row r="1716" spans="15:59">
      <c r="O1716" s="1"/>
      <c r="P1716" s="1"/>
      <c r="AA1716" s="1"/>
      <c r="AB1716" s="1"/>
      <c r="AG1716" s="1"/>
      <c r="AH1716" s="1"/>
      <c r="AK1716" s="1"/>
      <c r="AL1716" s="1"/>
      <c r="AM1716" s="2"/>
      <c r="AN1716" s="2"/>
      <c r="AQ1716" s="1"/>
      <c r="BG1716" s="1"/>
    </row>
    <row r="1717" spans="15:59">
      <c r="O1717" s="1"/>
      <c r="P1717" s="1"/>
      <c r="AA1717" s="1"/>
      <c r="AB1717" s="1"/>
      <c r="AG1717" s="1"/>
      <c r="AH1717" s="1"/>
      <c r="AK1717" s="1"/>
      <c r="AL1717" s="1"/>
      <c r="AM1717" s="2"/>
      <c r="AN1717" s="2"/>
      <c r="AQ1717" s="1"/>
      <c r="BG1717" s="1"/>
    </row>
    <row r="1718" spans="15:59">
      <c r="O1718" s="1"/>
      <c r="P1718" s="1"/>
      <c r="AA1718" s="1"/>
      <c r="AB1718" s="1"/>
      <c r="AG1718" s="1"/>
      <c r="AH1718" s="1"/>
      <c r="AK1718" s="1"/>
      <c r="AL1718" s="1"/>
      <c r="AM1718" s="2"/>
      <c r="AN1718" s="2"/>
      <c r="AQ1718" s="1"/>
      <c r="BG1718" s="1"/>
    </row>
    <row r="1719" spans="15:59">
      <c r="O1719" s="1"/>
      <c r="P1719" s="1"/>
      <c r="AA1719" s="1"/>
      <c r="AB1719" s="1"/>
      <c r="AG1719" s="1"/>
      <c r="AH1719" s="1"/>
      <c r="AK1719" s="1"/>
      <c r="AL1719" s="1"/>
      <c r="AM1719" s="2"/>
      <c r="AN1719" s="2"/>
      <c r="AQ1719" s="1"/>
      <c r="BG1719" s="1"/>
    </row>
    <row r="1720" spans="15:59">
      <c r="O1720" s="1"/>
      <c r="P1720" s="1"/>
      <c r="AA1720" s="1"/>
      <c r="AB1720" s="1"/>
      <c r="AG1720" s="1"/>
      <c r="AH1720" s="1"/>
      <c r="AK1720" s="1"/>
      <c r="AL1720" s="1"/>
      <c r="AM1720" s="2"/>
      <c r="AN1720" s="2"/>
      <c r="AQ1720" s="1"/>
      <c r="BG1720" s="1"/>
    </row>
    <row r="1721" spans="15:59">
      <c r="O1721" s="1"/>
      <c r="P1721" s="1"/>
      <c r="AA1721" s="1"/>
      <c r="AB1721" s="1"/>
      <c r="AG1721" s="1"/>
      <c r="AH1721" s="1"/>
      <c r="AK1721" s="1"/>
      <c r="AL1721" s="1"/>
      <c r="AM1721" s="2"/>
      <c r="AN1721" s="2"/>
      <c r="AQ1721" s="1"/>
      <c r="BG1721" s="1"/>
    </row>
    <row r="1722" spans="15:59">
      <c r="O1722" s="1"/>
      <c r="P1722" s="1"/>
      <c r="AA1722" s="1"/>
      <c r="AB1722" s="1"/>
      <c r="AG1722" s="1"/>
      <c r="AH1722" s="1"/>
      <c r="AK1722" s="1"/>
      <c r="AL1722" s="1"/>
      <c r="AM1722" s="2"/>
      <c r="AN1722" s="2"/>
      <c r="AQ1722" s="1"/>
      <c r="BG1722" s="1"/>
    </row>
    <row r="1723" spans="15:59">
      <c r="O1723" s="1"/>
      <c r="P1723" s="1"/>
      <c r="AA1723" s="1"/>
      <c r="AB1723" s="1"/>
      <c r="AG1723" s="1"/>
      <c r="AH1723" s="1"/>
      <c r="AK1723" s="1"/>
      <c r="AL1723" s="1"/>
      <c r="AM1723" s="2"/>
      <c r="AN1723" s="2"/>
      <c r="AQ1723" s="1"/>
      <c r="BG1723" s="1"/>
    </row>
    <row r="1724" spans="15:59">
      <c r="O1724" s="1"/>
      <c r="P1724" s="1"/>
      <c r="AA1724" s="1"/>
      <c r="AB1724" s="1"/>
      <c r="AG1724" s="1"/>
      <c r="AH1724" s="1"/>
      <c r="AK1724" s="1"/>
      <c r="AL1724" s="1"/>
      <c r="AM1724" s="2"/>
      <c r="AN1724" s="2"/>
      <c r="AQ1724" s="1"/>
      <c r="BG1724" s="1"/>
    </row>
    <row r="1725" spans="15:59">
      <c r="O1725" s="1"/>
      <c r="P1725" s="1"/>
      <c r="AA1725" s="1"/>
      <c r="AB1725" s="1"/>
      <c r="AG1725" s="1"/>
      <c r="AH1725" s="1"/>
      <c r="AK1725" s="1"/>
      <c r="AL1725" s="1"/>
      <c r="AM1725" s="2"/>
      <c r="AN1725" s="2"/>
      <c r="AQ1725" s="1"/>
      <c r="BG1725" s="1"/>
    </row>
    <row r="1726" spans="15:59">
      <c r="O1726" s="1"/>
      <c r="P1726" s="1"/>
      <c r="AA1726" s="1"/>
      <c r="AB1726" s="1"/>
      <c r="AG1726" s="1"/>
      <c r="AH1726" s="1"/>
      <c r="AK1726" s="1"/>
      <c r="AL1726" s="1"/>
      <c r="AM1726" s="2"/>
      <c r="AN1726" s="2"/>
      <c r="AQ1726" s="1"/>
      <c r="BG1726" s="1"/>
    </row>
    <row r="1727" spans="15:59">
      <c r="O1727" s="1"/>
      <c r="P1727" s="1"/>
      <c r="AA1727" s="1"/>
      <c r="AB1727" s="1"/>
      <c r="AG1727" s="1"/>
      <c r="AH1727" s="1"/>
      <c r="AK1727" s="1"/>
      <c r="AL1727" s="1"/>
      <c r="AM1727" s="2"/>
      <c r="AN1727" s="2"/>
      <c r="AQ1727" s="1"/>
      <c r="BG1727" s="1"/>
    </row>
    <row r="1728" spans="15:59">
      <c r="O1728" s="1"/>
      <c r="P1728" s="1"/>
      <c r="AA1728" s="1"/>
      <c r="AB1728" s="1"/>
      <c r="AG1728" s="1"/>
      <c r="AH1728" s="1"/>
      <c r="AK1728" s="1"/>
      <c r="AL1728" s="1"/>
      <c r="AM1728" s="2"/>
      <c r="AN1728" s="2"/>
      <c r="AQ1728" s="1"/>
      <c r="BG1728" s="1"/>
    </row>
    <row r="1729" spans="15:59">
      <c r="O1729" s="1"/>
      <c r="P1729" s="1"/>
      <c r="AA1729" s="1"/>
      <c r="AB1729" s="1"/>
      <c r="AG1729" s="1"/>
      <c r="AH1729" s="1"/>
      <c r="AK1729" s="1"/>
      <c r="AL1729" s="1"/>
      <c r="AM1729" s="2"/>
      <c r="AN1729" s="2"/>
      <c r="AQ1729" s="1"/>
      <c r="BG1729" s="1"/>
    </row>
    <row r="1730" spans="15:59">
      <c r="O1730" s="1"/>
      <c r="P1730" s="1"/>
      <c r="AA1730" s="1"/>
      <c r="AB1730" s="1"/>
      <c r="AG1730" s="1"/>
      <c r="AH1730" s="1"/>
      <c r="AK1730" s="1"/>
      <c r="AL1730" s="1"/>
      <c r="AM1730" s="2"/>
      <c r="AN1730" s="2"/>
      <c r="AQ1730" s="1"/>
      <c r="BG1730" s="1"/>
    </row>
    <row r="1731" spans="15:59">
      <c r="O1731" s="1"/>
      <c r="P1731" s="1"/>
      <c r="AA1731" s="1"/>
      <c r="AB1731" s="1"/>
      <c r="AG1731" s="1"/>
      <c r="AH1731" s="1"/>
      <c r="AK1731" s="1"/>
      <c r="AL1731" s="1"/>
      <c r="AM1731" s="2"/>
      <c r="AN1731" s="2"/>
      <c r="AQ1731" s="1"/>
      <c r="BG1731" s="1"/>
    </row>
    <row r="1732" spans="15:59">
      <c r="O1732" s="1"/>
      <c r="P1732" s="1"/>
      <c r="AA1732" s="1"/>
      <c r="AB1732" s="1"/>
      <c r="AG1732" s="1"/>
      <c r="AH1732" s="1"/>
      <c r="AK1732" s="1"/>
      <c r="AL1732" s="1"/>
      <c r="AM1732" s="2"/>
      <c r="AN1732" s="2"/>
      <c r="AQ1732" s="1"/>
      <c r="BG1732" s="1"/>
    </row>
    <row r="1733" spans="15:59">
      <c r="O1733" s="1"/>
      <c r="P1733" s="1"/>
      <c r="AA1733" s="1"/>
      <c r="AB1733" s="1"/>
      <c r="AG1733" s="1"/>
      <c r="AH1733" s="1"/>
      <c r="AK1733" s="1"/>
      <c r="AL1733" s="1"/>
      <c r="AM1733" s="2"/>
      <c r="AN1733" s="2"/>
      <c r="AQ1733" s="1"/>
      <c r="BG1733" s="1"/>
    </row>
    <row r="1734" spans="15:59">
      <c r="O1734" s="1"/>
      <c r="P1734" s="1"/>
      <c r="AA1734" s="1"/>
      <c r="AB1734" s="1"/>
      <c r="AG1734" s="1"/>
      <c r="AH1734" s="1"/>
      <c r="AK1734" s="1"/>
      <c r="AL1734" s="1"/>
      <c r="AM1734" s="2"/>
      <c r="AN1734" s="2"/>
      <c r="AQ1734" s="1"/>
      <c r="BG1734" s="1"/>
    </row>
    <row r="1735" spans="15:59">
      <c r="O1735" s="1"/>
      <c r="P1735" s="1"/>
      <c r="AA1735" s="1"/>
      <c r="AB1735" s="1"/>
      <c r="AG1735" s="1"/>
      <c r="AH1735" s="1"/>
      <c r="AK1735" s="1"/>
      <c r="AL1735" s="1"/>
      <c r="AM1735" s="2"/>
      <c r="AN1735" s="2"/>
      <c r="AQ1735" s="1"/>
      <c r="BG1735" s="1"/>
    </row>
    <row r="1736" spans="15:59">
      <c r="O1736" s="1"/>
      <c r="P1736" s="1"/>
      <c r="AA1736" s="1"/>
      <c r="AB1736" s="1"/>
      <c r="AG1736" s="1"/>
      <c r="AH1736" s="1"/>
      <c r="AK1736" s="1"/>
      <c r="AL1736" s="1"/>
      <c r="AM1736" s="2"/>
      <c r="AN1736" s="2"/>
      <c r="AQ1736" s="1"/>
      <c r="BG1736" s="1"/>
    </row>
    <row r="1737" spans="15:59">
      <c r="O1737" s="1"/>
      <c r="P1737" s="1"/>
      <c r="AA1737" s="1"/>
      <c r="AB1737" s="1"/>
      <c r="AG1737" s="1"/>
      <c r="AH1737" s="1"/>
      <c r="AK1737" s="1"/>
      <c r="AL1737" s="1"/>
      <c r="AM1737" s="2"/>
      <c r="AN1737" s="2"/>
      <c r="AQ1737" s="1"/>
      <c r="BG1737" s="1"/>
    </row>
    <row r="1738" spans="15:59">
      <c r="O1738" s="1"/>
      <c r="P1738" s="1"/>
      <c r="AA1738" s="1"/>
      <c r="AB1738" s="1"/>
      <c r="AG1738" s="1"/>
      <c r="AH1738" s="1"/>
      <c r="AK1738" s="1"/>
      <c r="AL1738" s="1"/>
      <c r="AM1738" s="2"/>
      <c r="AN1738" s="2"/>
      <c r="AQ1738" s="1"/>
      <c r="BG1738" s="1"/>
    </row>
    <row r="1739" spans="15:59">
      <c r="O1739" s="1"/>
      <c r="P1739" s="1"/>
      <c r="AA1739" s="1"/>
      <c r="AB1739" s="1"/>
      <c r="AG1739" s="1"/>
      <c r="AH1739" s="1"/>
      <c r="AK1739" s="1"/>
      <c r="AL1739" s="1"/>
      <c r="AM1739" s="2"/>
      <c r="AN1739" s="2"/>
      <c r="AQ1739" s="1"/>
      <c r="BG1739" s="1"/>
    </row>
    <row r="1740" spans="15:59">
      <c r="O1740" s="1"/>
      <c r="P1740" s="1"/>
      <c r="AA1740" s="1"/>
      <c r="AB1740" s="1"/>
      <c r="AG1740" s="1"/>
      <c r="AH1740" s="1"/>
      <c r="AK1740" s="1"/>
      <c r="AL1740" s="1"/>
      <c r="AM1740" s="2"/>
      <c r="AN1740" s="2"/>
      <c r="AQ1740" s="1"/>
      <c r="BG1740" s="1"/>
    </row>
    <row r="1741" spans="15:59">
      <c r="O1741" s="1"/>
      <c r="P1741" s="1"/>
      <c r="AA1741" s="1"/>
      <c r="AB1741" s="1"/>
      <c r="AG1741" s="1"/>
      <c r="AH1741" s="1"/>
      <c r="AK1741" s="1"/>
      <c r="AL1741" s="1"/>
      <c r="AM1741" s="2"/>
      <c r="AN1741" s="2"/>
      <c r="AQ1741" s="1"/>
      <c r="BG1741" s="1"/>
    </row>
    <row r="1742" spans="15:59">
      <c r="O1742" s="1"/>
      <c r="P1742" s="1"/>
      <c r="AA1742" s="1"/>
      <c r="AB1742" s="1"/>
      <c r="AG1742" s="1"/>
      <c r="AH1742" s="1"/>
      <c r="AK1742" s="1"/>
      <c r="AL1742" s="1"/>
      <c r="AM1742" s="2"/>
      <c r="AN1742" s="2"/>
      <c r="AQ1742" s="1"/>
      <c r="BG1742" s="1"/>
    </row>
    <row r="1743" spans="15:59">
      <c r="O1743" s="1"/>
      <c r="P1743" s="1"/>
      <c r="AA1743" s="1"/>
      <c r="AB1743" s="1"/>
      <c r="AG1743" s="1"/>
      <c r="AH1743" s="1"/>
      <c r="AK1743" s="1"/>
      <c r="AL1743" s="1"/>
      <c r="AM1743" s="2"/>
      <c r="AN1743" s="2"/>
      <c r="AQ1743" s="1"/>
      <c r="BG1743" s="1"/>
    </row>
    <row r="1744" spans="15:59">
      <c r="O1744" s="1"/>
      <c r="P1744" s="1"/>
      <c r="AA1744" s="1"/>
      <c r="AB1744" s="1"/>
      <c r="AG1744" s="1"/>
      <c r="AH1744" s="1"/>
      <c r="AK1744" s="1"/>
      <c r="AL1744" s="1"/>
      <c r="AM1744" s="2"/>
      <c r="AN1744" s="2"/>
      <c r="AQ1744" s="1"/>
      <c r="BG1744" s="1"/>
    </row>
    <row r="1745" spans="15:59">
      <c r="O1745" s="1"/>
      <c r="P1745" s="1"/>
      <c r="AA1745" s="1"/>
      <c r="AB1745" s="1"/>
      <c r="AG1745" s="1"/>
      <c r="AH1745" s="1"/>
      <c r="AK1745" s="1"/>
      <c r="AL1745" s="1"/>
      <c r="AM1745" s="2"/>
      <c r="AN1745" s="2"/>
      <c r="AQ1745" s="1"/>
      <c r="BG1745" s="1"/>
    </row>
    <row r="1746" spans="15:59">
      <c r="O1746" s="1"/>
      <c r="P1746" s="1"/>
      <c r="AA1746" s="1"/>
      <c r="AB1746" s="1"/>
      <c r="AG1746" s="1"/>
      <c r="AH1746" s="1"/>
      <c r="AK1746" s="1"/>
      <c r="AL1746" s="1"/>
      <c r="AM1746" s="2"/>
      <c r="AN1746" s="2"/>
      <c r="AQ1746" s="1"/>
      <c r="BG1746" s="1"/>
    </row>
    <row r="1747" spans="15:59">
      <c r="O1747" s="1"/>
      <c r="P1747" s="1"/>
      <c r="AA1747" s="1"/>
      <c r="AB1747" s="1"/>
      <c r="AG1747" s="1"/>
      <c r="AH1747" s="1"/>
      <c r="AK1747" s="1"/>
      <c r="AL1747" s="1"/>
      <c r="AM1747" s="2"/>
      <c r="AN1747" s="2"/>
      <c r="AQ1747" s="1"/>
      <c r="BG1747" s="1"/>
    </row>
    <row r="1748" spans="15:59">
      <c r="O1748" s="1"/>
      <c r="P1748" s="1"/>
      <c r="AA1748" s="1"/>
      <c r="AB1748" s="1"/>
      <c r="AG1748" s="1"/>
      <c r="AH1748" s="1"/>
      <c r="AK1748" s="1"/>
      <c r="AL1748" s="1"/>
      <c r="AM1748" s="2"/>
      <c r="AN1748" s="2"/>
      <c r="AQ1748" s="1"/>
      <c r="BG1748" s="1"/>
    </row>
    <row r="1749" spans="15:59">
      <c r="O1749" s="1"/>
      <c r="P1749" s="1"/>
      <c r="AA1749" s="1"/>
      <c r="AB1749" s="1"/>
      <c r="AG1749" s="1"/>
      <c r="AH1749" s="1"/>
      <c r="AK1749" s="1"/>
      <c r="AL1749" s="1"/>
      <c r="AM1749" s="2"/>
      <c r="AN1749" s="2"/>
      <c r="AQ1749" s="1"/>
      <c r="BG1749" s="1"/>
    </row>
    <row r="1750" spans="15:59">
      <c r="O1750" s="1"/>
      <c r="P1750" s="1"/>
      <c r="AA1750" s="1"/>
      <c r="AB1750" s="1"/>
      <c r="AG1750" s="1"/>
      <c r="AH1750" s="1"/>
      <c r="AK1750" s="1"/>
      <c r="AL1750" s="1"/>
      <c r="AM1750" s="2"/>
      <c r="AN1750" s="2"/>
      <c r="AQ1750" s="1"/>
      <c r="BG1750" s="1"/>
    </row>
    <row r="1751" spans="15:59">
      <c r="O1751" s="1"/>
      <c r="P1751" s="1"/>
      <c r="AA1751" s="1"/>
      <c r="AB1751" s="1"/>
      <c r="AG1751" s="1"/>
      <c r="AH1751" s="1"/>
      <c r="AK1751" s="1"/>
      <c r="AL1751" s="1"/>
      <c r="AM1751" s="2"/>
      <c r="AN1751" s="2"/>
      <c r="AQ1751" s="1"/>
      <c r="BG1751" s="1"/>
    </row>
    <row r="1752" spans="15:59">
      <c r="O1752" s="1"/>
      <c r="P1752" s="1"/>
      <c r="AA1752" s="1"/>
      <c r="AB1752" s="1"/>
      <c r="AG1752" s="1"/>
      <c r="AH1752" s="1"/>
      <c r="AK1752" s="1"/>
      <c r="AL1752" s="1"/>
      <c r="AM1752" s="2"/>
      <c r="AN1752" s="2"/>
      <c r="AQ1752" s="1"/>
      <c r="BG1752" s="1"/>
    </row>
    <row r="1753" spans="15:59">
      <c r="O1753" s="1"/>
      <c r="P1753" s="1"/>
      <c r="AA1753" s="1"/>
      <c r="AB1753" s="1"/>
      <c r="AG1753" s="1"/>
      <c r="AH1753" s="1"/>
      <c r="AK1753" s="1"/>
      <c r="AL1753" s="1"/>
      <c r="AM1753" s="2"/>
      <c r="AN1753" s="2"/>
      <c r="AQ1753" s="1"/>
      <c r="BG1753" s="1"/>
    </row>
    <row r="1754" spans="15:59">
      <c r="O1754" s="1"/>
      <c r="P1754" s="1"/>
      <c r="AA1754" s="1"/>
      <c r="AB1754" s="1"/>
      <c r="AG1754" s="1"/>
      <c r="AH1754" s="1"/>
      <c r="AK1754" s="1"/>
      <c r="AL1754" s="1"/>
      <c r="AM1754" s="2"/>
      <c r="AN1754" s="2"/>
      <c r="AQ1754" s="1"/>
      <c r="BG1754" s="1"/>
    </row>
    <row r="1755" spans="15:59">
      <c r="O1755" s="1"/>
      <c r="P1755" s="1"/>
      <c r="AA1755" s="1"/>
      <c r="AB1755" s="1"/>
      <c r="AG1755" s="1"/>
      <c r="AH1755" s="1"/>
      <c r="AK1755" s="1"/>
      <c r="AL1755" s="1"/>
      <c r="AM1755" s="2"/>
      <c r="AN1755" s="2"/>
      <c r="AQ1755" s="1"/>
      <c r="BG1755" s="1"/>
    </row>
    <row r="1756" spans="15:59">
      <c r="O1756" s="1"/>
      <c r="P1756" s="1"/>
      <c r="AA1756" s="1"/>
      <c r="AB1756" s="1"/>
      <c r="AG1756" s="1"/>
      <c r="AH1756" s="1"/>
      <c r="AK1756" s="1"/>
      <c r="AL1756" s="1"/>
      <c r="AM1756" s="2"/>
      <c r="AN1756" s="2"/>
      <c r="AQ1756" s="1"/>
      <c r="BG1756" s="1"/>
    </row>
    <row r="1757" spans="15:59">
      <c r="O1757" s="1"/>
      <c r="P1757" s="1"/>
      <c r="AA1757" s="1"/>
      <c r="AB1757" s="1"/>
      <c r="AG1757" s="1"/>
      <c r="AH1757" s="1"/>
      <c r="AK1757" s="1"/>
      <c r="AL1757" s="1"/>
      <c r="AM1757" s="2"/>
      <c r="AN1757" s="2"/>
      <c r="AQ1757" s="1"/>
      <c r="BG1757" s="1"/>
    </row>
    <row r="1758" spans="15:59">
      <c r="O1758" s="1"/>
      <c r="P1758" s="1"/>
      <c r="AA1758" s="1"/>
      <c r="AB1758" s="1"/>
      <c r="AG1758" s="1"/>
      <c r="AH1758" s="1"/>
      <c r="AK1758" s="1"/>
      <c r="AL1758" s="1"/>
      <c r="AM1758" s="2"/>
      <c r="AN1758" s="2"/>
      <c r="AQ1758" s="1"/>
      <c r="BG1758" s="1"/>
    </row>
    <row r="1759" spans="15:59">
      <c r="O1759" s="1"/>
      <c r="P1759" s="1"/>
      <c r="AA1759" s="1"/>
      <c r="AB1759" s="1"/>
      <c r="AG1759" s="1"/>
      <c r="AH1759" s="1"/>
      <c r="AK1759" s="1"/>
      <c r="AL1759" s="1"/>
      <c r="AM1759" s="2"/>
      <c r="AN1759" s="2"/>
      <c r="AQ1759" s="1"/>
      <c r="BG1759" s="1"/>
    </row>
    <row r="1760" spans="15:59">
      <c r="O1760" s="1"/>
      <c r="P1760" s="1"/>
      <c r="AA1760" s="1"/>
      <c r="AB1760" s="1"/>
      <c r="AG1760" s="1"/>
      <c r="AH1760" s="1"/>
      <c r="AK1760" s="1"/>
      <c r="AL1760" s="1"/>
      <c r="AM1760" s="2"/>
      <c r="AN1760" s="2"/>
      <c r="AQ1760" s="1"/>
      <c r="BG1760" s="1"/>
    </row>
    <row r="1761" spans="15:59">
      <c r="O1761" s="1"/>
      <c r="P1761" s="1"/>
      <c r="AA1761" s="1"/>
      <c r="AB1761" s="1"/>
      <c r="AG1761" s="1"/>
      <c r="AH1761" s="1"/>
      <c r="AK1761" s="1"/>
      <c r="AL1761" s="1"/>
      <c r="AM1761" s="2"/>
      <c r="AN1761" s="2"/>
      <c r="AQ1761" s="1"/>
      <c r="BG1761" s="1"/>
    </row>
    <row r="1762" spans="15:59">
      <c r="O1762" s="1"/>
      <c r="P1762" s="1"/>
      <c r="AA1762" s="1"/>
      <c r="AB1762" s="1"/>
      <c r="AG1762" s="1"/>
      <c r="AH1762" s="1"/>
      <c r="AK1762" s="1"/>
      <c r="AL1762" s="1"/>
      <c r="AM1762" s="2"/>
      <c r="AN1762" s="2"/>
      <c r="AQ1762" s="1"/>
      <c r="BG1762" s="1"/>
    </row>
    <row r="1763" spans="15:59">
      <c r="O1763" s="1"/>
      <c r="P1763" s="1"/>
      <c r="AA1763" s="1"/>
      <c r="AB1763" s="1"/>
      <c r="AG1763" s="1"/>
      <c r="AH1763" s="1"/>
      <c r="AK1763" s="1"/>
      <c r="AL1763" s="1"/>
      <c r="AM1763" s="2"/>
      <c r="AN1763" s="2"/>
      <c r="AQ1763" s="1"/>
      <c r="BG1763" s="1"/>
    </row>
    <row r="1764" spans="15:59">
      <c r="O1764" s="1"/>
      <c r="P1764" s="1"/>
      <c r="AA1764" s="1"/>
      <c r="AB1764" s="1"/>
      <c r="AG1764" s="1"/>
      <c r="AH1764" s="1"/>
      <c r="AK1764" s="1"/>
      <c r="AL1764" s="1"/>
      <c r="AM1764" s="2"/>
      <c r="AN1764" s="2"/>
      <c r="AQ1764" s="1"/>
      <c r="BG1764" s="1"/>
    </row>
    <row r="1765" spans="15:59">
      <c r="O1765" s="1"/>
      <c r="P1765" s="1"/>
      <c r="AA1765" s="1"/>
      <c r="AB1765" s="1"/>
      <c r="AG1765" s="1"/>
      <c r="AH1765" s="1"/>
      <c r="AK1765" s="1"/>
      <c r="AL1765" s="1"/>
      <c r="AM1765" s="2"/>
      <c r="AN1765" s="2"/>
      <c r="AQ1765" s="1"/>
      <c r="BG1765" s="1"/>
    </row>
    <row r="1766" spans="15:59">
      <c r="O1766" s="1"/>
      <c r="P1766" s="1"/>
      <c r="AA1766" s="1"/>
      <c r="AB1766" s="1"/>
      <c r="AG1766" s="1"/>
      <c r="AH1766" s="1"/>
      <c r="AK1766" s="1"/>
      <c r="AL1766" s="1"/>
      <c r="AM1766" s="2"/>
      <c r="AN1766" s="2"/>
      <c r="AQ1766" s="1"/>
      <c r="BG1766" s="1"/>
    </row>
    <row r="1767" spans="15:59">
      <c r="O1767" s="1"/>
      <c r="P1767" s="1"/>
      <c r="AA1767" s="1"/>
      <c r="AB1767" s="1"/>
      <c r="AG1767" s="1"/>
      <c r="AH1767" s="1"/>
      <c r="AK1767" s="1"/>
      <c r="AL1767" s="1"/>
      <c r="AM1767" s="2"/>
      <c r="AN1767" s="2"/>
      <c r="AQ1767" s="1"/>
      <c r="BG1767" s="1"/>
    </row>
    <row r="1768" spans="15:59">
      <c r="O1768" s="1"/>
      <c r="P1768" s="1"/>
      <c r="AA1768" s="1"/>
      <c r="AB1768" s="1"/>
      <c r="AG1768" s="1"/>
      <c r="AH1768" s="1"/>
      <c r="AK1768" s="1"/>
      <c r="AL1768" s="1"/>
      <c r="AM1768" s="2"/>
      <c r="AN1768" s="2"/>
      <c r="AQ1768" s="1"/>
      <c r="BG1768" s="1"/>
    </row>
    <row r="1769" spans="15:59">
      <c r="O1769" s="1"/>
      <c r="P1769" s="1"/>
      <c r="AA1769" s="1"/>
      <c r="AB1769" s="1"/>
      <c r="AG1769" s="1"/>
      <c r="AH1769" s="1"/>
      <c r="AK1769" s="1"/>
      <c r="AL1769" s="1"/>
      <c r="AM1769" s="2"/>
      <c r="AN1769" s="2"/>
      <c r="AQ1769" s="1"/>
      <c r="BG1769" s="1"/>
    </row>
    <row r="1770" spans="15:59">
      <c r="O1770" s="1"/>
      <c r="P1770" s="1"/>
      <c r="AA1770" s="1"/>
      <c r="AB1770" s="1"/>
      <c r="AG1770" s="1"/>
      <c r="AH1770" s="1"/>
      <c r="AK1770" s="1"/>
      <c r="AL1770" s="1"/>
      <c r="AM1770" s="2"/>
      <c r="AN1770" s="2"/>
      <c r="AQ1770" s="1"/>
      <c r="BG1770" s="1"/>
    </row>
    <row r="1771" spans="15:59">
      <c r="O1771" s="1"/>
      <c r="P1771" s="1"/>
      <c r="AA1771" s="1"/>
      <c r="AB1771" s="1"/>
      <c r="AG1771" s="1"/>
      <c r="AH1771" s="1"/>
      <c r="AK1771" s="1"/>
      <c r="AL1771" s="1"/>
      <c r="AM1771" s="2"/>
      <c r="AN1771" s="2"/>
      <c r="AQ1771" s="1"/>
      <c r="BG1771" s="1"/>
    </row>
    <row r="1772" spans="15:59">
      <c r="O1772" s="1"/>
      <c r="P1772" s="1"/>
      <c r="AA1772" s="1"/>
      <c r="AB1772" s="1"/>
      <c r="AG1772" s="1"/>
      <c r="AH1772" s="1"/>
      <c r="AK1772" s="1"/>
      <c r="AL1772" s="1"/>
      <c r="AM1772" s="2"/>
      <c r="AN1772" s="2"/>
      <c r="AQ1772" s="1"/>
      <c r="BG1772" s="1"/>
    </row>
    <row r="1773" spans="15:59">
      <c r="O1773" s="1"/>
      <c r="P1773" s="1"/>
      <c r="AA1773" s="1"/>
      <c r="AB1773" s="1"/>
      <c r="AG1773" s="1"/>
      <c r="AH1773" s="1"/>
      <c r="AK1773" s="1"/>
      <c r="AL1773" s="1"/>
      <c r="AM1773" s="2"/>
      <c r="AN1773" s="2"/>
      <c r="AQ1773" s="1"/>
      <c r="BG1773" s="1"/>
    </row>
    <row r="1774" spans="15:59">
      <c r="O1774" s="1"/>
      <c r="P1774" s="1"/>
      <c r="AA1774" s="1"/>
      <c r="AB1774" s="1"/>
      <c r="AG1774" s="1"/>
      <c r="AH1774" s="1"/>
      <c r="AK1774" s="1"/>
      <c r="AL1774" s="1"/>
      <c r="AM1774" s="2"/>
      <c r="AN1774" s="2"/>
      <c r="AQ1774" s="1"/>
      <c r="BG1774" s="1"/>
    </row>
    <row r="1775" spans="15:59">
      <c r="O1775" s="1"/>
      <c r="P1775" s="1"/>
      <c r="AA1775" s="1"/>
      <c r="AB1775" s="1"/>
      <c r="AG1775" s="1"/>
      <c r="AH1775" s="1"/>
      <c r="AK1775" s="1"/>
      <c r="AL1775" s="1"/>
      <c r="AM1775" s="2"/>
      <c r="AN1775" s="2"/>
      <c r="AQ1775" s="1"/>
      <c r="BG1775" s="1"/>
    </row>
    <row r="1776" spans="15:59">
      <c r="O1776" s="1"/>
      <c r="P1776" s="1"/>
      <c r="AA1776" s="1"/>
      <c r="AB1776" s="1"/>
      <c r="AG1776" s="1"/>
      <c r="AH1776" s="1"/>
      <c r="AK1776" s="1"/>
      <c r="AL1776" s="1"/>
      <c r="AM1776" s="2"/>
      <c r="AN1776" s="2"/>
      <c r="AQ1776" s="1"/>
      <c r="BG1776" s="1"/>
    </row>
    <row r="1777" spans="15:59">
      <c r="O1777" s="1"/>
      <c r="P1777" s="1"/>
      <c r="AA1777" s="1"/>
      <c r="AB1777" s="1"/>
      <c r="AG1777" s="1"/>
      <c r="AH1777" s="1"/>
      <c r="AK1777" s="1"/>
      <c r="AL1777" s="1"/>
      <c r="AM1777" s="2"/>
      <c r="AN1777" s="2"/>
      <c r="AQ1777" s="1"/>
      <c r="BG1777" s="1"/>
    </row>
    <row r="1778" spans="15:59">
      <c r="O1778" s="1"/>
      <c r="P1778" s="1"/>
      <c r="AA1778" s="1"/>
      <c r="AB1778" s="1"/>
      <c r="AG1778" s="1"/>
      <c r="AH1778" s="1"/>
      <c r="AK1778" s="1"/>
      <c r="AL1778" s="1"/>
      <c r="AM1778" s="2"/>
      <c r="AN1778" s="2"/>
      <c r="AQ1778" s="1"/>
      <c r="BG1778" s="1"/>
    </row>
    <row r="1779" spans="15:59">
      <c r="O1779" s="1"/>
      <c r="P1779" s="1"/>
      <c r="AA1779" s="1"/>
      <c r="AB1779" s="1"/>
      <c r="AG1779" s="1"/>
      <c r="AH1779" s="1"/>
      <c r="AK1779" s="1"/>
      <c r="AL1779" s="1"/>
      <c r="AM1779" s="2"/>
      <c r="AN1779" s="2"/>
      <c r="AQ1779" s="1"/>
      <c r="BG1779" s="1"/>
    </row>
    <row r="1780" spans="15:59">
      <c r="O1780" s="1"/>
      <c r="P1780" s="1"/>
      <c r="AA1780" s="1"/>
      <c r="AB1780" s="1"/>
      <c r="AG1780" s="1"/>
      <c r="AH1780" s="1"/>
      <c r="AK1780" s="1"/>
      <c r="AL1780" s="1"/>
      <c r="AM1780" s="2"/>
      <c r="AN1780" s="2"/>
      <c r="AQ1780" s="1"/>
      <c r="BG1780" s="1"/>
    </row>
    <row r="1781" spans="15:59">
      <c r="O1781" s="1"/>
      <c r="P1781" s="1"/>
      <c r="AA1781" s="1"/>
      <c r="AB1781" s="1"/>
      <c r="AG1781" s="1"/>
      <c r="AH1781" s="1"/>
      <c r="AK1781" s="1"/>
      <c r="AL1781" s="1"/>
      <c r="AM1781" s="2"/>
      <c r="AN1781" s="2"/>
      <c r="AQ1781" s="1"/>
      <c r="BG1781" s="1"/>
    </row>
    <row r="1782" spans="15:59">
      <c r="O1782" s="1"/>
      <c r="P1782" s="1"/>
      <c r="AA1782" s="1"/>
      <c r="AB1782" s="1"/>
      <c r="AG1782" s="1"/>
      <c r="AH1782" s="1"/>
      <c r="AK1782" s="1"/>
      <c r="AL1782" s="1"/>
      <c r="AM1782" s="2"/>
      <c r="AN1782" s="2"/>
      <c r="AQ1782" s="1"/>
      <c r="BG1782" s="1"/>
    </row>
    <row r="1783" spans="15:59">
      <c r="O1783" s="1"/>
      <c r="P1783" s="1"/>
      <c r="AA1783" s="1"/>
      <c r="AB1783" s="1"/>
      <c r="AG1783" s="1"/>
      <c r="AH1783" s="1"/>
      <c r="AK1783" s="1"/>
      <c r="AL1783" s="1"/>
      <c r="AM1783" s="2"/>
      <c r="AN1783" s="2"/>
      <c r="AQ1783" s="1"/>
      <c r="BG1783" s="1"/>
    </row>
    <row r="1784" spans="15:59">
      <c r="O1784" s="1"/>
      <c r="P1784" s="1"/>
      <c r="AA1784" s="1"/>
      <c r="AB1784" s="1"/>
      <c r="AG1784" s="1"/>
      <c r="AH1784" s="1"/>
      <c r="AK1784" s="1"/>
      <c r="AL1784" s="1"/>
      <c r="AM1784" s="2"/>
      <c r="AN1784" s="2"/>
      <c r="AQ1784" s="1"/>
      <c r="BG1784" s="1"/>
    </row>
    <row r="1785" spans="15:59">
      <c r="O1785" s="1"/>
      <c r="P1785" s="1"/>
      <c r="AA1785" s="1"/>
      <c r="AB1785" s="1"/>
      <c r="AG1785" s="1"/>
      <c r="AH1785" s="1"/>
      <c r="AK1785" s="1"/>
      <c r="AL1785" s="1"/>
      <c r="AM1785" s="2"/>
      <c r="AN1785" s="2"/>
      <c r="AQ1785" s="1"/>
      <c r="BG1785" s="1"/>
    </row>
    <row r="1786" spans="15:59">
      <c r="O1786" s="1"/>
      <c r="P1786" s="1"/>
      <c r="AA1786" s="1"/>
      <c r="AB1786" s="1"/>
      <c r="AG1786" s="1"/>
      <c r="AH1786" s="1"/>
      <c r="AK1786" s="1"/>
      <c r="AL1786" s="1"/>
      <c r="AM1786" s="2"/>
      <c r="AN1786" s="2"/>
      <c r="AQ1786" s="1"/>
      <c r="BG1786" s="1"/>
    </row>
    <row r="1787" spans="15:59">
      <c r="O1787" s="1"/>
      <c r="P1787" s="1"/>
      <c r="AA1787" s="1"/>
      <c r="AB1787" s="1"/>
      <c r="AG1787" s="1"/>
      <c r="AH1787" s="1"/>
      <c r="AK1787" s="1"/>
      <c r="AL1787" s="1"/>
      <c r="AM1787" s="2"/>
      <c r="AN1787" s="2"/>
      <c r="AQ1787" s="1"/>
      <c r="BG1787" s="1"/>
    </row>
    <row r="1788" spans="15:59">
      <c r="O1788" s="1"/>
      <c r="P1788" s="1"/>
      <c r="AA1788" s="1"/>
      <c r="AB1788" s="1"/>
      <c r="AG1788" s="1"/>
      <c r="AH1788" s="1"/>
      <c r="AK1788" s="1"/>
      <c r="AL1788" s="1"/>
      <c r="AM1788" s="2"/>
      <c r="AN1788" s="2"/>
      <c r="AQ1788" s="1"/>
      <c r="BG1788" s="1"/>
    </row>
    <row r="1789" spans="15:59">
      <c r="O1789" s="1"/>
      <c r="P1789" s="1"/>
      <c r="AA1789" s="1"/>
      <c r="AB1789" s="1"/>
      <c r="AG1789" s="1"/>
      <c r="AH1789" s="1"/>
      <c r="AK1789" s="1"/>
      <c r="AL1789" s="1"/>
      <c r="AM1789" s="2"/>
      <c r="AN1789" s="2"/>
      <c r="AQ1789" s="1"/>
      <c r="BG1789" s="1"/>
    </row>
    <row r="1790" spans="15:59">
      <c r="O1790" s="1"/>
      <c r="P1790" s="1"/>
      <c r="AA1790" s="1"/>
      <c r="AB1790" s="1"/>
      <c r="AG1790" s="1"/>
      <c r="AH1790" s="1"/>
      <c r="AK1790" s="1"/>
      <c r="AL1790" s="1"/>
      <c r="AM1790" s="2"/>
      <c r="AN1790" s="2"/>
      <c r="AQ1790" s="1"/>
      <c r="BG1790" s="1"/>
    </row>
    <row r="1791" spans="15:59">
      <c r="O1791" s="1"/>
      <c r="P1791" s="1"/>
      <c r="AA1791" s="1"/>
      <c r="AB1791" s="1"/>
      <c r="AG1791" s="1"/>
      <c r="AH1791" s="1"/>
      <c r="AK1791" s="1"/>
      <c r="AL1791" s="1"/>
      <c r="AM1791" s="2"/>
      <c r="AN1791" s="2"/>
      <c r="AQ1791" s="1"/>
      <c r="BG1791" s="1"/>
    </row>
    <row r="1792" spans="15:59">
      <c r="O1792" s="1"/>
      <c r="P1792" s="1"/>
      <c r="AA1792" s="1"/>
      <c r="AB1792" s="1"/>
      <c r="AG1792" s="1"/>
      <c r="AH1792" s="1"/>
      <c r="AK1792" s="1"/>
      <c r="AL1792" s="1"/>
      <c r="AM1792" s="2"/>
      <c r="AN1792" s="2"/>
      <c r="AQ1792" s="1"/>
      <c r="BG1792" s="1"/>
    </row>
    <row r="1793" spans="15:59">
      <c r="O1793" s="1"/>
      <c r="P1793" s="1"/>
      <c r="AA1793" s="1"/>
      <c r="AB1793" s="1"/>
      <c r="AG1793" s="1"/>
      <c r="AH1793" s="1"/>
      <c r="AK1793" s="1"/>
      <c r="AL1793" s="1"/>
      <c r="AM1793" s="2"/>
      <c r="AN1793" s="2"/>
      <c r="AQ1793" s="1"/>
      <c r="BG1793" s="1"/>
    </row>
    <row r="1794" spans="15:59">
      <c r="O1794" s="1"/>
      <c r="P1794" s="1"/>
      <c r="AA1794" s="1"/>
      <c r="AB1794" s="1"/>
      <c r="AG1794" s="1"/>
      <c r="AH1794" s="1"/>
      <c r="AK1794" s="1"/>
      <c r="AL1794" s="1"/>
      <c r="AM1794" s="2"/>
      <c r="AN1794" s="2"/>
      <c r="AQ1794" s="1"/>
      <c r="BG1794" s="1"/>
    </row>
    <row r="1795" spans="15:59">
      <c r="O1795" s="1"/>
      <c r="P1795" s="1"/>
      <c r="AA1795" s="1"/>
      <c r="AB1795" s="1"/>
      <c r="AG1795" s="1"/>
      <c r="AH1795" s="1"/>
      <c r="AK1795" s="1"/>
      <c r="AL1795" s="1"/>
      <c r="AM1795" s="2"/>
      <c r="AN1795" s="2"/>
      <c r="AQ1795" s="1"/>
      <c r="BG1795" s="1"/>
    </row>
    <row r="1796" spans="15:59">
      <c r="AM1796" s="2"/>
      <c r="AN1796" s="2"/>
      <c r="AQ1796" s="1"/>
      <c r="BG1796" s="1"/>
    </row>
    <row r="1797" spans="15:59">
      <c r="AM1797" s="2"/>
      <c r="AN1797" s="2"/>
      <c r="AQ1797" s="1"/>
      <c r="BG1797" s="1"/>
    </row>
    <row r="1798" spans="15:59">
      <c r="AM1798" s="2"/>
      <c r="AN1798" s="2"/>
      <c r="AQ1798" s="1"/>
      <c r="BG1798" s="1"/>
    </row>
    <row r="1799" spans="15:59">
      <c r="AM1799" s="2"/>
      <c r="AN1799" s="2"/>
      <c r="AQ1799" s="1"/>
      <c r="BG1799" s="1"/>
    </row>
    <row r="1800" spans="15:59">
      <c r="AM1800" s="2"/>
      <c r="AN1800" s="2"/>
      <c r="AQ1800" s="1"/>
      <c r="BG1800" s="1"/>
    </row>
    <row r="1801" spans="15:59">
      <c r="AM1801" s="2"/>
      <c r="AN1801" s="2"/>
      <c r="AQ1801" s="1"/>
      <c r="BG1801" s="1"/>
    </row>
    <row r="1802" spans="15:59">
      <c r="AM1802" s="2"/>
      <c r="AN1802" s="2"/>
      <c r="AQ1802" s="1"/>
      <c r="BG1802" s="1"/>
    </row>
    <row r="1803" spans="15:59">
      <c r="AM1803" s="2"/>
      <c r="AN1803" s="2"/>
      <c r="AQ1803" s="1"/>
      <c r="BG1803" s="1"/>
    </row>
    <row r="1804" spans="15:59">
      <c r="AM1804" s="2"/>
      <c r="AN1804" s="2"/>
      <c r="AQ1804" s="1"/>
      <c r="BG1804" s="1"/>
    </row>
    <row r="1805" spans="15:59">
      <c r="AM1805" s="2"/>
      <c r="AN1805" s="2"/>
      <c r="AQ1805" s="1"/>
      <c r="BG1805" s="1"/>
    </row>
    <row r="1806" spans="15:59">
      <c r="AM1806" s="2"/>
      <c r="AN1806" s="2"/>
      <c r="AQ1806" s="1"/>
      <c r="BG1806" s="1"/>
    </row>
    <row r="1807" spans="15:59">
      <c r="AM1807" s="2"/>
      <c r="AN1807" s="2"/>
      <c r="AQ1807" s="1"/>
      <c r="BG1807" s="1"/>
    </row>
    <row r="1808" spans="15:59">
      <c r="AM1808" s="2"/>
      <c r="AN1808" s="2"/>
      <c r="AQ1808" s="1"/>
      <c r="BG1808" s="1"/>
    </row>
    <row r="1809" spans="39:59">
      <c r="AM1809" s="2"/>
      <c r="AN1809" s="2"/>
      <c r="AQ1809" s="1"/>
      <c r="BG1809" s="1"/>
    </row>
    <row r="1810" spans="39:59">
      <c r="AM1810" s="2"/>
      <c r="AN1810" s="2"/>
      <c r="AQ1810" s="1"/>
      <c r="BG1810" s="1"/>
    </row>
    <row r="1811" spans="39:59">
      <c r="AM1811" s="2"/>
      <c r="AN1811" s="2"/>
      <c r="AQ1811" s="1"/>
      <c r="BG1811" s="1"/>
    </row>
    <row r="1812" spans="39:59">
      <c r="AM1812" s="2"/>
      <c r="AN1812" s="2"/>
      <c r="AQ1812" s="1"/>
      <c r="BG1812" s="1"/>
    </row>
    <row r="1813" spans="39:59">
      <c r="AM1813" s="2"/>
      <c r="AN1813" s="2"/>
      <c r="AQ1813" s="1"/>
      <c r="BG1813" s="1"/>
    </row>
    <row r="1814" spans="39:59">
      <c r="AM1814" s="2"/>
      <c r="AN1814" s="2"/>
      <c r="AQ1814" s="1"/>
      <c r="BG1814" s="1"/>
    </row>
    <row r="1815" spans="39:59">
      <c r="AM1815" s="2"/>
      <c r="AN1815" s="2"/>
      <c r="AQ1815" s="1"/>
      <c r="BG1815" s="1"/>
    </row>
    <row r="1816" spans="39:59">
      <c r="AM1816" s="2"/>
      <c r="AN1816" s="2"/>
      <c r="AQ1816" s="1"/>
      <c r="BG1816" s="1"/>
    </row>
    <row r="1817" spans="39:59">
      <c r="AM1817" s="2"/>
      <c r="AN1817" s="2"/>
      <c r="AQ1817" s="1"/>
      <c r="BG1817" s="1"/>
    </row>
    <row r="1818" spans="39:59">
      <c r="AM1818" s="2"/>
      <c r="AN1818" s="2"/>
      <c r="AQ1818" s="1"/>
      <c r="BG1818" s="1"/>
    </row>
    <row r="1819" spans="39:59">
      <c r="AM1819" s="2"/>
      <c r="AN1819" s="2"/>
      <c r="AQ1819" s="1"/>
      <c r="BG1819" s="1"/>
    </row>
    <row r="1820" spans="39:59">
      <c r="AM1820" s="2"/>
      <c r="AN1820" s="2"/>
      <c r="AQ1820" s="1"/>
      <c r="BG1820" s="1"/>
    </row>
    <row r="1821" spans="39:59">
      <c r="AM1821" s="2"/>
      <c r="AN1821" s="2"/>
      <c r="AQ1821" s="1"/>
      <c r="BG1821" s="1"/>
    </row>
    <row r="1822" spans="39:59">
      <c r="AM1822" s="2"/>
      <c r="AN1822" s="2"/>
      <c r="AQ1822" s="1"/>
      <c r="BG1822" s="1"/>
    </row>
    <row r="1823" spans="39:59">
      <c r="AM1823" s="2"/>
      <c r="AN1823" s="2"/>
      <c r="AQ1823" s="1"/>
      <c r="BG1823" s="1"/>
    </row>
    <row r="1824" spans="39:59">
      <c r="AM1824" s="2"/>
      <c r="AN1824" s="2"/>
      <c r="AQ1824" s="1"/>
      <c r="BG1824" s="1"/>
    </row>
    <row r="1825" spans="39:59">
      <c r="AM1825" s="2"/>
      <c r="AN1825" s="2"/>
      <c r="AQ1825" s="1"/>
      <c r="BG1825" s="1"/>
    </row>
    <row r="1826" spans="39:59">
      <c r="AM1826" s="2"/>
      <c r="AN1826" s="2"/>
      <c r="AQ1826" s="1"/>
      <c r="BG1826" s="1"/>
    </row>
    <row r="1827" spans="39:59">
      <c r="AM1827" s="2"/>
      <c r="AN1827" s="2"/>
      <c r="AQ1827" s="1"/>
      <c r="BG1827" s="1"/>
    </row>
    <row r="1828" spans="39:59">
      <c r="AM1828" s="2"/>
      <c r="AN1828" s="2"/>
      <c r="AQ1828" s="1"/>
      <c r="BG1828" s="1"/>
    </row>
    <row r="1829" spans="39:59">
      <c r="AM1829" s="2"/>
      <c r="AN1829" s="2"/>
      <c r="AQ1829" s="1"/>
      <c r="BG1829" s="1"/>
    </row>
    <row r="1830" spans="39:59">
      <c r="AM1830" s="2"/>
      <c r="AN1830" s="2"/>
      <c r="AQ1830" s="1"/>
      <c r="BG1830" s="1"/>
    </row>
    <row r="1831" spans="39:59">
      <c r="AM1831" s="2"/>
      <c r="AN1831" s="2"/>
      <c r="AQ1831" s="1"/>
      <c r="BG1831" s="1"/>
    </row>
    <row r="1832" spans="39:59">
      <c r="AM1832" s="2"/>
      <c r="AN1832" s="2"/>
      <c r="AQ1832" s="1"/>
      <c r="BG1832" s="1"/>
    </row>
    <row r="1833" spans="39:59">
      <c r="AM1833" s="2"/>
      <c r="AN1833" s="2"/>
      <c r="AQ1833" s="1"/>
      <c r="BG1833" s="1"/>
    </row>
    <row r="1834" spans="39:59">
      <c r="AM1834" s="2"/>
      <c r="AN1834" s="2"/>
      <c r="AQ1834" s="1"/>
      <c r="BG1834" s="1"/>
    </row>
    <row r="1835" spans="39:59">
      <c r="AM1835" s="2"/>
      <c r="AN1835" s="2"/>
      <c r="AQ1835" s="1"/>
      <c r="BG1835" s="1"/>
    </row>
    <row r="1836" spans="39:59">
      <c r="AM1836" s="2"/>
      <c r="AN1836" s="2"/>
      <c r="AQ1836" s="1"/>
      <c r="BG1836" s="1"/>
    </row>
    <row r="1837" spans="39:59">
      <c r="AM1837" s="2"/>
      <c r="AN1837" s="2"/>
      <c r="AQ1837" s="1"/>
      <c r="BG1837" s="1"/>
    </row>
    <row r="1838" spans="39:59">
      <c r="AM1838" s="2"/>
      <c r="AN1838" s="2"/>
      <c r="AQ1838" s="1"/>
      <c r="BG1838" s="1"/>
    </row>
    <row r="1839" spans="39:59">
      <c r="AM1839" s="2"/>
      <c r="AN1839" s="2"/>
      <c r="AQ1839" s="1"/>
      <c r="BG1839" s="1"/>
    </row>
    <row r="1840" spans="39:59">
      <c r="AM1840" s="2"/>
      <c r="AN1840" s="2"/>
      <c r="AQ1840" s="1"/>
      <c r="BG1840" s="1"/>
    </row>
    <row r="1841" spans="39:59">
      <c r="AM1841" s="2"/>
      <c r="AN1841" s="2"/>
      <c r="AQ1841" s="1"/>
      <c r="BG1841" s="1"/>
    </row>
    <row r="1842" spans="39:59">
      <c r="AM1842" s="2"/>
      <c r="AN1842" s="2"/>
      <c r="AQ1842" s="1"/>
      <c r="BG1842" s="1"/>
    </row>
    <row r="1843" spans="39:59">
      <c r="AM1843" s="2"/>
      <c r="AN1843" s="2"/>
      <c r="AQ1843" s="1"/>
      <c r="BG1843" s="1"/>
    </row>
    <row r="1844" spans="39:59">
      <c r="AM1844" s="2"/>
      <c r="AN1844" s="2"/>
      <c r="AQ1844" s="1"/>
      <c r="BG1844" s="1"/>
    </row>
    <row r="1845" spans="39:59">
      <c r="AM1845" s="2"/>
      <c r="AN1845" s="2"/>
      <c r="AQ1845" s="1"/>
      <c r="BG1845" s="1"/>
    </row>
    <row r="1846" spans="39:59">
      <c r="AM1846" s="2"/>
      <c r="AN1846" s="2"/>
      <c r="AQ1846" s="1"/>
      <c r="BG1846" s="1"/>
    </row>
    <row r="1847" spans="39:59">
      <c r="AM1847" s="2"/>
      <c r="AN1847" s="2"/>
      <c r="AQ1847" s="1"/>
      <c r="BG1847" s="1"/>
    </row>
    <row r="1848" spans="39:59">
      <c r="AM1848" s="2"/>
      <c r="AN1848" s="2"/>
      <c r="AQ1848" s="1"/>
      <c r="BG1848" s="1"/>
    </row>
    <row r="1849" spans="39:59">
      <c r="AM1849" s="2"/>
      <c r="AN1849" s="2"/>
      <c r="AQ1849" s="1"/>
      <c r="BG1849" s="1"/>
    </row>
    <row r="1850" spans="39:59">
      <c r="AM1850" s="2"/>
      <c r="AN1850" s="2"/>
      <c r="AQ1850" s="1"/>
      <c r="BG1850" s="1"/>
    </row>
    <row r="1851" spans="39:59">
      <c r="AM1851" s="2"/>
      <c r="AN1851" s="2"/>
      <c r="AQ1851" s="1"/>
      <c r="BG1851" s="1"/>
    </row>
    <row r="1852" spans="39:59">
      <c r="AM1852" s="2"/>
      <c r="AN1852" s="2"/>
      <c r="AQ1852" s="1"/>
      <c r="BG1852" s="1"/>
    </row>
    <row r="1853" spans="39:59">
      <c r="AM1853" s="2"/>
      <c r="AN1853" s="2"/>
      <c r="AQ1853" s="1"/>
      <c r="BG1853" s="1"/>
    </row>
    <row r="1854" spans="39:59">
      <c r="AM1854" s="2"/>
      <c r="AN1854" s="2"/>
      <c r="AQ1854" s="1"/>
      <c r="BG1854" s="1"/>
    </row>
    <row r="1855" spans="39:59">
      <c r="AM1855" s="2"/>
      <c r="AN1855" s="2"/>
      <c r="AQ1855" s="1"/>
      <c r="BG1855" s="1"/>
    </row>
    <row r="1856" spans="39:59">
      <c r="AM1856" s="2"/>
      <c r="AN1856" s="2"/>
      <c r="AQ1856" s="1"/>
      <c r="BG1856" s="1"/>
    </row>
    <row r="1857" spans="39:59">
      <c r="AM1857" s="2"/>
      <c r="AN1857" s="2"/>
      <c r="AQ1857" s="1"/>
      <c r="BG1857" s="1"/>
    </row>
    <row r="1858" spans="39:59">
      <c r="AM1858" s="2"/>
      <c r="AN1858" s="2"/>
      <c r="AQ1858" s="1"/>
      <c r="BG1858" s="1"/>
    </row>
    <row r="1859" spans="39:59">
      <c r="AM1859" s="2"/>
      <c r="AN1859" s="2"/>
      <c r="AQ1859" s="1"/>
      <c r="BG1859" s="1"/>
    </row>
    <row r="1860" spans="39:59">
      <c r="AM1860" s="2"/>
      <c r="AN1860" s="2"/>
      <c r="AQ1860" s="1"/>
      <c r="BG1860" s="1"/>
    </row>
    <row r="1861" spans="39:59">
      <c r="AM1861" s="2"/>
      <c r="AN1861" s="2"/>
      <c r="AQ1861" s="1"/>
      <c r="BG1861" s="1"/>
    </row>
    <row r="1862" spans="39:59">
      <c r="AM1862" s="2"/>
      <c r="AN1862" s="2"/>
      <c r="AQ1862" s="1"/>
      <c r="BG1862" s="1"/>
    </row>
    <row r="1863" spans="39:59">
      <c r="AM1863" s="2"/>
      <c r="AN1863" s="2"/>
      <c r="AQ1863" s="1"/>
      <c r="BG1863" s="1"/>
    </row>
    <row r="1864" spans="39:59">
      <c r="AM1864" s="2"/>
      <c r="AN1864" s="2"/>
      <c r="AQ1864" s="1"/>
      <c r="BG1864" s="1"/>
    </row>
    <row r="1865" spans="39:59">
      <c r="AM1865" s="2"/>
      <c r="AN1865" s="2"/>
      <c r="AQ1865" s="1"/>
      <c r="BG1865" s="1"/>
    </row>
    <row r="1866" spans="39:59">
      <c r="AM1866" s="2"/>
      <c r="AN1866" s="2"/>
      <c r="AQ1866" s="1"/>
      <c r="BG1866" s="1"/>
    </row>
    <row r="1867" spans="39:59">
      <c r="AM1867" s="2"/>
      <c r="AN1867" s="2"/>
      <c r="AQ1867" s="1"/>
      <c r="BG1867" s="1"/>
    </row>
    <row r="1868" spans="39:59">
      <c r="AM1868" s="2"/>
      <c r="AN1868" s="2"/>
      <c r="AQ1868" s="1"/>
      <c r="BG1868" s="1"/>
    </row>
    <row r="1869" spans="39:59">
      <c r="AM1869" s="2"/>
      <c r="AN1869" s="2"/>
      <c r="AQ1869" s="1"/>
      <c r="BG1869" s="1"/>
    </row>
    <row r="1870" spans="39:59">
      <c r="AM1870" s="2"/>
      <c r="AN1870" s="2"/>
      <c r="AQ1870" s="1"/>
      <c r="BG1870" s="1"/>
    </row>
    <row r="1871" spans="39:59">
      <c r="AM1871" s="2"/>
      <c r="AN1871" s="2"/>
      <c r="AQ1871" s="1"/>
      <c r="BG1871" s="1"/>
    </row>
    <row r="1872" spans="39:59">
      <c r="AM1872" s="2"/>
      <c r="AN1872" s="2"/>
      <c r="AQ1872" s="1"/>
      <c r="BG1872" s="1"/>
    </row>
    <row r="1873" spans="39:59">
      <c r="AM1873" s="2"/>
      <c r="AN1873" s="2"/>
      <c r="AQ1873" s="1"/>
      <c r="BG1873" s="1"/>
    </row>
    <row r="1874" spans="39:59">
      <c r="AM1874" s="2"/>
      <c r="AN1874" s="2"/>
      <c r="AQ1874" s="1"/>
      <c r="BG1874" s="1"/>
    </row>
    <row r="1875" spans="39:59">
      <c r="AM1875" s="2"/>
      <c r="AN1875" s="2"/>
      <c r="AQ1875" s="1"/>
      <c r="BG1875" s="1"/>
    </row>
    <row r="1876" spans="39:59">
      <c r="AM1876" s="2"/>
      <c r="AN1876" s="2"/>
      <c r="AQ1876" s="1"/>
      <c r="BG1876" s="1"/>
    </row>
    <row r="1877" spans="39:59">
      <c r="AM1877" s="2"/>
      <c r="AN1877" s="2"/>
      <c r="AQ1877" s="1"/>
      <c r="BG1877" s="1"/>
    </row>
    <row r="1878" spans="39:59">
      <c r="AM1878" s="2"/>
      <c r="AN1878" s="2"/>
      <c r="AQ1878" s="1"/>
      <c r="BG1878" s="1"/>
    </row>
    <row r="1879" spans="39:59">
      <c r="AM1879" s="2"/>
      <c r="AN1879" s="2"/>
      <c r="AQ1879" s="1"/>
      <c r="BG1879" s="1"/>
    </row>
    <row r="1880" spans="39:59">
      <c r="AM1880" s="2"/>
      <c r="AN1880" s="2"/>
      <c r="AQ1880" s="1"/>
      <c r="BG1880" s="1"/>
    </row>
    <row r="1881" spans="39:59">
      <c r="AM1881" s="2"/>
      <c r="AN1881" s="2"/>
      <c r="AQ1881" s="1"/>
      <c r="BG1881" s="1"/>
    </row>
    <row r="1882" spans="39:59">
      <c r="AM1882" s="2"/>
      <c r="AN1882" s="2"/>
      <c r="AQ1882" s="1"/>
      <c r="BG1882" s="1"/>
    </row>
    <row r="1883" spans="39:59">
      <c r="AM1883" s="2"/>
      <c r="AN1883" s="2"/>
      <c r="AQ1883" s="1"/>
      <c r="BG1883" s="1"/>
    </row>
    <row r="1884" spans="39:59">
      <c r="AM1884" s="2"/>
      <c r="AN1884" s="2"/>
      <c r="AQ1884" s="1"/>
      <c r="BG1884" s="1"/>
    </row>
    <row r="1885" spans="39:59">
      <c r="AM1885" s="2"/>
      <c r="AN1885" s="2"/>
      <c r="AQ1885" s="1"/>
      <c r="BG1885" s="1"/>
    </row>
    <row r="1886" spans="39:59">
      <c r="AM1886" s="2"/>
      <c r="AN1886" s="2"/>
      <c r="AQ1886" s="1"/>
      <c r="BG1886" s="1"/>
    </row>
    <row r="1887" spans="39:59">
      <c r="AM1887" s="2"/>
      <c r="AN1887" s="2"/>
      <c r="AQ1887" s="1"/>
      <c r="BG1887" s="1"/>
    </row>
    <row r="1888" spans="39:59">
      <c r="AM1888" s="2"/>
      <c r="AN1888" s="2"/>
      <c r="AQ1888" s="1"/>
      <c r="BG1888" s="1"/>
    </row>
    <row r="1889" spans="39:59">
      <c r="AM1889" s="2"/>
      <c r="AN1889" s="2"/>
      <c r="AQ1889" s="1"/>
      <c r="BG1889" s="1"/>
    </row>
    <row r="1890" spans="39:59">
      <c r="AM1890" s="2"/>
      <c r="AN1890" s="2"/>
      <c r="AQ1890" s="1"/>
      <c r="BG1890" s="1"/>
    </row>
    <row r="1891" spans="39:59">
      <c r="AM1891" s="2"/>
      <c r="AN1891" s="2"/>
      <c r="AQ1891" s="1"/>
      <c r="BG1891" s="1"/>
    </row>
    <row r="1892" spans="39:59">
      <c r="AM1892" s="2"/>
      <c r="AN1892" s="2"/>
      <c r="AQ1892" s="1"/>
      <c r="BG1892" s="1"/>
    </row>
    <row r="1893" spans="39:59">
      <c r="AM1893" s="2"/>
      <c r="AN1893" s="2"/>
      <c r="AQ1893" s="1"/>
      <c r="BG1893" s="1"/>
    </row>
    <row r="1894" spans="39:59">
      <c r="AM1894" s="2"/>
      <c r="AN1894" s="2"/>
      <c r="AQ1894" s="1"/>
      <c r="BG1894" s="1"/>
    </row>
    <row r="1895" spans="39:59">
      <c r="AM1895" s="2"/>
      <c r="AN1895" s="2"/>
      <c r="AQ1895" s="1"/>
      <c r="BG1895" s="1"/>
    </row>
    <row r="1896" spans="39:59">
      <c r="AM1896" s="2"/>
      <c r="AN1896" s="2"/>
      <c r="AQ1896" s="1"/>
      <c r="BG1896" s="1"/>
    </row>
    <row r="1897" spans="39:59">
      <c r="AM1897" s="2"/>
      <c r="AN1897" s="2"/>
      <c r="AQ1897" s="1"/>
      <c r="BG1897" s="1"/>
    </row>
    <row r="1898" spans="39:59">
      <c r="AM1898" s="2"/>
      <c r="AN1898" s="2"/>
      <c r="AQ1898" s="1"/>
      <c r="BG1898" s="1"/>
    </row>
    <row r="1899" spans="39:59">
      <c r="AM1899" s="2"/>
      <c r="AN1899" s="2"/>
      <c r="AQ1899" s="1"/>
      <c r="BG1899" s="1"/>
    </row>
    <row r="1900" spans="39:59">
      <c r="AM1900" s="2"/>
      <c r="AN1900" s="2"/>
      <c r="AQ1900" s="1"/>
      <c r="BG1900" s="1"/>
    </row>
    <row r="1901" spans="39:59">
      <c r="AM1901" s="2"/>
      <c r="AN1901" s="2"/>
      <c r="AQ1901" s="1"/>
      <c r="BG1901" s="1"/>
    </row>
    <row r="1902" spans="39:59">
      <c r="AM1902" s="2"/>
      <c r="AN1902" s="2"/>
      <c r="AQ1902" s="1"/>
      <c r="BG1902" s="1"/>
    </row>
    <row r="1903" spans="39:59">
      <c r="AM1903" s="2"/>
      <c r="AN1903" s="2"/>
      <c r="AQ1903" s="1"/>
      <c r="BG1903" s="1"/>
    </row>
    <row r="1904" spans="39:59">
      <c r="AM1904" s="2"/>
      <c r="AN1904" s="2"/>
      <c r="AQ1904" s="1"/>
      <c r="BG1904" s="1"/>
    </row>
    <row r="1905" spans="39:59">
      <c r="AM1905" s="2"/>
      <c r="AN1905" s="2"/>
      <c r="AQ1905" s="1"/>
      <c r="BG1905" s="1"/>
    </row>
    <row r="1906" spans="39:59">
      <c r="AM1906" s="2"/>
      <c r="AN1906" s="2"/>
      <c r="AQ1906" s="1"/>
      <c r="BG1906" s="1"/>
    </row>
    <row r="1907" spans="39:59">
      <c r="AM1907" s="2"/>
      <c r="AN1907" s="2"/>
      <c r="AQ1907" s="1"/>
      <c r="BG1907" s="1"/>
    </row>
    <row r="1908" spans="39:59">
      <c r="AM1908" s="2"/>
      <c r="AN1908" s="2"/>
      <c r="AQ1908" s="1"/>
      <c r="BG1908" s="1"/>
    </row>
    <row r="1909" spans="39:59">
      <c r="AM1909" s="2"/>
      <c r="AN1909" s="2"/>
      <c r="AQ1909" s="1"/>
      <c r="BG1909" s="1"/>
    </row>
    <row r="1910" spans="39:59">
      <c r="AM1910" s="2"/>
      <c r="AN1910" s="2"/>
      <c r="AQ1910" s="1"/>
      <c r="BG1910" s="1"/>
    </row>
    <row r="1911" spans="39:59">
      <c r="AM1911" s="2"/>
      <c r="AN1911" s="2"/>
      <c r="AQ1911" s="1"/>
      <c r="BG1911" s="1"/>
    </row>
    <row r="1912" spans="39:59">
      <c r="AM1912" s="2"/>
      <c r="AN1912" s="2"/>
      <c r="AQ1912" s="1"/>
      <c r="BG1912" s="1"/>
    </row>
    <row r="1913" spans="39:59">
      <c r="AM1913" s="2"/>
      <c r="AN1913" s="2"/>
      <c r="AQ1913" s="1"/>
      <c r="BG1913" s="1"/>
    </row>
    <row r="1914" spans="39:59">
      <c r="AM1914" s="2"/>
      <c r="AN1914" s="2"/>
      <c r="AQ1914" s="1"/>
      <c r="BG1914" s="1"/>
    </row>
    <row r="1915" spans="39:59">
      <c r="AM1915" s="2"/>
      <c r="AN1915" s="2"/>
      <c r="AQ1915" s="1"/>
      <c r="BG1915" s="1"/>
    </row>
    <row r="1916" spans="39:59">
      <c r="AM1916" s="2"/>
      <c r="AN1916" s="2"/>
      <c r="AQ1916" s="1"/>
      <c r="BG1916" s="1"/>
    </row>
    <row r="1917" spans="39:59">
      <c r="AM1917" s="2"/>
      <c r="AN1917" s="2"/>
      <c r="AQ1917" s="1"/>
      <c r="BG1917" s="1"/>
    </row>
    <row r="1918" spans="39:59">
      <c r="AM1918" s="2"/>
      <c r="AN1918" s="2"/>
      <c r="AQ1918" s="1"/>
      <c r="BG1918" s="1"/>
    </row>
    <row r="1919" spans="39:59">
      <c r="AM1919" s="2"/>
      <c r="AN1919" s="2"/>
      <c r="AQ1919" s="1"/>
      <c r="BG1919" s="1"/>
    </row>
    <row r="1920" spans="39:59">
      <c r="AM1920" s="2"/>
      <c r="AN1920" s="2"/>
      <c r="AQ1920" s="1"/>
      <c r="BG1920" s="1"/>
    </row>
    <row r="1921" spans="39:59">
      <c r="AM1921" s="2"/>
      <c r="AN1921" s="2"/>
      <c r="AQ1921" s="1"/>
      <c r="BG1921" s="1"/>
    </row>
    <row r="1922" spans="39:59">
      <c r="AM1922" s="2"/>
      <c r="AN1922" s="2"/>
      <c r="AQ1922" s="1"/>
      <c r="BG1922" s="1"/>
    </row>
    <row r="1923" spans="39:59">
      <c r="AM1923" s="2"/>
      <c r="AN1923" s="2"/>
      <c r="AQ1923" s="1"/>
      <c r="BG1923" s="1"/>
    </row>
    <row r="1924" spans="39:59">
      <c r="AM1924" s="2"/>
      <c r="AN1924" s="2"/>
      <c r="AQ1924" s="1"/>
      <c r="BG1924" s="1"/>
    </row>
    <row r="1925" spans="39:59">
      <c r="AM1925" s="2"/>
      <c r="AN1925" s="2"/>
      <c r="AQ1925" s="1"/>
      <c r="BG1925" s="1"/>
    </row>
    <row r="1926" spans="39:59">
      <c r="AM1926" s="2"/>
      <c r="AN1926" s="2"/>
      <c r="AQ1926" s="1"/>
      <c r="BG1926" s="1"/>
    </row>
    <row r="1927" spans="39:59">
      <c r="AM1927" s="2"/>
      <c r="AN1927" s="2"/>
      <c r="AQ1927" s="1"/>
      <c r="BG1927" s="1"/>
    </row>
    <row r="1928" spans="39:59">
      <c r="AM1928" s="2"/>
      <c r="AN1928" s="2"/>
      <c r="AQ1928" s="1"/>
      <c r="BG1928" s="1"/>
    </row>
    <row r="1929" spans="39:59">
      <c r="AM1929" s="2"/>
      <c r="AN1929" s="2"/>
      <c r="AQ1929" s="1"/>
      <c r="BG1929" s="1"/>
    </row>
    <row r="1930" spans="39:59">
      <c r="AM1930" s="2"/>
      <c r="AN1930" s="2"/>
      <c r="AQ1930" s="1"/>
      <c r="BG1930" s="1"/>
    </row>
    <row r="1931" spans="39:59">
      <c r="AM1931" s="2"/>
      <c r="AN1931" s="2"/>
      <c r="AQ1931" s="1"/>
      <c r="BG1931" s="1"/>
    </row>
    <row r="1932" spans="39:59">
      <c r="AM1932" s="2"/>
      <c r="AN1932" s="2"/>
      <c r="AQ1932" s="1"/>
      <c r="BG1932" s="1"/>
    </row>
    <row r="1933" spans="39:59">
      <c r="AM1933" s="2"/>
      <c r="AN1933" s="2"/>
      <c r="AQ1933" s="1"/>
      <c r="BG1933" s="1"/>
    </row>
    <row r="1934" spans="39:59">
      <c r="AM1934" s="2"/>
      <c r="AN1934" s="2"/>
      <c r="AQ1934" s="1"/>
      <c r="BG1934" s="1"/>
    </row>
    <row r="1935" spans="39:59">
      <c r="AM1935" s="2"/>
      <c r="AN1935" s="2"/>
      <c r="AQ1935" s="1"/>
      <c r="BG1935" s="1"/>
    </row>
    <row r="1936" spans="39:59">
      <c r="AM1936" s="2"/>
      <c r="AN1936" s="2"/>
      <c r="AQ1936" s="1"/>
      <c r="BG1936" s="1"/>
    </row>
    <row r="1937" spans="39:59">
      <c r="AM1937" s="2"/>
      <c r="AN1937" s="2"/>
      <c r="AQ1937" s="1"/>
      <c r="BG1937" s="1"/>
    </row>
    <row r="1938" spans="39:59">
      <c r="AM1938" s="2"/>
      <c r="AN1938" s="2"/>
      <c r="AQ1938" s="1"/>
      <c r="BG1938" s="1"/>
    </row>
    <row r="1939" spans="39:59">
      <c r="AM1939" s="2"/>
      <c r="AN1939" s="2"/>
      <c r="AQ1939" s="1"/>
      <c r="BG1939" s="1"/>
    </row>
    <row r="1940" spans="39:59">
      <c r="AM1940" s="2"/>
      <c r="AN1940" s="2"/>
      <c r="AQ1940" s="1"/>
      <c r="BG1940" s="1"/>
    </row>
    <row r="1941" spans="39:59">
      <c r="AM1941" s="2"/>
      <c r="AN1941" s="2"/>
      <c r="AQ1941" s="1"/>
      <c r="BG1941" s="1"/>
    </row>
    <row r="1942" spans="39:59">
      <c r="AM1942" s="2"/>
      <c r="AN1942" s="2"/>
      <c r="AQ1942" s="1"/>
      <c r="BG1942" s="1"/>
    </row>
    <row r="1943" spans="39:59">
      <c r="AM1943" s="2"/>
      <c r="AN1943" s="2"/>
      <c r="AQ1943" s="1"/>
      <c r="BG1943" s="1"/>
    </row>
    <row r="1944" spans="39:59">
      <c r="AM1944" s="2"/>
      <c r="AN1944" s="2"/>
      <c r="AQ1944" s="1"/>
      <c r="BG1944" s="1"/>
    </row>
    <row r="1945" spans="39:59">
      <c r="AM1945" s="2"/>
      <c r="AN1945" s="2"/>
      <c r="AQ1945" s="1"/>
      <c r="BG1945" s="1"/>
    </row>
    <row r="1946" spans="39:59">
      <c r="AM1946" s="2"/>
      <c r="AN1946" s="2"/>
      <c r="AQ1946" s="1"/>
      <c r="BG1946" s="1"/>
    </row>
    <row r="1947" spans="39:59">
      <c r="AM1947" s="2"/>
      <c r="AN1947" s="2"/>
      <c r="AQ1947" s="1"/>
      <c r="BG1947" s="1"/>
    </row>
    <row r="1948" spans="39:59">
      <c r="AM1948" s="2"/>
      <c r="AN1948" s="2"/>
      <c r="AQ1948" s="1"/>
      <c r="BG1948" s="1"/>
    </row>
    <row r="1949" spans="39:59">
      <c r="AM1949" s="2"/>
      <c r="AN1949" s="2"/>
      <c r="AQ1949" s="1"/>
      <c r="BG1949" s="1"/>
    </row>
    <row r="1950" spans="39:59">
      <c r="AM1950" s="2"/>
      <c r="AN1950" s="2"/>
      <c r="AQ1950" s="1"/>
      <c r="BG1950" s="1"/>
    </row>
    <row r="1951" spans="39:59">
      <c r="AM1951" s="2"/>
      <c r="AN1951" s="2"/>
      <c r="AQ1951" s="1"/>
      <c r="BG1951" s="1"/>
    </row>
    <row r="1952" spans="39:59">
      <c r="AM1952" s="2"/>
      <c r="AN1952" s="2"/>
      <c r="AQ1952" s="1"/>
      <c r="BG1952" s="1"/>
    </row>
    <row r="1953" spans="39:59">
      <c r="AM1953" s="2"/>
      <c r="AN1953" s="2"/>
      <c r="AQ1953" s="1"/>
      <c r="BG1953" s="1"/>
    </row>
    <row r="1954" spans="39:59">
      <c r="AM1954" s="2"/>
      <c r="AN1954" s="2"/>
      <c r="AQ1954" s="1"/>
      <c r="BG1954" s="1"/>
    </row>
    <row r="1955" spans="39:59">
      <c r="AM1955" s="2"/>
      <c r="AN1955" s="2"/>
      <c r="AQ1955" s="1"/>
      <c r="BG1955" s="1"/>
    </row>
    <row r="1956" spans="39:59">
      <c r="AM1956" s="2"/>
      <c r="AN1956" s="2"/>
      <c r="AQ1956" s="1"/>
      <c r="BG1956" s="1"/>
    </row>
    <row r="1957" spans="39:59">
      <c r="AM1957" s="2"/>
      <c r="AN1957" s="2"/>
      <c r="AQ1957" s="1"/>
      <c r="BG1957" s="1"/>
    </row>
    <row r="1958" spans="39:59">
      <c r="AM1958" s="2"/>
      <c r="AN1958" s="2"/>
      <c r="AQ1958" s="1"/>
      <c r="BG1958" s="1"/>
    </row>
    <row r="1959" spans="39:59">
      <c r="AM1959" s="2"/>
      <c r="AN1959" s="2"/>
      <c r="AQ1959" s="1"/>
      <c r="BG1959" s="1"/>
    </row>
    <row r="1960" spans="39:59">
      <c r="AM1960" s="2"/>
      <c r="AN1960" s="2"/>
      <c r="AQ1960" s="1"/>
      <c r="BG1960" s="1"/>
    </row>
    <row r="1961" spans="39:59">
      <c r="AM1961" s="2"/>
      <c r="AN1961" s="2"/>
      <c r="AQ1961" s="1"/>
      <c r="BG1961" s="1"/>
    </row>
    <row r="1962" spans="39:59">
      <c r="AM1962" s="2"/>
      <c r="AN1962" s="2"/>
      <c r="AQ1962" s="1"/>
      <c r="BG1962" s="1"/>
    </row>
    <row r="1963" spans="39:59">
      <c r="AM1963" s="2"/>
      <c r="AN1963" s="2"/>
      <c r="AQ1963" s="1"/>
      <c r="BG1963" s="1"/>
    </row>
    <row r="1964" spans="39:59">
      <c r="AM1964" s="2"/>
      <c r="AN1964" s="2"/>
      <c r="AQ1964" s="1"/>
      <c r="BG1964" s="1"/>
    </row>
    <row r="1965" spans="39:59">
      <c r="AM1965" s="2"/>
      <c r="AN1965" s="2"/>
      <c r="AQ1965" s="1"/>
      <c r="BG1965" s="1"/>
    </row>
    <row r="1966" spans="39:59">
      <c r="AM1966" s="2"/>
      <c r="AN1966" s="2"/>
      <c r="AQ1966" s="1"/>
      <c r="BG1966" s="1"/>
    </row>
    <row r="1967" spans="39:59">
      <c r="AM1967" s="2"/>
      <c r="AN1967" s="2"/>
      <c r="AQ1967" s="1"/>
      <c r="BG1967" s="1"/>
    </row>
    <row r="1968" spans="39:59">
      <c r="AM1968" s="2"/>
      <c r="AN1968" s="2"/>
      <c r="AQ1968" s="1"/>
      <c r="BG1968" s="1"/>
    </row>
    <row r="1969" spans="39:59">
      <c r="AM1969" s="2"/>
      <c r="AN1969" s="2"/>
      <c r="AQ1969" s="1"/>
      <c r="BG1969" s="1"/>
    </row>
    <row r="1970" spans="39:59">
      <c r="AM1970" s="2"/>
      <c r="AN1970" s="2"/>
      <c r="AQ1970" s="1"/>
      <c r="BG1970" s="1"/>
    </row>
    <row r="1971" spans="39:59">
      <c r="AM1971" s="2"/>
      <c r="AN1971" s="2"/>
      <c r="AQ1971" s="1"/>
      <c r="BG1971" s="1"/>
    </row>
    <row r="1972" spans="39:59">
      <c r="AM1972" s="2"/>
      <c r="AN1972" s="2"/>
      <c r="AQ1972" s="1"/>
      <c r="BG1972" s="1"/>
    </row>
    <row r="1973" spans="39:59">
      <c r="AM1973" s="2"/>
      <c r="AN1973" s="2"/>
      <c r="AQ1973" s="1"/>
      <c r="BG1973" s="1"/>
    </row>
    <row r="1974" spans="39:59">
      <c r="AM1974" s="2"/>
      <c r="AN1974" s="2"/>
      <c r="AQ1974" s="1"/>
      <c r="BG1974" s="1"/>
    </row>
    <row r="1975" spans="39:59">
      <c r="AM1975" s="2"/>
      <c r="AN1975" s="2"/>
      <c r="AQ1975" s="1"/>
      <c r="BG1975" s="1"/>
    </row>
    <row r="1976" spans="39:59">
      <c r="AM1976" s="2"/>
      <c r="AN1976" s="2"/>
      <c r="AQ1976" s="1"/>
      <c r="BG1976" s="1"/>
    </row>
    <row r="1977" spans="39:59">
      <c r="AM1977" s="2"/>
      <c r="AN1977" s="2"/>
      <c r="AQ1977" s="1"/>
      <c r="BG1977" s="1"/>
    </row>
    <row r="1978" spans="39:59">
      <c r="AM1978" s="2"/>
      <c r="AN1978" s="2"/>
      <c r="AQ1978" s="1"/>
      <c r="BG1978" s="1"/>
    </row>
    <row r="1979" spans="39:59">
      <c r="AM1979" s="2"/>
      <c r="AN1979" s="2"/>
      <c r="AQ1979" s="1"/>
      <c r="BG1979" s="1"/>
    </row>
    <row r="1980" spans="39:59">
      <c r="AM1980" s="2"/>
      <c r="AN1980" s="2"/>
      <c r="AQ1980" s="1"/>
      <c r="BG1980" s="1"/>
    </row>
    <row r="1981" spans="39:59">
      <c r="AM1981" s="2"/>
      <c r="AN1981" s="2"/>
      <c r="AQ1981" s="1"/>
      <c r="BG1981" s="1"/>
    </row>
    <row r="1982" spans="39:59">
      <c r="AM1982" s="2"/>
      <c r="AN1982" s="2"/>
      <c r="AQ1982" s="1"/>
      <c r="BG1982" s="1"/>
    </row>
    <row r="1983" spans="39:59">
      <c r="AM1983" s="2"/>
      <c r="AN1983" s="2"/>
      <c r="AQ1983" s="1"/>
      <c r="BG1983" s="1"/>
    </row>
    <row r="1984" spans="39:59">
      <c r="AM1984" s="2"/>
      <c r="AN1984" s="2"/>
      <c r="AQ1984" s="1"/>
      <c r="BG1984" s="1"/>
    </row>
    <row r="1985" spans="39:59">
      <c r="AM1985" s="2"/>
      <c r="AN1985" s="2"/>
      <c r="AQ1985" s="1"/>
      <c r="BG1985" s="1"/>
    </row>
    <row r="1986" spans="39:59">
      <c r="AM1986" s="2"/>
      <c r="AN1986" s="2"/>
      <c r="AQ1986" s="1"/>
      <c r="BG1986" s="1"/>
    </row>
    <row r="1987" spans="39:59">
      <c r="AM1987" s="2"/>
      <c r="AN1987" s="2"/>
      <c r="AQ1987" s="1"/>
      <c r="BG1987" s="1"/>
    </row>
    <row r="1988" spans="39:59">
      <c r="AM1988" s="2"/>
      <c r="AN1988" s="2"/>
      <c r="AQ1988" s="1"/>
      <c r="BG1988" s="1"/>
    </row>
    <row r="1989" spans="39:59">
      <c r="AM1989" s="2"/>
      <c r="AN1989" s="2"/>
      <c r="AQ1989" s="1"/>
      <c r="BG1989" s="1"/>
    </row>
    <row r="1990" spans="39:59">
      <c r="AM1990" s="2"/>
      <c r="AN1990" s="2"/>
      <c r="AQ1990" s="1"/>
      <c r="BG1990" s="1"/>
    </row>
    <row r="1991" spans="39:59">
      <c r="AM1991" s="2"/>
      <c r="AN1991" s="2"/>
      <c r="AQ1991" s="1"/>
      <c r="BG1991" s="1"/>
    </row>
    <row r="1992" spans="39:59">
      <c r="AM1992" s="2"/>
      <c r="AN1992" s="2"/>
      <c r="AQ1992" s="1"/>
      <c r="BG1992" s="1"/>
    </row>
    <row r="1993" spans="39:59">
      <c r="AM1993" s="2"/>
      <c r="AN1993" s="2"/>
      <c r="AQ1993" s="1"/>
      <c r="BG1993" s="1"/>
    </row>
    <row r="1994" spans="39:59">
      <c r="AM1994" s="2"/>
      <c r="AN1994" s="2"/>
      <c r="AQ1994" s="1"/>
      <c r="BG1994" s="1"/>
    </row>
    <row r="1995" spans="39:59">
      <c r="AM1995" s="2"/>
      <c r="AN1995" s="2"/>
      <c r="AQ1995" s="1"/>
      <c r="BG1995" s="1"/>
    </row>
    <row r="1996" spans="39:59">
      <c r="AM1996" s="2"/>
      <c r="AN1996" s="2"/>
      <c r="AQ1996" s="1"/>
      <c r="BG1996" s="1"/>
    </row>
    <row r="1997" spans="39:59">
      <c r="AM1997" s="2"/>
      <c r="AN1997" s="2"/>
      <c r="AQ1997" s="1"/>
      <c r="BG1997" s="1"/>
    </row>
    <row r="1998" spans="39:59">
      <c r="AM1998" s="2"/>
      <c r="AN1998" s="2"/>
      <c r="AQ1998" s="1"/>
      <c r="BG1998" s="1"/>
    </row>
    <row r="1999" spans="39:59">
      <c r="AM1999" s="2"/>
      <c r="AN1999" s="2"/>
      <c r="AQ1999" s="1"/>
      <c r="BG1999" s="1"/>
    </row>
    <row r="2000" spans="39:59">
      <c r="AM2000" s="2"/>
      <c r="AN2000" s="2"/>
      <c r="AQ2000" s="1"/>
      <c r="BG2000" s="1"/>
    </row>
    <row r="2001" spans="39:59">
      <c r="AM2001" s="2"/>
      <c r="AN2001" s="2"/>
      <c r="AQ2001" s="1"/>
      <c r="BG2001" s="1"/>
    </row>
    <row r="2002" spans="39:59">
      <c r="AM2002" s="2"/>
      <c r="AN2002" s="2"/>
      <c r="AQ2002" s="1"/>
      <c r="BG2002" s="1"/>
    </row>
    <row r="2003" spans="39:59">
      <c r="AM2003" s="2"/>
      <c r="AN2003" s="2"/>
      <c r="AQ2003" s="1"/>
      <c r="BG2003" s="1"/>
    </row>
    <row r="2004" spans="39:59">
      <c r="AM2004" s="2"/>
      <c r="AN2004" s="2"/>
      <c r="AQ2004" s="1"/>
      <c r="BG2004" s="1"/>
    </row>
    <row r="2005" spans="39:59">
      <c r="AM2005" s="2"/>
      <c r="AN2005" s="2"/>
      <c r="AQ2005" s="1"/>
      <c r="BG2005" s="1"/>
    </row>
    <row r="2006" spans="39:59">
      <c r="AM2006" s="2"/>
      <c r="AN2006" s="2"/>
      <c r="AQ2006" s="1"/>
      <c r="BG2006" s="1"/>
    </row>
    <row r="2007" spans="39:59">
      <c r="AM2007" s="2"/>
      <c r="AN2007" s="2"/>
      <c r="AQ2007" s="1"/>
      <c r="BG2007" s="1"/>
    </row>
    <row r="2008" spans="39:59">
      <c r="AM2008" s="2"/>
      <c r="AN2008" s="2"/>
      <c r="AQ2008" s="1"/>
      <c r="BG2008" s="1"/>
    </row>
    <row r="2009" spans="39:59">
      <c r="AM2009" s="2"/>
      <c r="AN2009" s="2"/>
      <c r="AQ2009" s="1"/>
      <c r="BG2009" s="1"/>
    </row>
    <row r="2010" spans="39:59">
      <c r="AM2010" s="2"/>
      <c r="AN2010" s="2"/>
      <c r="AQ2010" s="1"/>
      <c r="BG2010" s="1"/>
    </row>
    <row r="2011" spans="39:59">
      <c r="AM2011" s="2"/>
      <c r="AN2011" s="2"/>
      <c r="AQ2011" s="1"/>
      <c r="BG2011" s="1"/>
    </row>
    <row r="2012" spans="39:59">
      <c r="AM2012" s="2"/>
      <c r="AN2012" s="2"/>
      <c r="AQ2012" s="1"/>
      <c r="BG2012" s="1"/>
    </row>
    <row r="2013" spans="39:59">
      <c r="AM2013" s="2"/>
      <c r="AN2013" s="2"/>
      <c r="AQ2013" s="1"/>
      <c r="BG2013" s="1"/>
    </row>
    <row r="2014" spans="39:59">
      <c r="AM2014" s="2"/>
      <c r="AN2014" s="2"/>
      <c r="AQ2014" s="1"/>
      <c r="BG2014" s="1"/>
    </row>
    <row r="2015" spans="39:59">
      <c r="AM2015" s="2"/>
      <c r="AN2015" s="2"/>
      <c r="AQ2015" s="1"/>
      <c r="BG2015" s="1"/>
    </row>
    <row r="2016" spans="39:59">
      <c r="AM2016" s="2"/>
      <c r="AN2016" s="2"/>
      <c r="AQ2016" s="1"/>
      <c r="BG2016" s="1"/>
    </row>
    <row r="2017" spans="39:59">
      <c r="AM2017" s="2"/>
      <c r="AN2017" s="2"/>
      <c r="AQ2017" s="1"/>
      <c r="BG2017" s="1"/>
    </row>
    <row r="2018" spans="39:59">
      <c r="AM2018" s="2"/>
      <c r="AN2018" s="2"/>
      <c r="AQ2018" s="1"/>
      <c r="BG2018" s="1"/>
    </row>
    <row r="2019" spans="39:59">
      <c r="AM2019" s="2"/>
      <c r="AN2019" s="2"/>
      <c r="AQ2019" s="1"/>
      <c r="BG2019" s="1"/>
    </row>
    <row r="2020" spans="39:59">
      <c r="AM2020" s="2"/>
      <c r="AN2020" s="2"/>
      <c r="AQ2020" s="1"/>
      <c r="BG2020" s="1"/>
    </row>
    <row r="2021" spans="39:59">
      <c r="AM2021" s="2"/>
      <c r="AN2021" s="2"/>
      <c r="AQ2021" s="1"/>
      <c r="BG2021" s="1"/>
    </row>
    <row r="2022" spans="39:59">
      <c r="AM2022" s="2"/>
      <c r="AN2022" s="2"/>
      <c r="AQ2022" s="1"/>
      <c r="BG2022" s="1"/>
    </row>
    <row r="2023" spans="39:59">
      <c r="AM2023" s="2"/>
      <c r="AN2023" s="2"/>
      <c r="AQ2023" s="1"/>
      <c r="BG2023" s="1"/>
    </row>
    <row r="2024" spans="39:59">
      <c r="AM2024" s="2"/>
      <c r="AN2024" s="2"/>
      <c r="AQ2024" s="1"/>
      <c r="BG2024" s="1"/>
    </row>
    <row r="2025" spans="39:59">
      <c r="AM2025" s="2"/>
      <c r="AN2025" s="2"/>
      <c r="AQ2025" s="1"/>
      <c r="BG2025" s="1"/>
    </row>
    <row r="2026" spans="39:59">
      <c r="AM2026" s="2"/>
      <c r="AN2026" s="2"/>
      <c r="AQ2026" s="1"/>
      <c r="BG2026" s="1"/>
    </row>
    <row r="2027" spans="39:59">
      <c r="AM2027" s="2"/>
      <c r="AN2027" s="2"/>
      <c r="AQ2027" s="1"/>
      <c r="BG2027" s="1"/>
    </row>
    <row r="2028" spans="39:59">
      <c r="AM2028" s="2"/>
      <c r="AN2028" s="2"/>
      <c r="AQ2028" s="1"/>
      <c r="BG2028" s="1"/>
    </row>
    <row r="2029" spans="39:59">
      <c r="AM2029" s="2"/>
      <c r="AN2029" s="2"/>
      <c r="AQ2029" s="1"/>
      <c r="BG2029" s="1"/>
    </row>
    <row r="2030" spans="39:59">
      <c r="AM2030" s="2"/>
      <c r="AN2030" s="2"/>
      <c r="AQ2030" s="1"/>
      <c r="BG2030" s="1"/>
    </row>
    <row r="2031" spans="39:59">
      <c r="AM2031" s="2"/>
      <c r="AN2031" s="2"/>
      <c r="AQ2031" s="1"/>
      <c r="BG2031" s="1"/>
    </row>
    <row r="2032" spans="39:59">
      <c r="AM2032" s="2"/>
      <c r="AN2032" s="2"/>
      <c r="AQ2032" s="1"/>
      <c r="BG2032" s="1"/>
    </row>
    <row r="2033" spans="39:59">
      <c r="AM2033" s="2"/>
      <c r="AN2033" s="2"/>
      <c r="AQ2033" s="1"/>
      <c r="BG2033" s="1"/>
    </row>
    <row r="2034" spans="39:59">
      <c r="AM2034" s="2"/>
      <c r="AN2034" s="2"/>
      <c r="AQ2034" s="1"/>
      <c r="BG2034" s="1"/>
    </row>
    <row r="2035" spans="39:59">
      <c r="AM2035" s="2"/>
      <c r="AN2035" s="2"/>
      <c r="AQ2035" s="1"/>
      <c r="BG2035" s="1"/>
    </row>
    <row r="2036" spans="39:59">
      <c r="AM2036" s="2"/>
      <c r="AN2036" s="2"/>
      <c r="AQ2036" s="1"/>
      <c r="BG2036" s="1"/>
    </row>
    <row r="2037" spans="39:59">
      <c r="AM2037" s="2"/>
      <c r="AN2037" s="2"/>
      <c r="AQ2037" s="1"/>
      <c r="BG2037" s="1"/>
    </row>
    <row r="2038" spans="39:59">
      <c r="AM2038" s="2"/>
      <c r="AN2038" s="2"/>
      <c r="AQ2038" s="1"/>
      <c r="BG2038" s="1"/>
    </row>
    <row r="2039" spans="39:59">
      <c r="AM2039" s="2"/>
      <c r="AN2039" s="2"/>
      <c r="AQ2039" s="1"/>
      <c r="BG2039" s="1"/>
    </row>
    <row r="2040" spans="39:59">
      <c r="AM2040" s="2"/>
      <c r="AN2040" s="2"/>
      <c r="AQ2040" s="1"/>
      <c r="BG2040" s="1"/>
    </row>
    <row r="2041" spans="39:59">
      <c r="AM2041" s="2"/>
      <c r="AN2041" s="2"/>
      <c r="AQ2041" s="1"/>
      <c r="BG2041" s="1"/>
    </row>
    <row r="2042" spans="39:59">
      <c r="AM2042" s="2"/>
      <c r="AN2042" s="2"/>
      <c r="AQ2042" s="1"/>
      <c r="BG2042" s="1"/>
    </row>
    <row r="2043" spans="39:59">
      <c r="AM2043" s="2"/>
      <c r="AN2043" s="2"/>
      <c r="AQ2043" s="1"/>
      <c r="BG2043" s="1"/>
    </row>
    <row r="2044" spans="39:59">
      <c r="AM2044" s="2"/>
      <c r="AN2044" s="2"/>
      <c r="AQ2044" s="1"/>
      <c r="BG2044" s="1"/>
    </row>
    <row r="2045" spans="39:59">
      <c r="AM2045" s="2"/>
      <c r="AN2045" s="2"/>
      <c r="AQ2045" s="1"/>
      <c r="BG2045" s="1"/>
    </row>
    <row r="2046" spans="39:59">
      <c r="AM2046" s="2"/>
      <c r="AN2046" s="2"/>
      <c r="AQ2046" s="1"/>
      <c r="BG2046" s="1"/>
    </row>
    <row r="2047" spans="39:59">
      <c r="AM2047" s="2"/>
      <c r="AN2047" s="2"/>
      <c r="AQ2047" s="1"/>
      <c r="BG2047" s="1"/>
    </row>
    <row r="2048" spans="39:59">
      <c r="AM2048" s="2"/>
      <c r="AN2048" s="2"/>
      <c r="AQ2048" s="1"/>
      <c r="BG2048" s="1"/>
    </row>
    <row r="2049" spans="39:81">
      <c r="AM2049" s="2"/>
      <c r="AN2049" s="2"/>
      <c r="AQ2049" s="1"/>
      <c r="BG2049" s="1"/>
    </row>
    <row r="2050" spans="39:81">
      <c r="AM2050" s="2"/>
      <c r="AN2050" s="2"/>
      <c r="AQ2050" s="1"/>
      <c r="BG2050" s="1"/>
    </row>
    <row r="2051" spans="39:81">
      <c r="AM2051" s="2"/>
      <c r="AN2051" s="2"/>
      <c r="AQ2051" s="1"/>
    </row>
    <row r="2052" spans="39:81">
      <c r="AM2052" s="2"/>
      <c r="AN2052" s="2"/>
      <c r="AS2052">
        <v>-11.158836132284099</v>
      </c>
      <c r="AT2052">
        <v>-18.289072400985798</v>
      </c>
      <c r="CB2052">
        <v>-11.158836132284099</v>
      </c>
      <c r="CC2052">
        <v>-7.1416551246618303</v>
      </c>
    </row>
    <row r="2053" spans="39:81">
      <c r="AM2053" s="2"/>
      <c r="AN2053" s="2"/>
      <c r="AS2053">
        <v>-11.3022678277793</v>
      </c>
      <c r="AT2053">
        <v>-17.0687357440776</v>
      </c>
      <c r="CB2053">
        <v>-11.3022678277793</v>
      </c>
      <c r="CC2053">
        <v>-7.2334514097787999</v>
      </c>
    </row>
    <row r="2054" spans="39:81">
      <c r="AM2054" s="2"/>
      <c r="AN2054" s="2"/>
      <c r="AS2054">
        <v>-11.4435850033737</v>
      </c>
      <c r="AT2054">
        <v>-15.927762460092501</v>
      </c>
      <c r="CB2054">
        <v>-11.4435850033737</v>
      </c>
      <c r="CC2054">
        <v>-7.3238944021592003</v>
      </c>
    </row>
    <row r="2055" spans="39:81">
      <c r="AM2055" s="2"/>
      <c r="AN2055" s="2"/>
      <c r="AS2055">
        <v>-11.5130096002573</v>
      </c>
      <c r="AT2055">
        <v>-14.6802922320325</v>
      </c>
      <c r="CB2055">
        <v>-11.5130096002573</v>
      </c>
      <c r="CC2055">
        <v>-7.3683261441647101</v>
      </c>
    </row>
    <row r="2056" spans="39:81">
      <c r="AM2056" s="2"/>
      <c r="AN2056" s="2"/>
      <c r="AS2056">
        <v>-11.6153976686379</v>
      </c>
      <c r="AT2056">
        <v>-13.740624695813599</v>
      </c>
      <c r="CB2056">
        <v>-11.6153976686379</v>
      </c>
      <c r="CC2056">
        <v>-7.4338545079282801</v>
      </c>
    </row>
    <row r="2057" spans="39:81">
      <c r="AM2057" s="2"/>
      <c r="AN2057" s="2"/>
      <c r="AS2057">
        <v>-11.663010651296</v>
      </c>
      <c r="AT2057">
        <v>-12.470236516785601</v>
      </c>
      <c r="CB2057">
        <v>-11.663010651296</v>
      </c>
      <c r="CC2057">
        <v>-7.4643268168294696</v>
      </c>
    </row>
    <row r="2058" spans="39:81">
      <c r="AM2058" s="2"/>
      <c r="AN2058" s="2"/>
      <c r="AS2058">
        <v>-11.6921054191432</v>
      </c>
      <c r="AT2058">
        <v>-11.2587520152249</v>
      </c>
      <c r="CB2058">
        <v>-11.6921054191432</v>
      </c>
      <c r="CC2058">
        <v>-7.4829474682516599</v>
      </c>
    </row>
    <row r="2059" spans="39:81">
      <c r="AM2059" s="2"/>
      <c r="AN2059" s="2"/>
      <c r="AS2059">
        <v>-11.7587334679113</v>
      </c>
      <c r="AT2059">
        <v>-9.9291690720733001</v>
      </c>
      <c r="CB2059">
        <v>-11.7587334679113</v>
      </c>
      <c r="CC2059">
        <v>-7.5255894194632704</v>
      </c>
    </row>
    <row r="2060" spans="39:81">
      <c r="AM2060" s="2"/>
      <c r="AN2060" s="2"/>
      <c r="AS2060">
        <v>-11.787852760359</v>
      </c>
      <c r="AT2060">
        <v>-8.3038714657405404</v>
      </c>
      <c r="CB2060">
        <v>-11.787852760359</v>
      </c>
      <c r="CC2060">
        <v>-7.5442257666297898</v>
      </c>
    </row>
    <row r="2061" spans="39:81">
      <c r="AM2061" s="2"/>
      <c r="AN2061" s="2"/>
      <c r="AS2061">
        <v>-11.867210983268301</v>
      </c>
      <c r="AT2061">
        <v>-7.0037492095451599</v>
      </c>
      <c r="CB2061">
        <v>-11.867210983268301</v>
      </c>
      <c r="CC2061">
        <v>-7.5950150292917096</v>
      </c>
    </row>
    <row r="2062" spans="39:81">
      <c r="AM2062" s="2"/>
      <c r="AN2062" s="2"/>
      <c r="AS2062">
        <v>-11.9388584749858</v>
      </c>
      <c r="AT2062">
        <v>-5.5535521314187202</v>
      </c>
      <c r="CB2062">
        <v>-11.9388584749858</v>
      </c>
      <c r="CC2062">
        <v>-7.6408694239909201</v>
      </c>
    </row>
    <row r="2063" spans="39:81">
      <c r="AM2063" s="2"/>
      <c r="AN2063" s="2"/>
      <c r="AS2063">
        <v>-11.9593282198691</v>
      </c>
      <c r="AT2063">
        <v>-4.3836952110023404</v>
      </c>
      <c r="CB2063">
        <v>-11.9593282198691</v>
      </c>
      <c r="CC2063">
        <v>-7.6539700607162704</v>
      </c>
    </row>
    <row r="2064" spans="39:81">
      <c r="AM2064" s="2"/>
      <c r="AN2064" s="2"/>
      <c r="AS2064">
        <v>-11.979335046500699</v>
      </c>
      <c r="AT2064">
        <v>-3.3338585908126102</v>
      </c>
      <c r="CB2064">
        <v>-11.979335046500699</v>
      </c>
      <c r="CC2064">
        <v>-7.6667744297604798</v>
      </c>
    </row>
    <row r="2065" spans="39:81">
      <c r="AM2065" s="2"/>
      <c r="AN2065" s="2"/>
      <c r="AS2065">
        <v>-11.9327500781485</v>
      </c>
      <c r="AT2065">
        <v>-2.1069940206256601</v>
      </c>
      <c r="CB2065">
        <v>-11.9327500781485</v>
      </c>
      <c r="CC2065">
        <v>-7.6369600500150803</v>
      </c>
    </row>
    <row r="2066" spans="39:81">
      <c r="AM2066" s="2"/>
      <c r="AN2066" s="2"/>
      <c r="AS2066">
        <v>-11.8889783172619</v>
      </c>
      <c r="AT2066">
        <v>-0.77384535943423305</v>
      </c>
      <c r="CB2066">
        <v>-11.8889783172619</v>
      </c>
      <c r="CC2066">
        <v>-7.6089461230476498</v>
      </c>
    </row>
    <row r="2067" spans="39:81">
      <c r="AM2067" s="2"/>
      <c r="AN2067" s="2"/>
      <c r="AS2067">
        <v>-11.8912315495692</v>
      </c>
      <c r="AT2067">
        <v>0.71589248516339399</v>
      </c>
      <c r="CB2067">
        <v>-11.8912315495692</v>
      </c>
      <c r="CC2067">
        <v>-7.6103881917243097</v>
      </c>
    </row>
    <row r="2068" spans="39:81">
      <c r="AM2068" s="2"/>
      <c r="AN2068" s="2"/>
      <c r="AS2068">
        <v>-11.868189329176801</v>
      </c>
      <c r="AT2068">
        <v>2.2979100701352402</v>
      </c>
      <c r="CB2068">
        <v>-11.868189329176801</v>
      </c>
      <c r="CC2068">
        <v>-7.5956411706731899</v>
      </c>
    </row>
    <row r="2069" spans="39:81">
      <c r="AM2069" s="2"/>
      <c r="AN2069" s="2"/>
      <c r="AS2069">
        <v>-11.8720595279365</v>
      </c>
      <c r="AT2069">
        <v>3.7246274024916199</v>
      </c>
      <c r="CB2069">
        <v>-11.8720595279365</v>
      </c>
      <c r="CC2069">
        <v>-7.5981180978793796</v>
      </c>
    </row>
    <row r="2070" spans="39:81">
      <c r="AM2070" s="2"/>
      <c r="AN2070" s="2"/>
      <c r="AS2070">
        <v>-11.845805873044799</v>
      </c>
      <c r="AT2070">
        <v>4.9096458904063596</v>
      </c>
      <c r="CB2070">
        <v>-11.845805873044799</v>
      </c>
      <c r="CC2070">
        <v>-7.5813157587486701</v>
      </c>
    </row>
    <row r="2071" spans="39:81">
      <c r="AM2071" s="2"/>
      <c r="AN2071" s="2"/>
      <c r="AS2071">
        <v>-11.756113054784199</v>
      </c>
      <c r="AT2071">
        <v>6.1397538091554704</v>
      </c>
      <c r="CB2071">
        <v>-11.756113054784199</v>
      </c>
      <c r="CC2071">
        <v>-7.5239123550619196</v>
      </c>
    </row>
    <row r="2072" spans="39:81">
      <c r="AM2072" s="2"/>
      <c r="AN2072" s="2"/>
      <c r="AS2072">
        <v>-11.7019043782295</v>
      </c>
      <c r="AT2072">
        <v>7.2055255649154004</v>
      </c>
      <c r="CB2072">
        <v>-11.7019043782295</v>
      </c>
      <c r="CC2072">
        <v>-7.4892188020669099</v>
      </c>
    </row>
    <row r="2073" spans="39:81">
      <c r="AM2073" s="2"/>
      <c r="AN2073" s="2"/>
      <c r="AS2073">
        <v>-11.6195195141428</v>
      </c>
      <c r="AT2073">
        <v>8.5591617388963908</v>
      </c>
      <c r="CB2073">
        <v>-11.6195195141428</v>
      </c>
      <c r="CC2073">
        <v>-7.4364924890514299</v>
      </c>
    </row>
    <row r="2074" spans="39:81">
      <c r="AM2074" s="2"/>
      <c r="AN2074" s="2"/>
      <c r="AS2074">
        <v>-11.551351816621899</v>
      </c>
      <c r="AT2074">
        <v>9.9294047790586095</v>
      </c>
      <c r="CB2074">
        <v>-11.551351816621899</v>
      </c>
      <c r="CC2074">
        <v>-7.3928651626380502</v>
      </c>
    </row>
    <row r="2075" spans="39:81">
      <c r="AM2075" s="2"/>
      <c r="AN2075" s="2"/>
      <c r="AS2075">
        <v>-11.513512221643101</v>
      </c>
      <c r="AT2075">
        <v>11.1555865172817</v>
      </c>
      <c r="CB2075">
        <v>-11.513512221643101</v>
      </c>
      <c r="CC2075">
        <v>-7.3686478218516198</v>
      </c>
    </row>
    <row r="2076" spans="39:81">
      <c r="AM2076" s="2"/>
      <c r="AN2076" s="2"/>
      <c r="AS2076">
        <v>-11.420399554777401</v>
      </c>
      <c r="AT2076">
        <v>12.605418012299101</v>
      </c>
      <c r="CB2076">
        <v>-11.420399554777401</v>
      </c>
      <c r="CC2076">
        <v>-7.3090557150575499</v>
      </c>
    </row>
    <row r="2077" spans="39:81">
      <c r="AM2077" s="2"/>
      <c r="AN2077" s="2"/>
      <c r="AS2077">
        <v>-11.361834238059201</v>
      </c>
      <c r="AT2077">
        <v>13.8102439612318</v>
      </c>
      <c r="CB2077">
        <v>-11.361834238059201</v>
      </c>
      <c r="CC2077">
        <v>-7.2715739123579102</v>
      </c>
    </row>
    <row r="2078" spans="39:81">
      <c r="AM2078" s="2"/>
      <c r="AN2078" s="2"/>
      <c r="AS2078">
        <v>-11.269989523764201</v>
      </c>
      <c r="AT2078">
        <v>15.070086881412999</v>
      </c>
      <c r="CB2078">
        <v>-11.269989523764201</v>
      </c>
      <c r="CC2078">
        <v>-7.2127932952090896</v>
      </c>
    </row>
    <row r="2079" spans="39:81">
      <c r="AM2079" s="2"/>
      <c r="AN2079" s="2"/>
      <c r="AS2079">
        <v>-11.153443450924801</v>
      </c>
      <c r="AT2079">
        <v>16.152800183434401</v>
      </c>
      <c r="CB2079">
        <v>-11.153443450924801</v>
      </c>
      <c r="CC2079">
        <v>-7.1382038085918902</v>
      </c>
    </row>
    <row r="2080" spans="39:81">
      <c r="AM2080" s="2"/>
      <c r="AN2080" s="2"/>
      <c r="AS2080">
        <v>-11.0652315038431</v>
      </c>
      <c r="AT2080">
        <v>17.220696320502</v>
      </c>
      <c r="CB2080">
        <v>-11.0652315038431</v>
      </c>
      <c r="CC2080">
        <v>-7.0817481624595802</v>
      </c>
    </row>
    <row r="2081" spans="39:81">
      <c r="AM2081" s="2"/>
      <c r="AN2081" s="2"/>
      <c r="AS2081">
        <v>-10.934234932251799</v>
      </c>
      <c r="AT2081">
        <v>18.284326087165599</v>
      </c>
      <c r="CB2081">
        <v>-10.934234932251799</v>
      </c>
      <c r="CC2081">
        <v>-6.9979103566411798</v>
      </c>
    </row>
    <row r="2082" spans="39:81">
      <c r="AM2082" s="2"/>
      <c r="AN2082" s="2"/>
      <c r="AS2082">
        <v>-10.8280382456177</v>
      </c>
      <c r="AT2082">
        <v>19.4232109521379</v>
      </c>
      <c r="CB2082">
        <v>-10.8280382456177</v>
      </c>
      <c r="CC2082">
        <v>-6.9299444771953898</v>
      </c>
    </row>
    <row r="2083" spans="39:81">
      <c r="AM2083" s="2"/>
      <c r="AN2083" s="2"/>
      <c r="AS2083">
        <v>-10.7442443960798</v>
      </c>
      <c r="AT2083">
        <v>20.7198787582793</v>
      </c>
      <c r="CB2083">
        <v>-10.7442443960798</v>
      </c>
      <c r="CC2083">
        <v>-6.8763164134910904</v>
      </c>
    </row>
    <row r="2084" spans="39:81">
      <c r="AM2084" s="2"/>
      <c r="AN2084" s="2"/>
      <c r="AS2084">
        <v>-10.6452076794266</v>
      </c>
      <c r="AT2084">
        <v>21.973848077371301</v>
      </c>
      <c r="CB2084">
        <v>-10.6452076794266</v>
      </c>
      <c r="CC2084">
        <v>-6.8129329148330502</v>
      </c>
    </row>
    <row r="2085" spans="39:81">
      <c r="AM2085" s="2"/>
      <c r="AN2085" s="2"/>
      <c r="AS2085">
        <v>-10.573539815638799</v>
      </c>
      <c r="AT2085">
        <v>23.1296291470581</v>
      </c>
      <c r="CB2085">
        <v>-10.573539815638799</v>
      </c>
      <c r="CC2085">
        <v>-6.76706548200886</v>
      </c>
    </row>
    <row r="2086" spans="39:81">
      <c r="AM2086" s="2"/>
      <c r="AN2086" s="2"/>
      <c r="AS2086">
        <v>-10.461688184106301</v>
      </c>
      <c r="AT2086">
        <v>24.2069154889918</v>
      </c>
      <c r="CB2086">
        <v>-10.461688184106301</v>
      </c>
      <c r="CC2086">
        <v>-6.6954804378280501</v>
      </c>
    </row>
    <row r="2087" spans="39:81">
      <c r="AM2087" s="2"/>
      <c r="AN2087" s="2"/>
      <c r="AS2087">
        <v>-10.3323929801721</v>
      </c>
      <c r="AT2087">
        <v>25.108548160148199</v>
      </c>
      <c r="CB2087">
        <v>-10.3323929801721</v>
      </c>
      <c r="CC2087">
        <v>-6.6127315073101602</v>
      </c>
    </row>
    <row r="2088" spans="39:81">
      <c r="AM2088" s="2"/>
      <c r="AN2088" s="2"/>
      <c r="AS2088">
        <v>-10.2162733907325</v>
      </c>
      <c r="AT2088">
        <v>26.1405293477995</v>
      </c>
      <c r="CB2088">
        <v>-10.2162733907325</v>
      </c>
      <c r="CC2088">
        <v>-6.5384149700688496</v>
      </c>
    </row>
    <row r="2089" spans="39:81">
      <c r="AM2089" s="2"/>
      <c r="AN2089" s="2"/>
      <c r="AS2089">
        <v>-10.0558022344369</v>
      </c>
      <c r="AT2089">
        <v>27.344573698770699</v>
      </c>
      <c r="CB2089">
        <v>-10.0558022344369</v>
      </c>
      <c r="CC2089">
        <v>-6.4357134300396499</v>
      </c>
    </row>
    <row r="2090" spans="39:81">
      <c r="AM2090" s="2"/>
      <c r="AN2090" s="2"/>
      <c r="AS2090">
        <v>-9.9069731427213394</v>
      </c>
      <c r="AT2090">
        <v>28.512797095785899</v>
      </c>
      <c r="CB2090">
        <v>-9.9069731427213394</v>
      </c>
      <c r="CC2090">
        <v>-6.3404628113416601</v>
      </c>
    </row>
    <row r="2091" spans="39:81">
      <c r="AM2091" s="2"/>
      <c r="AN2091" s="2"/>
      <c r="AS2091">
        <v>-9.7548579280643803</v>
      </c>
      <c r="AT2091">
        <v>29.859399892562799</v>
      </c>
      <c r="CB2091">
        <v>-9.7548579280643803</v>
      </c>
      <c r="CC2091">
        <v>-6.2431090739612003</v>
      </c>
    </row>
    <row r="2092" spans="39:81">
      <c r="AM2092" s="2"/>
      <c r="AN2092" s="2"/>
      <c r="AS2092">
        <v>-9.5753352894530401</v>
      </c>
      <c r="AT2092">
        <v>31.012992328694299</v>
      </c>
      <c r="CB2092">
        <v>-9.5753352894530401</v>
      </c>
      <c r="CC2092">
        <v>-6.1282145852499497</v>
      </c>
    </row>
    <row r="2093" spans="39:81">
      <c r="AM2093" s="2"/>
      <c r="AN2093" s="2"/>
      <c r="AS2093">
        <v>-9.4123624984955097</v>
      </c>
      <c r="AT2093">
        <v>32.043249649497596</v>
      </c>
      <c r="CB2093">
        <v>-9.4123624984955097</v>
      </c>
      <c r="CC2093">
        <v>-6.0239119990371304</v>
      </c>
    </row>
    <row r="2094" spans="39:81">
      <c r="AM2094" s="2"/>
      <c r="AN2094" s="2"/>
      <c r="AS2094">
        <v>-9.2562730714173291</v>
      </c>
      <c r="AT2094">
        <v>33.0155770374311</v>
      </c>
      <c r="CB2094">
        <v>-9.2562730714173291</v>
      </c>
      <c r="CC2094">
        <v>-5.9240147657070903</v>
      </c>
    </row>
    <row r="2095" spans="39:81">
      <c r="AM2095" s="2"/>
      <c r="AN2095" s="2"/>
      <c r="AS2095">
        <v>-9.0739219193422294</v>
      </c>
      <c r="AT2095">
        <v>33.8988197528003</v>
      </c>
      <c r="CB2095">
        <v>-9.0739219193422294</v>
      </c>
      <c r="CC2095">
        <v>-5.80731002837903</v>
      </c>
    </row>
    <row r="2096" spans="39:81">
      <c r="AM2096" s="2"/>
      <c r="AN2096" s="2"/>
      <c r="AS2096">
        <v>-8.9038388408285201</v>
      </c>
      <c r="AT2096">
        <v>34.931248541517903</v>
      </c>
      <c r="CB2096">
        <v>-8.9038388408285201</v>
      </c>
      <c r="CC2096">
        <v>-5.6984568581302497</v>
      </c>
    </row>
    <row r="2097" spans="39:81">
      <c r="AM2097" s="2"/>
      <c r="AN2097" s="2"/>
      <c r="AS2097">
        <v>-8.6980902460715299</v>
      </c>
      <c r="AT2097">
        <v>35.879428584098399</v>
      </c>
      <c r="CB2097">
        <v>-8.6980902460715299</v>
      </c>
      <c r="CC2097">
        <v>-5.56677775748578</v>
      </c>
    </row>
    <row r="2098" spans="39:81">
      <c r="AM2098" s="2"/>
      <c r="AN2098" s="2"/>
      <c r="AS2098">
        <v>-8.4818268079327108</v>
      </c>
      <c r="AT2098">
        <v>36.875224256896402</v>
      </c>
      <c r="CB2098">
        <v>-8.4818268079327108</v>
      </c>
      <c r="CC2098">
        <v>-5.4283691570769301</v>
      </c>
    </row>
    <row r="2099" spans="39:81">
      <c r="AM2099" s="2"/>
      <c r="AN2099" s="2"/>
      <c r="AS2099">
        <v>-8.2883453302013592</v>
      </c>
      <c r="AT2099">
        <v>37.978805135677199</v>
      </c>
      <c r="CB2099">
        <v>-8.2883453302013592</v>
      </c>
      <c r="CC2099">
        <v>-5.3045410113288698</v>
      </c>
    </row>
    <row r="2100" spans="39:81">
      <c r="AM2100" s="2"/>
      <c r="AN2100" s="2"/>
      <c r="AS2100">
        <v>-8.0685793990892005</v>
      </c>
      <c r="AT2100">
        <v>38.713013987179501</v>
      </c>
      <c r="CB2100">
        <v>-8.0685793990892005</v>
      </c>
      <c r="CC2100">
        <v>-5.1638908154170897</v>
      </c>
    </row>
    <row r="2101" spans="39:81">
      <c r="AM2101" s="2"/>
      <c r="AN2101" s="2"/>
      <c r="AS2101">
        <v>-7.8516804053518996</v>
      </c>
      <c r="AT2101">
        <v>39.640201047583503</v>
      </c>
      <c r="CB2101">
        <v>-7.8516804053518996</v>
      </c>
      <c r="CC2101">
        <v>-5.0250754594252101</v>
      </c>
    </row>
    <row r="2102" spans="39:81">
      <c r="AM2102" s="2"/>
      <c r="AN2102" s="2"/>
      <c r="AS2102">
        <v>-7.6410879715770497</v>
      </c>
      <c r="AT2102">
        <v>40.180179653985498</v>
      </c>
      <c r="CB2102">
        <v>-7.6410879715770497</v>
      </c>
      <c r="CC2102">
        <v>-4.8902963018093102</v>
      </c>
    </row>
    <row r="2103" spans="39:81">
      <c r="AM2103" s="2"/>
      <c r="AN2103" s="2"/>
      <c r="AS2103">
        <v>-7.4152324438769401</v>
      </c>
      <c r="AT2103">
        <v>40.714855280687701</v>
      </c>
      <c r="CB2103">
        <v>-7.4152324438769401</v>
      </c>
      <c r="CC2103">
        <v>-4.7457487640812399</v>
      </c>
    </row>
    <row r="2104" spans="39:81">
      <c r="AM2104" s="2"/>
      <c r="AN2104" s="2"/>
      <c r="AS2104">
        <v>-7.2195445407045504</v>
      </c>
      <c r="AT2104">
        <v>41.475785423112598</v>
      </c>
      <c r="CB2104">
        <v>-7.2195445407045504</v>
      </c>
      <c r="CC2104">
        <v>-4.6205085060509097</v>
      </c>
    </row>
    <row r="2105" spans="39:81">
      <c r="AM2105" s="2"/>
      <c r="AN2105" s="2"/>
      <c r="AS2105">
        <v>-7.0229033194894797</v>
      </c>
      <c r="AT2105">
        <v>42.095286124462703</v>
      </c>
      <c r="CB2105">
        <v>-7.0229033194894797</v>
      </c>
      <c r="CC2105">
        <v>-4.4946581244732604</v>
      </c>
    </row>
    <row r="2106" spans="39:81">
      <c r="AM2106" s="2"/>
      <c r="AN2106" s="2"/>
      <c r="AS2106">
        <v>-6.8115961765730297</v>
      </c>
      <c r="AT2106">
        <v>43.0031144927367</v>
      </c>
      <c r="CB2106">
        <v>-6.8115961765730297</v>
      </c>
      <c r="CC2106">
        <v>-4.3594215530067402</v>
      </c>
    </row>
    <row r="2107" spans="39:81">
      <c r="AM2107" s="2"/>
      <c r="AN2107" s="2"/>
      <c r="AS2107">
        <v>-6.5968004548536898</v>
      </c>
      <c r="AT2107">
        <v>43.814246218035798</v>
      </c>
      <c r="CB2107">
        <v>-6.5968004548536898</v>
      </c>
      <c r="CC2107">
        <v>-4.2219522911063603</v>
      </c>
    </row>
    <row r="2108" spans="39:81">
      <c r="AM2108" s="2"/>
      <c r="AN2108" s="2"/>
      <c r="AS2108">
        <v>-6.3455616561397301</v>
      </c>
      <c r="AT2108">
        <v>44.427762283719403</v>
      </c>
      <c r="CB2108">
        <v>-6.3455616561397301</v>
      </c>
      <c r="CC2108">
        <v>-4.0611594599294296</v>
      </c>
    </row>
    <row r="2109" spans="39:81">
      <c r="AM2109" s="2"/>
      <c r="AN2109" s="2"/>
      <c r="AS2109">
        <v>-6.1008086754805504</v>
      </c>
      <c r="AT2109">
        <v>44.910448752774798</v>
      </c>
      <c r="CB2109">
        <v>-6.1008086754805504</v>
      </c>
      <c r="CC2109">
        <v>-3.9045175523075502</v>
      </c>
    </row>
    <row r="2110" spans="39:81">
      <c r="AM2110" s="2"/>
      <c r="AN2110" s="2"/>
      <c r="AS2110">
        <v>-5.8644980218479104</v>
      </c>
      <c r="AT2110">
        <v>45.282020523860901</v>
      </c>
      <c r="CB2110">
        <v>-5.8644980218479104</v>
      </c>
      <c r="CC2110">
        <v>-3.7532787339826599</v>
      </c>
    </row>
    <row r="2111" spans="39:81">
      <c r="AM2111" s="2"/>
      <c r="AN2111" s="2"/>
      <c r="AS2111">
        <v>-5.6065900990228901</v>
      </c>
      <c r="AT2111">
        <v>45.574509276690897</v>
      </c>
      <c r="CB2111">
        <v>-5.6065900990228901</v>
      </c>
      <c r="CC2111">
        <v>-3.5882176633746501</v>
      </c>
    </row>
    <row r="2112" spans="39:81">
      <c r="AM2112" s="2"/>
      <c r="AN2112" s="2"/>
      <c r="AS2112">
        <v>-5.3655579817858996</v>
      </c>
      <c r="AT2112">
        <v>46.110468498837399</v>
      </c>
      <c r="CB2112">
        <v>-5.3655579817858996</v>
      </c>
      <c r="CC2112">
        <v>-3.4339571083429701</v>
      </c>
    </row>
    <row r="2113" spans="39:81">
      <c r="AM2113" s="2"/>
      <c r="AN2113" s="2"/>
      <c r="AS2113">
        <v>-5.0835174771060299</v>
      </c>
      <c r="AT2113">
        <v>46.687828198107702</v>
      </c>
      <c r="CB2113">
        <v>-5.0835174771060299</v>
      </c>
      <c r="CC2113">
        <v>-3.2534511853478598</v>
      </c>
    </row>
    <row r="2114" spans="39:81">
      <c r="AM2114" s="2"/>
      <c r="AN2114" s="2"/>
      <c r="AS2114">
        <v>-4.7774806946112403</v>
      </c>
      <c r="AT2114">
        <v>47.195024115373101</v>
      </c>
      <c r="CB2114">
        <v>-4.7774806946112403</v>
      </c>
      <c r="CC2114">
        <v>-3.05758764455119</v>
      </c>
    </row>
    <row r="2115" spans="39:81">
      <c r="AM2115" s="2"/>
      <c r="AN2115" s="2"/>
      <c r="AS2115">
        <v>-4.48489185781043</v>
      </c>
      <c r="AT2115">
        <v>47.820823478011199</v>
      </c>
      <c r="CB2115">
        <v>-4.48489185781043</v>
      </c>
      <c r="CC2115">
        <v>-2.87033078899867</v>
      </c>
    </row>
    <row r="2116" spans="39:81">
      <c r="AM2116" s="2"/>
      <c r="AN2116" s="2"/>
      <c r="AS2116">
        <v>-4.1601187308465502</v>
      </c>
      <c r="AT2116">
        <v>47.967640787195101</v>
      </c>
      <c r="CB2116">
        <v>-4.1601187308465502</v>
      </c>
      <c r="CC2116">
        <v>-2.6624759877417898</v>
      </c>
    </row>
    <row r="2117" spans="39:81">
      <c r="AM2117" s="2"/>
      <c r="AN2117" s="2"/>
      <c r="AS2117">
        <v>-3.8639354267352002</v>
      </c>
      <c r="AT2117">
        <v>48.279147794238497</v>
      </c>
      <c r="CB2117">
        <v>-3.8639354267352002</v>
      </c>
      <c r="CC2117">
        <v>-2.4729186731105299</v>
      </c>
    </row>
    <row r="2118" spans="39:81">
      <c r="AM2118" s="2"/>
      <c r="AN2118" s="2"/>
      <c r="AS2118">
        <v>-3.5666812950528302</v>
      </c>
      <c r="AT2118">
        <v>48.541240033657402</v>
      </c>
      <c r="CB2118">
        <v>-3.5666812950528302</v>
      </c>
      <c r="CC2118">
        <v>-2.2826760288338099</v>
      </c>
    </row>
    <row r="2119" spans="39:81">
      <c r="AM2119" s="2"/>
      <c r="AN2119" s="2"/>
      <c r="AS2119">
        <v>-3.2548632612581301</v>
      </c>
      <c r="AT2119">
        <v>48.683084724596903</v>
      </c>
      <c r="CB2119">
        <v>-3.2548632612581301</v>
      </c>
      <c r="CC2119">
        <v>-2.0831124872052</v>
      </c>
    </row>
    <row r="2120" spans="39:81">
      <c r="AM2120" s="2"/>
      <c r="AN2120" s="2"/>
      <c r="AS2120">
        <v>-2.9564330591627401</v>
      </c>
      <c r="AT2120">
        <v>49.117245745285601</v>
      </c>
      <c r="CB2120">
        <v>-2.9564330591627401</v>
      </c>
      <c r="CC2120">
        <v>-1.89211715786415</v>
      </c>
    </row>
    <row r="2121" spans="39:81">
      <c r="AM2121" s="2"/>
      <c r="AN2121" s="2"/>
      <c r="AS2121">
        <v>-2.6260777032199898</v>
      </c>
      <c r="AT2121">
        <v>49.365323300395801</v>
      </c>
      <c r="CB2121">
        <v>-2.6260777032199898</v>
      </c>
      <c r="CC2121">
        <v>-1.6806897300607899</v>
      </c>
    </row>
    <row r="2122" spans="39:81">
      <c r="AM2122" s="2"/>
      <c r="AN2122" s="2"/>
      <c r="AS2122">
        <v>-2.31057410740625</v>
      </c>
      <c r="AT2122">
        <v>49.808739803677803</v>
      </c>
      <c r="CB2122">
        <v>-2.31057410740625</v>
      </c>
      <c r="CC2122">
        <v>-1.4787674287399999</v>
      </c>
    </row>
    <row r="2123" spans="39:81">
      <c r="AM2123" s="2"/>
      <c r="AN2123" s="2"/>
      <c r="AS2123">
        <v>-1.9855254798234601</v>
      </c>
      <c r="AT2123">
        <v>50.087675883966703</v>
      </c>
      <c r="CB2123">
        <v>-1.9855254798234601</v>
      </c>
      <c r="CC2123">
        <v>-1.2707363070870199</v>
      </c>
    </row>
    <row r="2124" spans="39:81">
      <c r="AM2124" s="2"/>
      <c r="AN2124" s="2"/>
      <c r="AS2124">
        <v>-1.6600074131915299</v>
      </c>
      <c r="AT2124">
        <v>50.315767780194101</v>
      </c>
      <c r="CB2124">
        <v>-1.6600074131915299</v>
      </c>
      <c r="CC2124">
        <v>-1.0624047444425799</v>
      </c>
    </row>
    <row r="2125" spans="39:81">
      <c r="AM2125" s="2"/>
      <c r="AN2125" s="2"/>
      <c r="AS2125">
        <v>-1.3624268221990701</v>
      </c>
      <c r="AT2125">
        <v>50.453221972049697</v>
      </c>
      <c r="CB2125">
        <v>-1.3624268221990701</v>
      </c>
      <c r="CC2125">
        <v>-0.87195316620740904</v>
      </c>
    </row>
    <row r="2126" spans="39:81">
      <c r="AM2126" s="2"/>
      <c r="AN2126" s="2"/>
      <c r="AS2126">
        <v>-1.0593781058257601</v>
      </c>
      <c r="AT2126">
        <v>50.457988257549403</v>
      </c>
      <c r="CB2126">
        <v>-1.0593781058257601</v>
      </c>
      <c r="CC2126">
        <v>-0.67800198772848896</v>
      </c>
    </row>
    <row r="2127" spans="39:81">
      <c r="AM2127" s="2"/>
      <c r="AN2127" s="2"/>
      <c r="AS2127">
        <v>-0.785480310755723</v>
      </c>
      <c r="AT2127">
        <v>50.556046962516497</v>
      </c>
      <c r="CB2127">
        <v>-0.785480310755723</v>
      </c>
      <c r="CC2127">
        <v>-0.502707398883662</v>
      </c>
    </row>
    <row r="2128" spans="39:81">
      <c r="AM2128" s="2"/>
      <c r="AN2128" s="2"/>
      <c r="AS2128">
        <v>-0.51769284562189799</v>
      </c>
      <c r="AT2128">
        <v>50.685342804773903</v>
      </c>
      <c r="CB2128">
        <v>-0.51769284562189799</v>
      </c>
      <c r="CC2128">
        <v>-0.331323421198014</v>
      </c>
    </row>
    <row r="2129" spans="39:81">
      <c r="AM2129" s="2"/>
      <c r="AN2129" s="2"/>
      <c r="AS2129">
        <v>-0.21161663152426599</v>
      </c>
      <c r="AT2129">
        <v>50.853382908077599</v>
      </c>
      <c r="CB2129">
        <v>-0.21161663152426599</v>
      </c>
      <c r="CC2129">
        <v>-0.13543464417553</v>
      </c>
    </row>
    <row r="2130" spans="39:81">
      <c r="AM2130" s="2"/>
      <c r="AN2130" s="2"/>
      <c r="AS2130">
        <v>6.3755095670272099E-2</v>
      </c>
      <c r="AT2130">
        <v>51.103709771333598</v>
      </c>
      <c r="CB2130">
        <v>6.3755095670272099E-2</v>
      </c>
      <c r="CC2130">
        <v>4.0803261228974097E-2</v>
      </c>
    </row>
    <row r="2131" spans="39:81">
      <c r="AM2131" s="2"/>
      <c r="AN2131" s="2"/>
      <c r="AS2131">
        <v>0.37425202022705401</v>
      </c>
      <c r="AT2131">
        <v>51.0970799984038</v>
      </c>
      <c r="CB2131">
        <v>0.37425202022705401</v>
      </c>
      <c r="CC2131">
        <v>0.23952129294531399</v>
      </c>
    </row>
    <row r="2132" spans="39:81">
      <c r="AM2132" s="2"/>
      <c r="AN2132" s="2"/>
      <c r="AS2132">
        <v>0.67680396435638601</v>
      </c>
      <c r="AT2132">
        <v>50.963979023464397</v>
      </c>
      <c r="CB2132">
        <v>0.67680396435638601</v>
      </c>
      <c r="CC2132">
        <v>0.433154537188087</v>
      </c>
    </row>
    <row r="2133" spans="39:81">
      <c r="AM2133" s="2"/>
      <c r="AN2133" s="2"/>
      <c r="AS2133">
        <v>0.95385988003054401</v>
      </c>
      <c r="AT2133">
        <v>50.804666878383301</v>
      </c>
      <c r="CB2133">
        <v>0.95385988003054401</v>
      </c>
      <c r="CC2133">
        <v>0.61047032321954797</v>
      </c>
    </row>
    <row r="2134" spans="39:81">
      <c r="AM2134" s="2"/>
      <c r="AN2134" s="2"/>
      <c r="AS2134">
        <v>1.2782579863418</v>
      </c>
      <c r="AT2134">
        <v>50.3908591846129</v>
      </c>
      <c r="CB2134">
        <v>1.2782579863418</v>
      </c>
      <c r="CC2134">
        <v>0.81808511125875705</v>
      </c>
    </row>
    <row r="2135" spans="39:81">
      <c r="AM2135" s="2"/>
      <c r="AN2135" s="2"/>
      <c r="AS2135">
        <v>1.57631584087391</v>
      </c>
      <c r="AT2135">
        <v>50.214264323159703</v>
      </c>
      <c r="CB2135">
        <v>1.57631584087391</v>
      </c>
      <c r="CC2135">
        <v>1.0088421381593</v>
      </c>
    </row>
    <row r="2136" spans="39:81">
      <c r="AM2136" s="2"/>
      <c r="AN2136" s="2"/>
      <c r="AS2136">
        <v>1.89558890854747</v>
      </c>
      <c r="AT2136">
        <v>50.024923420393101</v>
      </c>
      <c r="CB2136">
        <v>1.89558890854747</v>
      </c>
      <c r="CC2136">
        <v>1.2131769014703799</v>
      </c>
    </row>
    <row r="2137" spans="39:81">
      <c r="AM2137" s="2"/>
      <c r="AN2137" s="2"/>
      <c r="AS2137">
        <v>2.2238835771983498</v>
      </c>
      <c r="AT2137">
        <v>49.866990031831698</v>
      </c>
      <c r="CB2137">
        <v>2.2238835771983498</v>
      </c>
      <c r="CC2137">
        <v>1.42328548940694</v>
      </c>
    </row>
    <row r="2138" spans="39:81">
      <c r="AM2138" s="2"/>
      <c r="AN2138" s="2"/>
      <c r="AS2138">
        <v>2.5401644838297601</v>
      </c>
      <c r="AT2138">
        <v>49.7517872123316</v>
      </c>
      <c r="CB2138">
        <v>2.5401644838297601</v>
      </c>
      <c r="CC2138">
        <v>1.6257052696510399</v>
      </c>
    </row>
    <row r="2139" spans="39:81">
      <c r="AM2139" s="2"/>
      <c r="AN2139" s="2"/>
      <c r="AS2139">
        <v>2.8823998273837601</v>
      </c>
      <c r="AT2139">
        <v>49.392940248418199</v>
      </c>
      <c r="CB2139">
        <v>2.8823998273837601</v>
      </c>
      <c r="CC2139">
        <v>1.8447358895256101</v>
      </c>
    </row>
    <row r="2140" spans="39:81">
      <c r="AM2140" s="2"/>
      <c r="AN2140" s="2"/>
      <c r="AS2140">
        <v>3.1949288399676199</v>
      </c>
      <c r="AT2140">
        <v>49.175737907357401</v>
      </c>
      <c r="CB2140">
        <v>3.1949288399676199</v>
      </c>
      <c r="CC2140">
        <v>2.04475445757928</v>
      </c>
    </row>
    <row r="2141" spans="39:81">
      <c r="AM2141" s="2"/>
      <c r="AN2141" s="2"/>
      <c r="AS2141">
        <v>3.5098456048628401</v>
      </c>
      <c r="AT2141">
        <v>48.595973804528398</v>
      </c>
      <c r="CB2141">
        <v>3.5098456048628401</v>
      </c>
      <c r="CC2141">
        <v>2.2463011871122101</v>
      </c>
    </row>
    <row r="2142" spans="39:81">
      <c r="AM2142" s="2"/>
      <c r="AN2142" s="2"/>
      <c r="AS2142">
        <v>3.8048826437077499</v>
      </c>
      <c r="AT2142">
        <v>48.145614905388904</v>
      </c>
      <c r="CB2142">
        <v>3.8048826437077499</v>
      </c>
      <c r="CC2142">
        <v>2.43512489197296</v>
      </c>
    </row>
    <row r="2143" spans="39:81">
      <c r="AM2143" s="2"/>
      <c r="AN2143" s="2"/>
      <c r="AS2143">
        <v>4.0631985783916198</v>
      </c>
      <c r="AT2143">
        <v>47.853029108680403</v>
      </c>
      <c r="CB2143">
        <v>4.0631985783916198</v>
      </c>
      <c r="CC2143">
        <v>2.6004470901706398</v>
      </c>
    </row>
    <row r="2144" spans="39:81">
      <c r="AM2144" s="2"/>
      <c r="AN2144" s="2"/>
      <c r="AS2144">
        <v>4.3490839597258502</v>
      </c>
      <c r="AT2144">
        <v>47.411983450307503</v>
      </c>
      <c r="CB2144">
        <v>4.3490839597258502</v>
      </c>
      <c r="CC2144">
        <v>2.7834137342245402</v>
      </c>
    </row>
    <row r="2145" spans="39:81">
      <c r="AM2145" s="2"/>
      <c r="AN2145" s="2"/>
      <c r="AS2145">
        <v>4.6117301154022501</v>
      </c>
      <c r="AT2145">
        <v>47.447799913995901</v>
      </c>
      <c r="CB2145">
        <v>4.6117301154022501</v>
      </c>
      <c r="CC2145">
        <v>2.9515072738574402</v>
      </c>
    </row>
    <row r="2146" spans="39:81">
      <c r="AM2146" s="2"/>
      <c r="AN2146" s="2"/>
      <c r="AS2146">
        <v>4.8962830487392504</v>
      </c>
      <c r="AT2146">
        <v>47.135175590911302</v>
      </c>
      <c r="CB2146">
        <v>4.8962830487392504</v>
      </c>
      <c r="CC2146">
        <v>3.13362115119312</v>
      </c>
    </row>
    <row r="2147" spans="39:81">
      <c r="AM2147" s="2"/>
      <c r="AN2147" s="2"/>
      <c r="AS2147">
        <v>5.1813366015507301</v>
      </c>
      <c r="AT2147">
        <v>46.809473265665297</v>
      </c>
      <c r="CB2147">
        <v>5.1813366015507301</v>
      </c>
      <c r="CC2147">
        <v>3.3160554249924701</v>
      </c>
    </row>
    <row r="2148" spans="39:81">
      <c r="AM2148" s="2"/>
      <c r="AN2148" s="2"/>
      <c r="AS2148">
        <v>5.4181469500854096</v>
      </c>
      <c r="AT2148">
        <v>46.376261408776898</v>
      </c>
      <c r="CB2148">
        <v>5.4181469500854096</v>
      </c>
      <c r="CC2148">
        <v>3.46761404805466</v>
      </c>
    </row>
    <row r="2149" spans="39:81">
      <c r="AM2149" s="2"/>
      <c r="AN2149" s="2"/>
      <c r="AS2149">
        <v>5.6524336198442304</v>
      </c>
      <c r="AT2149">
        <v>45.593760088518202</v>
      </c>
      <c r="CB2149">
        <v>5.6524336198442304</v>
      </c>
      <c r="CC2149">
        <v>3.6175575167003098</v>
      </c>
    </row>
    <row r="2150" spans="39:81">
      <c r="AM2150" s="2"/>
      <c r="AN2150" s="2"/>
      <c r="AS2150">
        <v>5.85200652431483</v>
      </c>
      <c r="AT2150">
        <v>45.010476490728202</v>
      </c>
      <c r="CB2150">
        <v>5.85200652431483</v>
      </c>
      <c r="CC2150">
        <v>3.7452841755614901</v>
      </c>
    </row>
    <row r="2151" spans="39:81">
      <c r="AM2151" s="2"/>
      <c r="AN2151" s="2"/>
      <c r="AS2151">
        <v>6.0406683255209002</v>
      </c>
      <c r="AT2151">
        <v>44.512096379485101</v>
      </c>
      <c r="CB2151">
        <v>6.0406683255209002</v>
      </c>
      <c r="CC2151">
        <v>3.8660277283333699</v>
      </c>
    </row>
    <row r="2152" spans="39:81">
      <c r="AM2152" s="2"/>
      <c r="AN2152" s="2"/>
      <c r="AS2152">
        <v>6.2594611888434999</v>
      </c>
      <c r="AT2152">
        <v>44.117484369477197</v>
      </c>
      <c r="CB2152">
        <v>6.2594611888434999</v>
      </c>
      <c r="CC2152">
        <v>4.00605516085984</v>
      </c>
    </row>
    <row r="2153" spans="39:81">
      <c r="AM2153" s="2"/>
      <c r="AN2153" s="2"/>
      <c r="AS2153">
        <v>6.4761896291863001</v>
      </c>
      <c r="AT2153">
        <v>43.789401961979699</v>
      </c>
      <c r="CB2153">
        <v>6.4761896291863001</v>
      </c>
      <c r="CC2153">
        <v>4.1447613626792297</v>
      </c>
    </row>
    <row r="2154" spans="39:81">
      <c r="AM2154" s="2"/>
      <c r="AN2154" s="2"/>
      <c r="AS2154">
        <v>6.7003584728585199</v>
      </c>
      <c r="AT2154">
        <v>43.388155417892399</v>
      </c>
      <c r="CB2154">
        <v>6.7003584728585199</v>
      </c>
      <c r="CC2154">
        <v>4.2882294226294499</v>
      </c>
    </row>
    <row r="2155" spans="39:81">
      <c r="AM2155" s="2"/>
      <c r="AN2155" s="2"/>
      <c r="AS2155">
        <v>6.9187952097932399</v>
      </c>
      <c r="AT2155">
        <v>42.687307077951402</v>
      </c>
      <c r="CB2155">
        <v>6.9187952097932399</v>
      </c>
      <c r="CC2155">
        <v>4.4280289342676697</v>
      </c>
    </row>
    <row r="2156" spans="39:81">
      <c r="AM2156" s="2"/>
      <c r="AN2156" s="2"/>
      <c r="AS2156">
        <v>7.1077794899345399</v>
      </c>
      <c r="AT2156">
        <v>41.978943037000903</v>
      </c>
      <c r="CB2156">
        <v>7.1077794899345399</v>
      </c>
      <c r="CC2156">
        <v>4.5489788735580996</v>
      </c>
    </row>
    <row r="2157" spans="39:81">
      <c r="AM2157" s="2"/>
      <c r="AN2157" s="2"/>
      <c r="AS2157">
        <v>7.3123637463248699</v>
      </c>
      <c r="AT2157">
        <v>41.173999183330899</v>
      </c>
      <c r="CB2157">
        <v>7.3123637463248699</v>
      </c>
      <c r="CC2157">
        <v>4.67991279764792</v>
      </c>
    </row>
    <row r="2158" spans="39:81">
      <c r="AM2158" s="2"/>
      <c r="AN2158" s="2"/>
      <c r="AS2158">
        <v>7.5267583382192997</v>
      </c>
      <c r="AT2158">
        <v>40.339163605348901</v>
      </c>
      <c r="CB2158">
        <v>7.5267583382192997</v>
      </c>
      <c r="CC2158">
        <v>4.8171253364603501</v>
      </c>
    </row>
    <row r="2159" spans="39:81">
      <c r="AM2159" s="2"/>
      <c r="AN2159" s="2"/>
      <c r="AS2159">
        <v>7.7365921599865199</v>
      </c>
      <c r="AT2159">
        <v>39.777681604563803</v>
      </c>
      <c r="CB2159">
        <v>7.7365921599865199</v>
      </c>
      <c r="CC2159">
        <v>4.9514189823913703</v>
      </c>
    </row>
    <row r="2160" spans="39:81">
      <c r="AM2160" s="2"/>
      <c r="AN2160" s="2"/>
      <c r="AS2160">
        <v>7.9659162784816697</v>
      </c>
      <c r="AT2160">
        <v>38.892794643583102</v>
      </c>
      <c r="CB2160">
        <v>7.9659162784816697</v>
      </c>
      <c r="CC2160">
        <v>5.0981864182282699</v>
      </c>
    </row>
    <row r="2161" spans="39:81">
      <c r="AM2161" s="2"/>
      <c r="AN2161" s="2"/>
      <c r="AS2161">
        <v>8.16683917795398</v>
      </c>
      <c r="AT2161">
        <v>38.227505208473602</v>
      </c>
      <c r="CB2161">
        <v>8.16683917795398</v>
      </c>
      <c r="CC2161">
        <v>5.2267770738905499</v>
      </c>
    </row>
    <row r="2162" spans="39:81">
      <c r="AM2162" s="2"/>
      <c r="AN2162" s="2"/>
      <c r="AS2162">
        <v>8.3673540796740298</v>
      </c>
      <c r="AT2162">
        <v>37.4725057488264</v>
      </c>
      <c r="CB2162">
        <v>8.3673540796740298</v>
      </c>
      <c r="CC2162">
        <v>5.3551066109913803</v>
      </c>
    </row>
    <row r="2163" spans="39:81">
      <c r="AM2163" s="2"/>
      <c r="AN2163" s="2"/>
      <c r="AS2163">
        <v>8.5809063455738404</v>
      </c>
      <c r="AT2163">
        <v>36.539248478203803</v>
      </c>
      <c r="CB2163">
        <v>8.5809063455738404</v>
      </c>
      <c r="CC2163">
        <v>5.49178006116726</v>
      </c>
    </row>
    <row r="2164" spans="39:81">
      <c r="AM2164" s="2"/>
      <c r="AN2164" s="2"/>
      <c r="AS2164">
        <v>8.7603131347490706</v>
      </c>
      <c r="AT2164">
        <v>35.630488474014001</v>
      </c>
      <c r="CB2164">
        <v>8.7603131347490706</v>
      </c>
      <c r="CC2164">
        <v>5.6066004062393997</v>
      </c>
    </row>
    <row r="2165" spans="39:81">
      <c r="AM2165" s="2"/>
      <c r="AN2165" s="2"/>
      <c r="AS2165">
        <v>8.9640140613611496</v>
      </c>
      <c r="AT2165">
        <v>34.510078858975</v>
      </c>
      <c r="CB2165">
        <v>8.9640140613611496</v>
      </c>
      <c r="CC2165">
        <v>5.7369689992711397</v>
      </c>
    </row>
    <row r="2166" spans="39:81">
      <c r="AM2166" s="2"/>
      <c r="AN2166" s="2"/>
      <c r="AS2166">
        <v>9.1538831695612597</v>
      </c>
      <c r="AT2166">
        <v>33.458196846765603</v>
      </c>
      <c r="CB2166">
        <v>9.1538831695612597</v>
      </c>
      <c r="CC2166">
        <v>5.8584852285191999</v>
      </c>
    </row>
    <row r="2167" spans="39:81">
      <c r="AM2167" s="2"/>
      <c r="AN2167" s="2"/>
      <c r="AS2167">
        <v>9.3191765346786504</v>
      </c>
      <c r="AT2167">
        <v>32.407253395171402</v>
      </c>
      <c r="CB2167">
        <v>9.3191765346786504</v>
      </c>
      <c r="CC2167">
        <v>5.9642729821943297</v>
      </c>
    </row>
    <row r="2168" spans="39:81">
      <c r="AM2168" s="2"/>
      <c r="AN2168" s="2"/>
      <c r="AS2168">
        <v>9.5008967877120103</v>
      </c>
      <c r="AT2168">
        <v>31.464358012398101</v>
      </c>
      <c r="CB2168">
        <v>9.5008967877120103</v>
      </c>
      <c r="CC2168">
        <v>6.0805739441356899</v>
      </c>
    </row>
    <row r="2169" spans="39:81">
      <c r="AM2169" s="2"/>
      <c r="AN2169" s="2"/>
      <c r="AS2169">
        <v>9.6700067329764892</v>
      </c>
      <c r="AT2169">
        <v>30.549324346193501</v>
      </c>
      <c r="CB2169">
        <v>9.6700067329764892</v>
      </c>
      <c r="CC2169">
        <v>6.1888043091049498</v>
      </c>
    </row>
    <row r="2170" spans="39:81">
      <c r="AM2170" s="2"/>
      <c r="AN2170" s="2"/>
      <c r="AS2170">
        <v>9.8233981550508194</v>
      </c>
      <c r="AT2170">
        <v>29.512759948179099</v>
      </c>
      <c r="CB2170">
        <v>9.8233981550508194</v>
      </c>
      <c r="CC2170">
        <v>6.2869748192325297</v>
      </c>
    </row>
    <row r="2171" spans="39:81">
      <c r="AM2171" s="2"/>
      <c r="AN2171" s="2"/>
      <c r="AS2171">
        <v>9.9947811159210502</v>
      </c>
      <c r="AT2171">
        <v>28.403156286518399</v>
      </c>
      <c r="CB2171">
        <v>9.9947811159210502</v>
      </c>
      <c r="CC2171">
        <v>6.3966599141894704</v>
      </c>
    </row>
    <row r="2172" spans="39:81">
      <c r="AM2172" s="2"/>
      <c r="AN2172" s="2"/>
      <c r="AS2172">
        <v>10.1370905630114</v>
      </c>
      <c r="AT2172">
        <v>27.1239207477044</v>
      </c>
      <c r="CB2172">
        <v>10.1370905630114</v>
      </c>
      <c r="CC2172">
        <v>6.4877379603273004</v>
      </c>
    </row>
    <row r="2173" spans="39:81">
      <c r="AM2173" s="2"/>
      <c r="AN2173" s="2"/>
      <c r="AS2173">
        <v>10.281345632515199</v>
      </c>
      <c r="AT2173">
        <v>25.856506521938599</v>
      </c>
      <c r="CB2173">
        <v>10.281345632515199</v>
      </c>
      <c r="CC2173">
        <v>6.5800612048097502</v>
      </c>
    </row>
    <row r="2174" spans="39:81">
      <c r="AM2174" s="2"/>
      <c r="AN2174" s="2"/>
      <c r="AS2174">
        <v>10.4353099589396</v>
      </c>
      <c r="AT2174">
        <v>24.773159674083399</v>
      </c>
      <c r="CB2174">
        <v>10.4353099589396</v>
      </c>
      <c r="CC2174">
        <v>6.6785983737213801</v>
      </c>
    </row>
    <row r="2175" spans="39:81">
      <c r="AM2175" s="2"/>
      <c r="AN2175" s="2"/>
      <c r="AS2175">
        <v>10.538044951342901</v>
      </c>
      <c r="AT2175">
        <v>23.743901375644601</v>
      </c>
      <c r="CB2175">
        <v>10.538044951342901</v>
      </c>
      <c r="CC2175">
        <v>6.7443487688594796</v>
      </c>
    </row>
    <row r="2176" spans="39:81">
      <c r="AM2176" s="2"/>
      <c r="AN2176" s="2"/>
      <c r="AS2176">
        <v>10.6640272798581</v>
      </c>
      <c r="AT2176">
        <v>22.809072049028199</v>
      </c>
      <c r="CB2176">
        <v>10.6640272798581</v>
      </c>
      <c r="CC2176">
        <v>6.8249774591092098</v>
      </c>
    </row>
    <row r="2177" spans="39:81">
      <c r="AM2177" s="2"/>
      <c r="AN2177" s="2"/>
      <c r="AS2177">
        <v>10.7822876413521</v>
      </c>
      <c r="AT2177">
        <v>21.9022779665138</v>
      </c>
      <c r="CB2177">
        <v>10.7822876413521</v>
      </c>
      <c r="CC2177">
        <v>6.9006640904653898</v>
      </c>
    </row>
    <row r="2178" spans="39:81">
      <c r="AM2178" s="2"/>
      <c r="AN2178" s="2"/>
      <c r="AS2178">
        <v>10.8813113293456</v>
      </c>
      <c r="AT2178">
        <v>20.7418085039041</v>
      </c>
      <c r="CB2178">
        <v>10.8813113293456</v>
      </c>
      <c r="CC2178">
        <v>6.9640392507811901</v>
      </c>
    </row>
    <row r="2179" spans="39:81">
      <c r="AM2179" s="2"/>
      <c r="AN2179" s="2"/>
      <c r="AS2179">
        <v>11.034332724927999</v>
      </c>
      <c r="AT2179">
        <v>19.549184931365801</v>
      </c>
      <c r="CB2179">
        <v>11.034332724927999</v>
      </c>
      <c r="CC2179">
        <v>7.0619729439539496</v>
      </c>
    </row>
    <row r="2180" spans="39:81">
      <c r="AM2180" s="2"/>
      <c r="AN2180" s="2"/>
      <c r="AS2180">
        <v>11.1588356910743</v>
      </c>
      <c r="AT2180">
        <v>18.289075225297601</v>
      </c>
      <c r="CB2180">
        <v>11.1588356910743</v>
      </c>
      <c r="CC2180">
        <v>7.1416548422875703</v>
      </c>
    </row>
    <row r="2181" spans="39:81">
      <c r="AM2181" s="2"/>
      <c r="AN2181" s="2"/>
      <c r="AS2181">
        <v>11.3022669405606</v>
      </c>
      <c r="AT2181">
        <v>17.0687353516036</v>
      </c>
      <c r="CB2181">
        <v>11.3022669405606</v>
      </c>
      <c r="CC2181">
        <v>7.2334508419587999</v>
      </c>
    </row>
    <row r="2182" spans="39:81">
      <c r="AM2182" s="2"/>
      <c r="AN2182" s="2"/>
      <c r="AS2182">
        <v>11.4435839875015</v>
      </c>
      <c r="AT2182">
        <v>15.9277643603267</v>
      </c>
      <c r="CB2182">
        <v>11.4435839875015</v>
      </c>
      <c r="CC2182">
        <v>7.3238937520010197</v>
      </c>
    </row>
    <row r="2183" spans="39:81">
      <c r="AM2183" s="2"/>
      <c r="AN2183" s="2"/>
      <c r="AS2183">
        <v>11.5130089563618</v>
      </c>
      <c r="AT2183">
        <v>14.6802905824461</v>
      </c>
      <c r="CB2183">
        <v>11.5130089563618</v>
      </c>
      <c r="CC2183">
        <v>7.3683257320716002</v>
      </c>
    </row>
    <row r="2184" spans="39:81">
      <c r="AM2184" s="2"/>
      <c r="AN2184" s="2"/>
      <c r="AS2184">
        <v>11.6153970554845</v>
      </c>
      <c r="AT2184">
        <v>13.7406223004479</v>
      </c>
      <c r="CB2184">
        <v>11.6153970554845</v>
      </c>
      <c r="CC2184">
        <v>7.4338541155101296</v>
      </c>
    </row>
    <row r="2185" spans="39:81">
      <c r="AM2185" s="2"/>
      <c r="AN2185" s="2"/>
      <c r="AS2185">
        <v>11.6630106882576</v>
      </c>
      <c r="AT2185">
        <v>12.470239027619799</v>
      </c>
      <c r="CB2185">
        <v>11.6630106882576</v>
      </c>
      <c r="CC2185">
        <v>7.4643268404848797</v>
      </c>
    </row>
    <row r="2186" spans="39:81">
      <c r="AM2186" s="2"/>
      <c r="AN2186" s="2"/>
      <c r="AS2186">
        <v>11.6921049151041</v>
      </c>
      <c r="AT2186">
        <v>11.258749976703401</v>
      </c>
      <c r="CB2186">
        <v>11.6921049151041</v>
      </c>
      <c r="CC2186">
        <v>7.4829471456666798</v>
      </c>
    </row>
    <row r="2187" spans="39:81">
      <c r="AM2187" s="2"/>
      <c r="AN2187" s="2"/>
      <c r="AS2187">
        <v>11.7587321259688</v>
      </c>
      <c r="AT2187">
        <v>9.9291736790011207</v>
      </c>
      <c r="CB2187">
        <v>11.7587321259688</v>
      </c>
      <c r="CC2187">
        <v>7.5255885606200499</v>
      </c>
    </row>
    <row r="2188" spans="39:81">
      <c r="AM2188" s="2"/>
      <c r="AN2188" s="2"/>
      <c r="AS2188">
        <v>11.787851734627299</v>
      </c>
      <c r="AT2188">
        <v>8.3038738265813006</v>
      </c>
      <c r="CB2188">
        <v>11.787851734627299</v>
      </c>
      <c r="CC2188">
        <v>7.5442251101614799</v>
      </c>
    </row>
    <row r="2189" spans="39:81">
      <c r="AM2189" s="2"/>
      <c r="AN2189" s="2"/>
      <c r="AS2189">
        <v>11.8672096568752</v>
      </c>
      <c r="AT2189">
        <v>7.0037498790430401</v>
      </c>
      <c r="CB2189">
        <v>11.8672096568752</v>
      </c>
      <c r="CC2189">
        <v>7.5950141804001401</v>
      </c>
    </row>
    <row r="2190" spans="39:81">
      <c r="AM2190" s="2"/>
      <c r="AN2190" s="2"/>
      <c r="AS2190">
        <v>11.9388576986868</v>
      </c>
      <c r="AT2190">
        <v>5.5535536007237498</v>
      </c>
      <c r="CB2190">
        <v>11.9388576986868</v>
      </c>
      <c r="CC2190">
        <v>7.6408689271596097</v>
      </c>
    </row>
    <row r="2191" spans="39:81">
      <c r="AM2191" s="2"/>
      <c r="AN2191" s="2"/>
      <c r="AS2191">
        <v>11.959327793293401</v>
      </c>
      <c r="AT2191">
        <v>4.3836912680919902</v>
      </c>
      <c r="CB2191">
        <v>11.959327793293401</v>
      </c>
      <c r="CC2191">
        <v>7.6539697877078101</v>
      </c>
    </row>
    <row r="2192" spans="39:81">
      <c r="AM2192" s="2"/>
      <c r="AN2192" s="2"/>
      <c r="AS2192">
        <v>11.9793350960192</v>
      </c>
      <c r="AT2192">
        <v>3.3338564548571901</v>
      </c>
      <c r="CB2192">
        <v>11.9793350960192</v>
      </c>
      <c r="CC2192">
        <v>7.6667744614522899</v>
      </c>
    </row>
    <row r="2193" spans="39:81">
      <c r="AM2193" s="2"/>
      <c r="AN2193" s="2"/>
      <c r="AS2193">
        <v>11.9327497812196</v>
      </c>
      <c r="AT2193">
        <v>2.1069950305793799</v>
      </c>
      <c r="CB2193">
        <v>11.9327497812196</v>
      </c>
      <c r="CC2193">
        <v>7.6369598599805402</v>
      </c>
    </row>
    <row r="2194" spans="39:81">
      <c r="AM2194" s="2"/>
      <c r="AN2194" s="2"/>
      <c r="AS2194">
        <v>11.8889774706971</v>
      </c>
      <c r="AT2194">
        <v>0.77384631799759496</v>
      </c>
      <c r="CB2194">
        <v>11.8889774706971</v>
      </c>
      <c r="CC2194">
        <v>7.6089455812461599</v>
      </c>
    </row>
    <row r="2195" spans="39:81">
      <c r="AM2195" s="2"/>
      <c r="AN2195" s="2"/>
      <c r="AS2195">
        <v>11.8912302892429</v>
      </c>
      <c r="AT2195">
        <v>-0.71588900655292698</v>
      </c>
      <c r="CB2195">
        <v>11.8912302892429</v>
      </c>
      <c r="CC2195">
        <v>7.61038738511549</v>
      </c>
    </row>
    <row r="2196" spans="39:81">
      <c r="AM2196" s="2"/>
      <c r="AN2196" s="2"/>
      <c r="AS2196">
        <v>11.868188417896301</v>
      </c>
      <c r="AT2196">
        <v>-2.2979068143801098</v>
      </c>
      <c r="CB2196">
        <v>11.868188417896301</v>
      </c>
      <c r="CC2196">
        <v>7.5956405874536701</v>
      </c>
    </row>
    <row r="2197" spans="39:81">
      <c r="AM2197" s="2"/>
      <c r="AN2197" s="2"/>
      <c r="AS2197">
        <v>11.872058437776801</v>
      </c>
      <c r="AT2197">
        <v>-3.7246280884488598</v>
      </c>
      <c r="CB2197">
        <v>11.872058437776801</v>
      </c>
      <c r="CC2197">
        <v>7.5981174001771503</v>
      </c>
    </row>
    <row r="2198" spans="39:81">
      <c r="AM2198" s="2"/>
      <c r="AN2198" s="2"/>
      <c r="AS2198">
        <v>11.8458048735533</v>
      </c>
      <c r="AT2198">
        <v>-4.9096454431559504</v>
      </c>
      <c r="CB2198">
        <v>11.8458048735533</v>
      </c>
      <c r="CC2198">
        <v>7.5813151190741204</v>
      </c>
    </row>
    <row r="2199" spans="39:81">
      <c r="AM2199" s="2"/>
      <c r="AN2199" s="2"/>
      <c r="AS2199">
        <v>11.7561123634413</v>
      </c>
      <c r="AT2199">
        <v>-6.1397551794645002</v>
      </c>
      <c r="CB2199">
        <v>11.7561123634413</v>
      </c>
      <c r="CC2199">
        <v>7.5239119126024701</v>
      </c>
    </row>
    <row r="2200" spans="39:81">
      <c r="AM2200" s="2"/>
      <c r="AN2200" s="2"/>
      <c r="AS2200">
        <v>11.7019038338012</v>
      </c>
      <c r="AT2200">
        <v>-7.2055275062997</v>
      </c>
      <c r="CB2200">
        <v>11.7019038338012</v>
      </c>
      <c r="CC2200">
        <v>7.4892184536327999</v>
      </c>
    </row>
    <row r="2201" spans="39:81">
      <c r="AM2201" s="2"/>
      <c r="AN2201" s="2"/>
      <c r="AS2201">
        <v>11.619519246781699</v>
      </c>
      <c r="AT2201">
        <v>-8.5591587782566503</v>
      </c>
      <c r="CB2201">
        <v>11.619519246781699</v>
      </c>
      <c r="CC2201">
        <v>7.43649231794031</v>
      </c>
    </row>
    <row r="2202" spans="39:81">
      <c r="AM2202" s="2"/>
      <c r="AN2202" s="2"/>
      <c r="AS2202">
        <v>11.5513509946528</v>
      </c>
      <c r="AT2202">
        <v>-9.9294058990519503</v>
      </c>
      <c r="CB2202">
        <v>11.5513509946528</v>
      </c>
      <c r="CC2202">
        <v>7.3928646365778397</v>
      </c>
    </row>
    <row r="2203" spans="39:81">
      <c r="AM2203" s="2"/>
      <c r="AN2203" s="2"/>
      <c r="AS2203">
        <v>11.5135109000627</v>
      </c>
      <c r="AT2203">
        <v>-11.155583572532199</v>
      </c>
      <c r="CB2203">
        <v>11.5135109000627</v>
      </c>
      <c r="CC2203">
        <v>7.3686469760401296</v>
      </c>
    </row>
    <row r="2204" spans="39:81">
      <c r="AM2204" s="2"/>
      <c r="AN2204" s="2"/>
      <c r="AS2204">
        <v>11.420398660453801</v>
      </c>
      <c r="AT2204">
        <v>-12.605415442914101</v>
      </c>
      <c r="CB2204">
        <v>11.420398660453801</v>
      </c>
      <c r="CC2204">
        <v>7.30905514269047</v>
      </c>
    </row>
    <row r="2205" spans="39:81">
      <c r="AM2205" s="2"/>
      <c r="AN2205" s="2"/>
      <c r="AS2205">
        <v>11.3618331327324</v>
      </c>
      <c r="AT2205">
        <v>-13.810244201094999</v>
      </c>
      <c r="CB2205">
        <v>11.3618331327324</v>
      </c>
      <c r="CC2205">
        <v>7.2715732049487496</v>
      </c>
    </row>
    <row r="2206" spans="39:81">
      <c r="AM2206" s="2"/>
      <c r="AN2206" s="2"/>
      <c r="AS2206">
        <v>11.2699889887973</v>
      </c>
      <c r="AT2206">
        <v>-15.0700856640018</v>
      </c>
      <c r="CB2206">
        <v>11.2699889887973</v>
      </c>
      <c r="CC2206">
        <v>7.2127929528303003</v>
      </c>
    </row>
    <row r="2207" spans="39:81">
      <c r="AM2207" s="2"/>
      <c r="AN2207" s="2"/>
      <c r="AS2207">
        <v>11.1534428514551</v>
      </c>
      <c r="AT2207">
        <v>-16.152801974966</v>
      </c>
      <c r="CB2207">
        <v>11.1534428514551</v>
      </c>
      <c r="CC2207">
        <v>7.1382034249313202</v>
      </c>
    </row>
    <row r="2208" spans="39:81">
      <c r="AM2208" s="2"/>
      <c r="AN2208" s="2"/>
      <c r="AS2208">
        <v>11.065231318171399</v>
      </c>
      <c r="AT2208">
        <v>-17.220696774474899</v>
      </c>
      <c r="CB2208">
        <v>11.065231318171399</v>
      </c>
      <c r="CC2208">
        <v>7.0817480436297</v>
      </c>
    </row>
    <row r="2209" spans="39:81">
      <c r="AM2209" s="2"/>
      <c r="AN2209" s="2"/>
      <c r="AS2209">
        <v>10.9342342732545</v>
      </c>
      <c r="AT2209">
        <v>-18.2843259613079</v>
      </c>
      <c r="CB2209">
        <v>10.9342342732545</v>
      </c>
      <c r="CC2209">
        <v>6.9979099348828804</v>
      </c>
    </row>
    <row r="2210" spans="39:81">
      <c r="AM2210" s="2"/>
      <c r="AN2210" s="2"/>
      <c r="AS2210">
        <v>10.8280373020664</v>
      </c>
      <c r="AT2210">
        <v>-19.423208851080801</v>
      </c>
      <c r="CB2210">
        <v>10.8280373020664</v>
      </c>
      <c r="CC2210">
        <v>6.9299438733225198</v>
      </c>
    </row>
    <row r="2211" spans="39:81">
      <c r="AM2211" s="2"/>
      <c r="AN2211" s="2"/>
      <c r="AS2211">
        <v>10.744243469171099</v>
      </c>
      <c r="AT2211">
        <v>-20.7198764027431</v>
      </c>
      <c r="CB2211">
        <v>10.744243469171099</v>
      </c>
      <c r="CC2211">
        <v>6.87631582026955</v>
      </c>
    </row>
    <row r="2212" spans="39:81">
      <c r="AM2212" s="2"/>
      <c r="AN2212" s="2"/>
      <c r="AS2212">
        <v>10.6452068038846</v>
      </c>
      <c r="AT2212">
        <v>-21.9738469843576</v>
      </c>
      <c r="CB2212">
        <v>10.6452068038846</v>
      </c>
      <c r="CC2212">
        <v>6.8129323544861498</v>
      </c>
    </row>
    <row r="2213" spans="39:81">
      <c r="AM2213" s="2"/>
      <c r="AN2213" s="2"/>
      <c r="AS2213">
        <v>10.5735391023285</v>
      </c>
      <c r="AT2213">
        <v>-23.129628467270798</v>
      </c>
      <c r="CB2213">
        <v>10.5735391023285</v>
      </c>
      <c r="CC2213">
        <v>6.7670650254903002</v>
      </c>
    </row>
    <row r="2214" spans="39:81">
      <c r="AM2214" s="2"/>
      <c r="AN2214" s="2"/>
      <c r="AS2214">
        <v>10.4616873110953</v>
      </c>
      <c r="AT2214">
        <v>-24.206916927069901</v>
      </c>
      <c r="CB2214">
        <v>10.4616873110953</v>
      </c>
      <c r="CC2214">
        <v>6.6954798791010104</v>
      </c>
    </row>
    <row r="2215" spans="39:81">
      <c r="AM2215" s="2"/>
      <c r="AN2215" s="2"/>
      <c r="AS2215">
        <v>10.332392015467301</v>
      </c>
      <c r="AT2215">
        <v>-25.108549926932199</v>
      </c>
      <c r="CB2215">
        <v>10.332392015467301</v>
      </c>
      <c r="CC2215">
        <v>6.61273088989911</v>
      </c>
    </row>
    <row r="2216" spans="39:81">
      <c r="AM2216" s="2"/>
      <c r="AN2216" s="2"/>
      <c r="AS2216">
        <v>10.2162729502458</v>
      </c>
      <c r="AT2216">
        <v>-26.140528449720399</v>
      </c>
      <c r="CB2216">
        <v>10.2162729502458</v>
      </c>
      <c r="CC2216">
        <v>6.5384146881573297</v>
      </c>
    </row>
    <row r="2217" spans="39:81">
      <c r="AM2217" s="2"/>
      <c r="AN2217" s="2"/>
      <c r="AS2217">
        <v>10.055801819929901</v>
      </c>
      <c r="AT2217">
        <v>-27.344572423777699</v>
      </c>
      <c r="CB2217">
        <v>10.055801819929901</v>
      </c>
      <c r="CC2217">
        <v>6.4357131647551498</v>
      </c>
    </row>
    <row r="2218" spans="39:81">
      <c r="AM2218" s="2"/>
      <c r="AN2218" s="2"/>
      <c r="AS2218">
        <v>9.9069724256150593</v>
      </c>
      <c r="AT2218">
        <v>-28.512796294838601</v>
      </c>
      <c r="CB2218">
        <v>9.9069724256150593</v>
      </c>
      <c r="CC2218">
        <v>6.3404623523936401</v>
      </c>
    </row>
    <row r="2219" spans="39:81">
      <c r="AM2219" s="2"/>
      <c r="AN2219" s="2"/>
      <c r="AS2219">
        <v>9.7548568323660891</v>
      </c>
      <c r="AT2219">
        <v>-29.859396261586099</v>
      </c>
      <c r="CB2219">
        <v>9.7548568323660891</v>
      </c>
      <c r="CC2219">
        <v>6.24310837271429</v>
      </c>
    </row>
    <row r="2220" spans="39:81">
      <c r="AM2220" s="2"/>
      <c r="AN2220" s="2"/>
      <c r="AS2220">
        <v>9.5753345590431707</v>
      </c>
      <c r="AT2220">
        <v>-31.012992430985101</v>
      </c>
      <c r="CB2220">
        <v>9.5753345590431707</v>
      </c>
      <c r="CC2220">
        <v>6.1282141177876204</v>
      </c>
    </row>
    <row r="2221" spans="39:81">
      <c r="AM2221" s="2"/>
      <c r="AN2221" s="2"/>
      <c r="AS2221">
        <v>9.4123615689486098</v>
      </c>
      <c r="AT2221">
        <v>-32.043250388345598</v>
      </c>
      <c r="CB2221">
        <v>9.4123615689486098</v>
      </c>
      <c r="CC2221">
        <v>6.0239114041271096</v>
      </c>
    </row>
    <row r="2222" spans="39:81">
      <c r="AM2222" s="2"/>
      <c r="AN2222" s="2"/>
      <c r="AS2222">
        <v>9.2562722179710093</v>
      </c>
      <c r="AT2222">
        <v>-33.015577796210799</v>
      </c>
      <c r="CB2222">
        <v>9.2562722179710093</v>
      </c>
      <c r="CC2222">
        <v>5.9240142195014496</v>
      </c>
    </row>
    <row r="2223" spans="39:81">
      <c r="AM2223" s="2"/>
      <c r="AN2223" s="2"/>
      <c r="AS2223">
        <v>9.0739213197089406</v>
      </c>
      <c r="AT2223">
        <v>-33.898820953767398</v>
      </c>
      <c r="CB2223">
        <v>9.0739213197089406</v>
      </c>
      <c r="CC2223">
        <v>5.8073096446137198</v>
      </c>
    </row>
    <row r="2224" spans="39:81">
      <c r="AM2224" s="2"/>
      <c r="AN2224" s="2"/>
      <c r="AS2224">
        <v>8.9038384221799998</v>
      </c>
      <c r="AT2224">
        <v>-34.931247691833299</v>
      </c>
      <c r="CB2224">
        <v>8.9038384221799998</v>
      </c>
      <c r="CC2224">
        <v>5.6984565901951996</v>
      </c>
    </row>
    <row r="2225" spans="39:81">
      <c r="AM2225" s="2"/>
      <c r="AN2225" s="2"/>
      <c r="AS2225">
        <v>8.6980896060162696</v>
      </c>
      <c r="AT2225">
        <v>-35.879428743663397</v>
      </c>
      <c r="CB2225">
        <v>8.6980896060162696</v>
      </c>
      <c r="CC2225">
        <v>5.5667773478504099</v>
      </c>
    </row>
    <row r="2226" spans="39:81">
      <c r="AM2226" s="2"/>
      <c r="AN2226" s="2"/>
      <c r="AS2226">
        <v>8.4818260511099393</v>
      </c>
      <c r="AT2226">
        <v>-36.875219547445603</v>
      </c>
      <c r="CB2226">
        <v>8.4818260511099393</v>
      </c>
      <c r="CC2226">
        <v>5.4283686727103602</v>
      </c>
    </row>
    <row r="2227" spans="39:81">
      <c r="AM2227" s="2"/>
      <c r="AN2227" s="2"/>
      <c r="AS2227">
        <v>8.2883444169768303</v>
      </c>
      <c r="AT2227">
        <v>-37.978804892539102</v>
      </c>
      <c r="CB2227">
        <v>8.2883444169768303</v>
      </c>
      <c r="CC2227">
        <v>5.3045404268651701</v>
      </c>
    </row>
    <row r="2228" spans="39:81">
      <c r="AM2228" s="2"/>
      <c r="AN2228" s="2"/>
      <c r="AS2228">
        <v>8.0685790180650194</v>
      </c>
      <c r="AT2228">
        <v>-38.713013953548597</v>
      </c>
      <c r="CB2228">
        <v>8.0685790180650194</v>
      </c>
      <c r="CC2228">
        <v>5.1638905715616099</v>
      </c>
    </row>
    <row r="2229" spans="39:81">
      <c r="AM2229" s="2"/>
      <c r="AN2229" s="2"/>
      <c r="AS2229">
        <v>7.8516798161876702</v>
      </c>
      <c r="AT2229">
        <v>-39.640200207645996</v>
      </c>
      <c r="CB2229">
        <v>7.8516798161876702</v>
      </c>
      <c r="CC2229">
        <v>5.02507508236011</v>
      </c>
    </row>
    <row r="2230" spans="39:81">
      <c r="AM2230" s="2"/>
      <c r="AN2230" s="2"/>
      <c r="AS2230">
        <v>7.6410869876436198</v>
      </c>
      <c r="AT2230">
        <v>-40.180184174703697</v>
      </c>
      <c r="CB2230">
        <v>7.6410869876436198</v>
      </c>
      <c r="CC2230">
        <v>4.8902956720919102</v>
      </c>
    </row>
    <row r="2231" spans="39:81">
      <c r="AM2231" s="2"/>
      <c r="AN2231" s="2"/>
      <c r="AS2231">
        <v>7.4152316355980297</v>
      </c>
      <c r="AT2231">
        <v>-40.714853955141201</v>
      </c>
      <c r="CB2231">
        <v>7.4152316355980297</v>
      </c>
      <c r="CC2231">
        <v>4.7457482467827301</v>
      </c>
    </row>
    <row r="2232" spans="39:81">
      <c r="AM2232" s="2"/>
      <c r="AN2232" s="2"/>
      <c r="AS2232">
        <v>7.2195436810295002</v>
      </c>
      <c r="AT2232">
        <v>-41.475785481636102</v>
      </c>
      <c r="CB2232">
        <v>7.2195436810295002</v>
      </c>
      <c r="CC2232">
        <v>4.62050795585888</v>
      </c>
    </row>
    <row r="2233" spans="39:81">
      <c r="AM2233" s="2"/>
      <c r="AN2233" s="2"/>
      <c r="AS2233">
        <v>7.0229026128479903</v>
      </c>
      <c r="AT2233">
        <v>-42.095284572778802</v>
      </c>
      <c r="CB2233">
        <v>7.0229026128479903</v>
      </c>
      <c r="CC2233">
        <v>4.4946576722227096</v>
      </c>
    </row>
    <row r="2234" spans="39:81">
      <c r="AM2234" s="2"/>
      <c r="AN2234" s="2"/>
      <c r="AS2234">
        <v>6.8115956435980003</v>
      </c>
      <c r="AT2234">
        <v>-43.003110777302702</v>
      </c>
      <c r="CB2234">
        <v>6.8115956435980003</v>
      </c>
      <c r="CC2234">
        <v>4.3594212119027196</v>
      </c>
    </row>
    <row r="2235" spans="39:81">
      <c r="AM2235" s="2"/>
      <c r="AN2235" s="2"/>
      <c r="AS2235">
        <v>6.5967996311996204</v>
      </c>
      <c r="AT2235">
        <v>-43.814245203356997</v>
      </c>
      <c r="CB2235">
        <v>6.5967996311996204</v>
      </c>
      <c r="CC2235">
        <v>4.22195176396776</v>
      </c>
    </row>
    <row r="2236" spans="39:81">
      <c r="AM2236" s="2"/>
      <c r="AN2236" s="2"/>
      <c r="AS2236">
        <v>6.3455613632458299</v>
      </c>
      <c r="AT2236">
        <v>-44.427762290704202</v>
      </c>
      <c r="CB2236">
        <v>6.3455613632458299</v>
      </c>
      <c r="CC2236">
        <v>4.0611592724773304</v>
      </c>
    </row>
    <row r="2237" spans="39:81">
      <c r="AM2237" s="2"/>
      <c r="AN2237" s="2"/>
      <c r="AS2237">
        <v>6.1008080068984096</v>
      </c>
      <c r="AT2237">
        <v>-44.9104495839469</v>
      </c>
      <c r="CB2237">
        <v>6.1008080068984096</v>
      </c>
      <c r="CC2237">
        <v>3.9045171244149799</v>
      </c>
    </row>
    <row r="2238" spans="39:81">
      <c r="AM2238" s="2"/>
      <c r="AN2238" s="2"/>
      <c r="AS2238">
        <v>5.8644974320349199</v>
      </c>
      <c r="AT2238">
        <v>-45.282023272856698</v>
      </c>
      <c r="CB2238">
        <v>5.8644974320349199</v>
      </c>
      <c r="CC2238">
        <v>3.7532783565023502</v>
      </c>
    </row>
    <row r="2239" spans="39:81">
      <c r="AM2239" s="2"/>
      <c r="AN2239" s="2"/>
      <c r="AS2239">
        <v>5.6065894562005498</v>
      </c>
      <c r="AT2239">
        <v>-45.5745103925981</v>
      </c>
      <c r="CB2239">
        <v>5.6065894562005498</v>
      </c>
      <c r="CC2239">
        <v>3.58821725196835</v>
      </c>
    </row>
    <row r="2240" spans="39:81">
      <c r="AM2240" s="2"/>
      <c r="AN2240" s="2"/>
      <c r="AS2240">
        <v>5.3655572325457204</v>
      </c>
      <c r="AT2240">
        <v>-46.110465538978502</v>
      </c>
      <c r="CB2240">
        <v>5.3655572325457204</v>
      </c>
      <c r="CC2240">
        <v>3.43395662882926</v>
      </c>
    </row>
    <row r="2241" spans="39:81">
      <c r="AM2241" s="2"/>
      <c r="AN2241" s="2"/>
      <c r="AS2241">
        <v>5.0835170740523701</v>
      </c>
      <c r="AT2241">
        <v>-46.687827804978298</v>
      </c>
      <c r="CB2241">
        <v>5.0835170740523701</v>
      </c>
      <c r="CC2241">
        <v>3.2534509273935202</v>
      </c>
    </row>
    <row r="2242" spans="39:81">
      <c r="AM2242" s="2"/>
      <c r="AN2242" s="2"/>
      <c r="AS2242">
        <v>4.77748014340757</v>
      </c>
      <c r="AT2242">
        <v>-47.195021157579099</v>
      </c>
      <c r="CB2242">
        <v>4.77748014340757</v>
      </c>
      <c r="CC2242">
        <v>3.0575872917808402</v>
      </c>
    </row>
    <row r="2243" spans="39:81">
      <c r="AM2243" s="2"/>
      <c r="AN2243" s="2"/>
      <c r="AS2243">
        <v>4.4848913945990398</v>
      </c>
      <c r="AT2243">
        <v>-47.820822617970499</v>
      </c>
      <c r="CB2243">
        <v>4.4848913945990398</v>
      </c>
      <c r="CC2243">
        <v>2.8703304925433799</v>
      </c>
    </row>
    <row r="2244" spans="39:81">
      <c r="AM2244" s="2"/>
      <c r="AN2244" s="2"/>
      <c r="AS2244">
        <v>4.1601183708909097</v>
      </c>
      <c r="AT2244">
        <v>-47.9676430953891</v>
      </c>
      <c r="CB2244">
        <v>4.1601183708909097</v>
      </c>
      <c r="CC2244">
        <v>2.6624757573701801</v>
      </c>
    </row>
    <row r="2245" spans="39:81">
      <c r="AM2245" s="2"/>
      <c r="AN2245" s="2"/>
      <c r="AS2245">
        <v>3.86393474589048</v>
      </c>
      <c r="AT2245">
        <v>-48.279146068200099</v>
      </c>
      <c r="CB2245">
        <v>3.86393474589048</v>
      </c>
      <c r="CC2245">
        <v>2.4729182373699001</v>
      </c>
    </row>
    <row r="2246" spans="39:81">
      <c r="AM2246" s="2"/>
      <c r="AN2246" s="2"/>
      <c r="AS2246">
        <v>3.5666807692231299</v>
      </c>
      <c r="AT2246">
        <v>-48.541243172985297</v>
      </c>
      <c r="CB2246">
        <v>3.5666807692231299</v>
      </c>
      <c r="CC2246">
        <v>2.2826756923028002</v>
      </c>
    </row>
    <row r="2247" spans="39:81">
      <c r="AM2247" s="2"/>
      <c r="AN2247" s="2"/>
      <c r="AS2247">
        <v>3.2548625951662098</v>
      </c>
      <c r="AT2247">
        <v>-48.683083897392102</v>
      </c>
      <c r="CB2247">
        <v>3.2548625951662098</v>
      </c>
      <c r="CC2247">
        <v>2.08311206090637</v>
      </c>
    </row>
    <row r="2248" spans="39:81">
      <c r="AM2248" s="2"/>
      <c r="AN2248" s="2"/>
      <c r="AS2248">
        <v>2.9564327440278801</v>
      </c>
      <c r="AT2248">
        <v>-49.117245304893302</v>
      </c>
      <c r="CB2248">
        <v>2.9564327440278801</v>
      </c>
      <c r="CC2248">
        <v>1.8921169561778399</v>
      </c>
    </row>
    <row r="2249" spans="39:81">
      <c r="AM2249" s="2"/>
      <c r="AN2249" s="2"/>
      <c r="AS2249">
        <v>2.6260774535379401</v>
      </c>
      <c r="AT2249">
        <v>-49.365322769723498</v>
      </c>
      <c r="CB2249">
        <v>2.6260774535379401</v>
      </c>
      <c r="CC2249">
        <v>1.6806895702642799</v>
      </c>
    </row>
    <row r="2250" spans="39:81">
      <c r="AM2250" s="2"/>
      <c r="AN2250" s="2"/>
      <c r="AS2250">
        <v>2.31057378430555</v>
      </c>
      <c r="AT2250">
        <v>-49.8087371961009</v>
      </c>
      <c r="CB2250">
        <v>2.31057378430555</v>
      </c>
      <c r="CC2250">
        <v>1.4787672219555501</v>
      </c>
    </row>
    <row r="2251" spans="39:81">
      <c r="AM2251" s="2"/>
      <c r="AN2251" s="2"/>
      <c r="AS2251">
        <v>1.98552533749023</v>
      </c>
      <c r="AT2251">
        <v>-50.087676008485801</v>
      </c>
      <c r="CB2251">
        <v>1.98552533749023</v>
      </c>
      <c r="CC2251">
        <v>1.2707362159937401</v>
      </c>
    </row>
    <row r="2252" spans="39:81">
      <c r="AM2252" s="2"/>
      <c r="AN2252" s="2"/>
      <c r="AS2252">
        <v>1.6600072149040399</v>
      </c>
      <c r="AT2252">
        <v>-50.315768376918498</v>
      </c>
      <c r="CB2252">
        <v>1.6600072149040399</v>
      </c>
      <c r="CC2252">
        <v>1.06240461753858</v>
      </c>
    </row>
    <row r="2253" spans="39:81">
      <c r="AM2253" s="2"/>
      <c r="AN2253" s="2"/>
      <c r="AS2253">
        <v>1.3624265408604499</v>
      </c>
      <c r="AT2253">
        <v>-50.453224212628399</v>
      </c>
      <c r="CB2253">
        <v>1.3624265408604499</v>
      </c>
      <c r="CC2253">
        <v>0.87195298615069405</v>
      </c>
    </row>
    <row r="2254" spans="39:81">
      <c r="AM2254" s="2"/>
      <c r="AN2254" s="2"/>
      <c r="AS2254">
        <v>1.05937788490528</v>
      </c>
      <c r="AT2254">
        <v>-50.457989276540701</v>
      </c>
      <c r="CB2254">
        <v>1.05937788490528</v>
      </c>
      <c r="CC2254">
        <v>0.67800184633937899</v>
      </c>
    </row>
    <row r="2255" spans="39:81">
      <c r="AM2255" s="2"/>
      <c r="AN2255" s="2"/>
      <c r="AS2255">
        <v>0.78547960955602003</v>
      </c>
      <c r="AT2255">
        <v>-50.556046632691498</v>
      </c>
      <c r="CB2255">
        <v>0.78547960955602003</v>
      </c>
      <c r="CC2255">
        <v>0.50270695011585298</v>
      </c>
    </row>
    <row r="2256" spans="39:81">
      <c r="AM2256" s="2"/>
      <c r="AN2256" s="2"/>
      <c r="AS2256">
        <v>0.51769282349200096</v>
      </c>
      <c r="AT2256">
        <v>-50.685342850817101</v>
      </c>
      <c r="CB2256">
        <v>0.51769282349200096</v>
      </c>
      <c r="CC2256">
        <v>0.331323407034881</v>
      </c>
    </row>
    <row r="2257" spans="39:81">
      <c r="AM2257" s="2"/>
      <c r="AN2257" s="2"/>
      <c r="AS2257">
        <v>0.21161648355648799</v>
      </c>
      <c r="AT2257">
        <v>-50.853379832924702</v>
      </c>
      <c r="CB2257">
        <v>0.21161648355648799</v>
      </c>
      <c r="CC2257">
        <v>0.13543454947615199</v>
      </c>
    </row>
    <row r="2258" spans="39:81">
      <c r="AM2258" s="2"/>
      <c r="AN2258" s="2"/>
      <c r="AS2258">
        <v>-6.3755390403397103E-2</v>
      </c>
      <c r="AT2258">
        <v>-51.1037081094996</v>
      </c>
      <c r="CB2258">
        <v>-6.3755390403397103E-2</v>
      </c>
      <c r="CC2258">
        <v>-4.08034498581741E-2</v>
      </c>
    </row>
    <row r="2259" spans="39:81">
      <c r="AM2259" s="2"/>
      <c r="AN2259" s="2"/>
      <c r="AS2259">
        <v>-0.37425172816806002</v>
      </c>
      <c r="AT2259">
        <v>-51.097081483411003</v>
      </c>
      <c r="CB2259">
        <v>-0.37425172816806002</v>
      </c>
      <c r="CC2259">
        <v>-0.239521106027558</v>
      </c>
    </row>
    <row r="2260" spans="39:81">
      <c r="AM2260" s="2"/>
      <c r="AN2260" s="2"/>
      <c r="AS2260">
        <v>-0.67680456991433102</v>
      </c>
      <c r="AT2260">
        <v>-50.963978114730899</v>
      </c>
      <c r="CB2260">
        <v>-0.67680456991433102</v>
      </c>
      <c r="CC2260">
        <v>-0.43315492474517198</v>
      </c>
    </row>
    <row r="2261" spans="39:81">
      <c r="AM2261" s="2"/>
      <c r="AN2261" s="2"/>
      <c r="AS2261">
        <v>-0.95386013088198995</v>
      </c>
      <c r="AT2261">
        <v>-50.804669102848898</v>
      </c>
      <c r="CB2261">
        <v>-0.95386013088198995</v>
      </c>
      <c r="CC2261">
        <v>-0.61047048376447299</v>
      </c>
    </row>
    <row r="2262" spans="39:81">
      <c r="AM2262" s="2"/>
      <c r="AN2262" s="2"/>
      <c r="AS2262">
        <v>-1.27825810526803</v>
      </c>
      <c r="AT2262">
        <v>-50.390861164612502</v>
      </c>
      <c r="CB2262">
        <v>-1.27825810526803</v>
      </c>
      <c r="CC2262">
        <v>-0.81808518737154401</v>
      </c>
    </row>
    <row r="2263" spans="39:81">
      <c r="AM2263" s="2"/>
      <c r="AN2263" s="2"/>
      <c r="AS2263">
        <v>-1.5763163531742601</v>
      </c>
      <c r="AT2263">
        <v>-50.214262560837298</v>
      </c>
      <c r="CB2263">
        <v>-1.5763163531742601</v>
      </c>
      <c r="CC2263">
        <v>-1.00884246603153</v>
      </c>
    </row>
    <row r="2264" spans="39:81">
      <c r="AM2264" s="2"/>
      <c r="AN2264" s="2"/>
      <c r="AS2264">
        <v>-1.89558910303872</v>
      </c>
      <c r="AT2264">
        <v>-50.024922596619902</v>
      </c>
      <c r="CB2264">
        <v>-1.89558910303872</v>
      </c>
      <c r="CC2264">
        <v>-1.2131770259447801</v>
      </c>
    </row>
    <row r="2265" spans="39:81">
      <c r="AM2265" s="2"/>
      <c r="AN2265" s="2"/>
      <c r="AS2265">
        <v>-2.2238839507429899</v>
      </c>
      <c r="AT2265">
        <v>-49.866987580300197</v>
      </c>
      <c r="CB2265">
        <v>-2.2238839507429899</v>
      </c>
      <c r="CC2265">
        <v>-1.42328572847551</v>
      </c>
    </row>
    <row r="2266" spans="39:81">
      <c r="AM2266" s="2"/>
      <c r="AN2266" s="2"/>
      <c r="AS2266">
        <v>-2.540164703331</v>
      </c>
      <c r="AT2266">
        <v>-49.751785682571601</v>
      </c>
      <c r="CB2266">
        <v>-2.540164703331</v>
      </c>
      <c r="CC2266">
        <v>-1.62570541013184</v>
      </c>
    </row>
    <row r="2267" spans="39:81">
      <c r="AM2267" s="2"/>
      <c r="AN2267" s="2"/>
      <c r="AS2267">
        <v>-2.88239966423001</v>
      </c>
      <c r="AT2267">
        <v>-49.392940319229602</v>
      </c>
      <c r="CB2267">
        <v>-2.88239966423001</v>
      </c>
      <c r="CC2267">
        <v>-1.8447357851072099</v>
      </c>
    </row>
    <row r="2268" spans="39:81">
      <c r="AM2268" s="2"/>
      <c r="AN2268" s="2"/>
      <c r="AS2268">
        <v>-3.1949291798855199</v>
      </c>
      <c r="AT2268">
        <v>-49.175737492124597</v>
      </c>
      <c r="CB2268">
        <v>-3.1949291798855199</v>
      </c>
      <c r="CC2268">
        <v>-2.0447546751267298</v>
      </c>
    </row>
    <row r="2269" spans="39:81">
      <c r="AM2269" s="2"/>
      <c r="AN2269" s="2"/>
      <c r="AS2269">
        <v>-3.5098456978943098</v>
      </c>
      <c r="AT2269">
        <v>-48.595978474692799</v>
      </c>
      <c r="CB2269">
        <v>-3.5098456978943098</v>
      </c>
      <c r="CC2269">
        <v>-2.2463012466523602</v>
      </c>
    </row>
    <row r="2270" spans="39:81">
      <c r="AM2270" s="2"/>
      <c r="AN2270" s="2"/>
      <c r="AS2270">
        <v>-3.80488323112028</v>
      </c>
      <c r="AT2270">
        <v>-48.145613618780601</v>
      </c>
      <c r="CB2270">
        <v>-3.80488323112028</v>
      </c>
      <c r="CC2270">
        <v>-2.4351252679169799</v>
      </c>
    </row>
    <row r="2271" spans="39:81">
      <c r="AM2271" s="2"/>
      <c r="AN2271" s="2"/>
      <c r="AS2271">
        <v>-4.06319899162078</v>
      </c>
      <c r="AT2271">
        <v>-47.853031115223601</v>
      </c>
      <c r="CB2271">
        <v>-4.06319899162078</v>
      </c>
      <c r="CC2271">
        <v>-2.6004473546372999</v>
      </c>
    </row>
    <row r="2272" spans="39:81">
      <c r="AM2272" s="2"/>
      <c r="AN2272" s="2"/>
      <c r="AS2272">
        <v>-4.3490842643015801</v>
      </c>
      <c r="AT2272">
        <v>-47.411980924797497</v>
      </c>
      <c r="CB2272">
        <v>-4.3490842643015801</v>
      </c>
      <c r="CC2272">
        <v>-2.78341392915301</v>
      </c>
    </row>
    <row r="2273" spans="39:81">
      <c r="AM2273" s="2"/>
      <c r="AN2273" s="2"/>
      <c r="AS2273">
        <v>-4.6117301957855803</v>
      </c>
      <c r="AT2273">
        <v>-47.447795452141698</v>
      </c>
      <c r="CB2273">
        <v>-4.6117301957855803</v>
      </c>
      <c r="CC2273">
        <v>-2.9515073253027699</v>
      </c>
    </row>
    <row r="2274" spans="39:81">
      <c r="AM2274" s="2"/>
      <c r="AN2274" s="2"/>
      <c r="AS2274">
        <v>-4.8962827283660699</v>
      </c>
      <c r="AT2274">
        <v>-47.135176888866503</v>
      </c>
      <c r="CB2274">
        <v>-4.8962827283660699</v>
      </c>
      <c r="CC2274">
        <v>-3.1336209461542799</v>
      </c>
    </row>
    <row r="2275" spans="39:81">
      <c r="AM2275" s="2"/>
      <c r="AN2275" s="2"/>
      <c r="AS2275">
        <v>-5.1813365963677596</v>
      </c>
      <c r="AT2275">
        <v>-46.8094713411447</v>
      </c>
      <c r="CB2275">
        <v>-5.1813365963677596</v>
      </c>
      <c r="CC2275">
        <v>-3.3160554216753599</v>
      </c>
    </row>
    <row r="2276" spans="39:81">
      <c r="AM2276" s="2"/>
      <c r="AN2276" s="2"/>
      <c r="AS2276">
        <v>-5.4181472668956898</v>
      </c>
      <c r="AT2276">
        <v>-46.3762643194435</v>
      </c>
      <c r="CB2276">
        <v>-5.4181472668956898</v>
      </c>
      <c r="CC2276">
        <v>-3.4676142508132402</v>
      </c>
    </row>
    <row r="2277" spans="39:81">
      <c r="AM2277" s="2"/>
      <c r="AN2277" s="2"/>
      <c r="AS2277">
        <v>-5.6524339901352603</v>
      </c>
      <c r="AT2277">
        <v>-45.593763168566703</v>
      </c>
      <c r="CB2277">
        <v>-5.6524339901352603</v>
      </c>
      <c r="CC2277">
        <v>-3.61755775368656</v>
      </c>
    </row>
    <row r="2278" spans="39:81">
      <c r="AM2278" s="2"/>
      <c r="AN2278" s="2"/>
      <c r="AS2278">
        <v>-5.8520069748268799</v>
      </c>
      <c r="AT2278">
        <v>-45.010476196283697</v>
      </c>
      <c r="CB2278">
        <v>-5.8520069748268799</v>
      </c>
      <c r="CC2278">
        <v>-3.7452844638892002</v>
      </c>
    </row>
    <row r="2279" spans="39:81">
      <c r="AM2279" s="2"/>
      <c r="AN2279" s="2"/>
      <c r="AS2279">
        <v>-6.0406684800475903</v>
      </c>
      <c r="AT2279">
        <v>-44.5120961244276</v>
      </c>
      <c r="CB2279">
        <v>-6.0406684800475903</v>
      </c>
      <c r="CC2279">
        <v>-3.8660278272304498</v>
      </c>
    </row>
    <row r="2280" spans="39:81">
      <c r="AM2280" s="2"/>
      <c r="AN2280" s="2"/>
      <c r="AS2280">
        <v>-6.2594612449978602</v>
      </c>
      <c r="AT2280">
        <v>-44.117482337374803</v>
      </c>
      <c r="CB2280">
        <v>-6.2594612449978602</v>
      </c>
      <c r="CC2280">
        <v>-4.0060551967986298</v>
      </c>
    </row>
    <row r="2281" spans="39:81">
      <c r="AM2281" s="2"/>
      <c r="AN2281" s="2"/>
      <c r="AS2281">
        <v>-6.47618945413842</v>
      </c>
      <c r="AT2281">
        <v>-43.789398870268599</v>
      </c>
      <c r="CB2281">
        <v>-6.47618945413842</v>
      </c>
      <c r="CC2281">
        <v>-4.1447612506485898</v>
      </c>
    </row>
    <row r="2282" spans="39:81">
      <c r="AM2282" s="2"/>
      <c r="AN2282" s="2"/>
      <c r="AS2282">
        <v>-6.7003582654124996</v>
      </c>
      <c r="AT2282">
        <v>-43.388155199122302</v>
      </c>
      <c r="CB2282">
        <v>-6.7003582654124996</v>
      </c>
      <c r="CC2282">
        <v>-4.2882292898639998</v>
      </c>
    </row>
    <row r="2283" spans="39:81">
      <c r="AM2283" s="2"/>
      <c r="AN2283" s="2"/>
      <c r="AS2283">
        <v>-6.9187949113774696</v>
      </c>
      <c r="AT2283">
        <v>-42.687308738379102</v>
      </c>
      <c r="CB2283">
        <v>-6.9187949113774696</v>
      </c>
      <c r="CC2283">
        <v>-4.4280287432815797</v>
      </c>
    </row>
    <row r="2284" spans="39:81">
      <c r="AM2284" s="2"/>
      <c r="AN2284" s="2"/>
      <c r="AS2284">
        <v>-7.1077795979457203</v>
      </c>
      <c r="AT2284">
        <v>-41.978943212584703</v>
      </c>
      <c r="CB2284">
        <v>-7.1077795979457203</v>
      </c>
      <c r="CC2284">
        <v>-4.5489789426852596</v>
      </c>
    </row>
    <row r="2285" spans="39:81">
      <c r="AM2285" s="2"/>
      <c r="AN2285" s="2"/>
      <c r="AS2285">
        <v>-7.31236383877983</v>
      </c>
      <c r="AT2285">
        <v>-41.174002625902297</v>
      </c>
      <c r="CB2285">
        <v>-7.31236383877983</v>
      </c>
      <c r="CC2285">
        <v>-4.6799128568190902</v>
      </c>
    </row>
    <row r="2286" spans="39:81">
      <c r="AM2286" s="2"/>
      <c r="AN2286" s="2"/>
      <c r="AS2286">
        <v>-7.5267585164783704</v>
      </c>
      <c r="AT2286">
        <v>-40.3391621272172</v>
      </c>
      <c r="CB2286">
        <v>-7.5267585164783704</v>
      </c>
      <c r="CC2286">
        <v>-4.8171254505461496</v>
      </c>
    </row>
    <row r="2287" spans="39:81">
      <c r="AM2287" s="2"/>
      <c r="AN2287" s="2"/>
      <c r="AS2287">
        <v>-7.7365923531733403</v>
      </c>
      <c r="AT2287">
        <v>-39.777680629256302</v>
      </c>
      <c r="CB2287">
        <v>-7.7365923531733403</v>
      </c>
      <c r="CC2287">
        <v>-4.95141910603094</v>
      </c>
    </row>
    <row r="2288" spans="39:81">
      <c r="AM2288" s="2"/>
      <c r="AN2288" s="2"/>
      <c r="AS2288">
        <v>-7.9659165725566998</v>
      </c>
      <c r="AT2288">
        <v>-38.8927952825955</v>
      </c>
      <c r="CB2288">
        <v>-7.9659165725566998</v>
      </c>
      <c r="CC2288">
        <v>-5.09818660643628</v>
      </c>
    </row>
    <row r="2289" spans="39:81">
      <c r="AM2289" s="2"/>
      <c r="AN2289" s="2"/>
      <c r="AS2289">
        <v>-8.1668391830737406</v>
      </c>
      <c r="AT2289">
        <v>-38.227502450722397</v>
      </c>
      <c r="CB2289">
        <v>-8.1668391830737406</v>
      </c>
      <c r="CC2289">
        <v>-5.2267770771671902</v>
      </c>
    </row>
    <row r="2290" spans="39:81">
      <c r="AM2290" s="2"/>
      <c r="AN2290" s="2"/>
      <c r="AS2290">
        <v>-8.3673538335363595</v>
      </c>
      <c r="AT2290">
        <v>-37.472506342098498</v>
      </c>
      <c r="CB2290">
        <v>-8.3673538335363595</v>
      </c>
      <c r="CC2290">
        <v>-5.3551064534632697</v>
      </c>
    </row>
    <row r="2291" spans="39:81">
      <c r="AM2291" s="2"/>
      <c r="AN2291" s="2"/>
      <c r="AS2291">
        <v>-8.5809061104078594</v>
      </c>
      <c r="AT2291">
        <v>-36.5392482892929</v>
      </c>
      <c r="CB2291">
        <v>-8.5809061104078594</v>
      </c>
      <c r="CC2291">
        <v>-5.4917799106610303</v>
      </c>
    </row>
    <row r="2292" spans="39:81">
      <c r="AM2292" s="2"/>
      <c r="AN2292" s="2"/>
      <c r="AS2292">
        <v>-8.7603132975350793</v>
      </c>
      <c r="AT2292">
        <v>-35.630489789133001</v>
      </c>
      <c r="CB2292">
        <v>-8.7603132975350793</v>
      </c>
      <c r="CC2292">
        <v>-5.6066005104224503</v>
      </c>
    </row>
    <row r="2293" spans="39:81">
      <c r="AM2293" s="2"/>
      <c r="AN2293" s="2"/>
      <c r="AS2293">
        <v>-8.9640139912917807</v>
      </c>
      <c r="AT2293">
        <v>-34.510079692644098</v>
      </c>
      <c r="CB2293">
        <v>-8.9640139912917807</v>
      </c>
      <c r="CC2293">
        <v>-5.7369689544267404</v>
      </c>
    </row>
    <row r="2294" spans="39:81">
      <c r="AM2294" s="2"/>
      <c r="AN2294" s="2"/>
      <c r="AS2294">
        <v>-9.1538829632554908</v>
      </c>
      <c r="AT2294">
        <v>-33.458198489912697</v>
      </c>
      <c r="CB2294">
        <v>-9.1538829632554908</v>
      </c>
      <c r="CC2294">
        <v>-5.85848509648351</v>
      </c>
    </row>
    <row r="2295" spans="39:81">
      <c r="AM2295" s="2"/>
      <c r="AN2295" s="2"/>
      <c r="AS2295">
        <v>-9.3191764339649197</v>
      </c>
      <c r="AT2295">
        <v>-32.407252498165903</v>
      </c>
      <c r="CB2295">
        <v>-9.3191764339649197</v>
      </c>
      <c r="CC2295">
        <v>-5.9642729177375502</v>
      </c>
    </row>
    <row r="2296" spans="39:81">
      <c r="AM2296" s="2"/>
      <c r="AN2296" s="2"/>
      <c r="AS2296">
        <v>-9.5008968525136908</v>
      </c>
      <c r="AT2296">
        <v>-31.464355347191301</v>
      </c>
      <c r="CB2296">
        <v>-9.5008968525136908</v>
      </c>
      <c r="CC2296">
        <v>-6.0805739856087602</v>
      </c>
    </row>
    <row r="2297" spans="39:81">
      <c r="AM2297" s="2"/>
      <c r="AN2297" s="2"/>
      <c r="AS2297">
        <v>-9.6700068277977191</v>
      </c>
      <c r="AT2297">
        <v>-30.5493232375077</v>
      </c>
      <c r="CB2297">
        <v>-9.6700068277977191</v>
      </c>
      <c r="CC2297">
        <v>-6.1888043697905397</v>
      </c>
    </row>
    <row r="2298" spans="39:81">
      <c r="AM2298" s="2"/>
      <c r="AN2298" s="2"/>
      <c r="AS2298">
        <v>-9.8233982686988899</v>
      </c>
      <c r="AT2298">
        <v>-29.512759286644201</v>
      </c>
      <c r="CB2298">
        <v>-9.8233982686988899</v>
      </c>
      <c r="CC2298">
        <v>-6.2869748919672901</v>
      </c>
    </row>
    <row r="2299" spans="39:81">
      <c r="AM2299" s="2"/>
      <c r="AN2299" s="2"/>
      <c r="AS2299">
        <v>-9.9947804053254607</v>
      </c>
      <c r="AT2299">
        <v>-28.403157859535298</v>
      </c>
      <c r="CB2299">
        <v>-9.9947804053254607</v>
      </c>
      <c r="CC2299">
        <v>-6.3966594594083004</v>
      </c>
    </row>
    <row r="2300" spans="39:81">
      <c r="AM2300" s="2"/>
      <c r="AN2300" s="2"/>
      <c r="AS2300">
        <v>-10.137090453352499</v>
      </c>
      <c r="AT2300">
        <v>-27.123923454078199</v>
      </c>
      <c r="CB2300">
        <v>-10.137090453352499</v>
      </c>
      <c r="CC2300">
        <v>-6.4877378901456302</v>
      </c>
    </row>
    <row r="2301" spans="39:81">
      <c r="AM2301" s="2"/>
      <c r="AN2301" s="2"/>
      <c r="AS2301">
        <v>-10.281345270768499</v>
      </c>
      <c r="AT2301">
        <v>-25.856507112470599</v>
      </c>
      <c r="CB2301">
        <v>-10.281345270768499</v>
      </c>
      <c r="CC2301">
        <v>-6.5800609732918902</v>
      </c>
    </row>
    <row r="2302" spans="39:81">
      <c r="AM2302" s="2"/>
      <c r="AN2302" s="2"/>
      <c r="AS2302">
        <v>-10.4353097894321</v>
      </c>
      <c r="AT2302">
        <v>-24.773158688885999</v>
      </c>
      <c r="CB2302">
        <v>-10.4353097894321</v>
      </c>
      <c r="CC2302">
        <v>-6.6785982652365901</v>
      </c>
    </row>
    <row r="2303" spans="39:81">
      <c r="AM2303" s="2"/>
      <c r="AN2303" s="2"/>
      <c r="AS2303">
        <v>-10.5380453721683</v>
      </c>
      <c r="AT2303">
        <v>-23.7439012650966</v>
      </c>
      <c r="CB2303">
        <v>-10.5380453721683</v>
      </c>
      <c r="CC2303">
        <v>-6.7443490381877496</v>
      </c>
    </row>
    <row r="2304" spans="39:81">
      <c r="AM2304" s="2"/>
      <c r="AN2304" s="2"/>
      <c r="AS2304">
        <v>-10.664027402296</v>
      </c>
      <c r="AT2304">
        <v>-22.8090688666259</v>
      </c>
      <c r="CB2304">
        <v>-10.664027402296</v>
      </c>
      <c r="CC2304">
        <v>-6.8249775374694703</v>
      </c>
    </row>
    <row r="2305" spans="39:81">
      <c r="AM2305" s="2"/>
      <c r="AN2305" s="2"/>
      <c r="AS2305">
        <v>-10.782287550861</v>
      </c>
      <c r="AT2305">
        <v>-21.9022774034893</v>
      </c>
      <c r="CB2305">
        <v>-10.782287550861</v>
      </c>
      <c r="CC2305">
        <v>-6.9006640325511004</v>
      </c>
    </row>
    <row r="2306" spans="39:81">
      <c r="AM2306" s="2"/>
      <c r="AN2306" s="2"/>
      <c r="AS2306">
        <v>-10.8813111140565</v>
      </c>
      <c r="AT2306">
        <v>-20.741809810090501</v>
      </c>
      <c r="CB2306">
        <v>-10.8813111140565</v>
      </c>
      <c r="CC2306">
        <v>-6.9640391129961996</v>
      </c>
    </row>
    <row r="2307" spans="39:81">
      <c r="AM2307" s="2"/>
      <c r="AN2307" s="2"/>
      <c r="AS2307">
        <v>-11.034332030243901</v>
      </c>
      <c r="AT2307">
        <v>-19.549186429638599</v>
      </c>
      <c r="CB2307">
        <v>-11.034332030243901</v>
      </c>
      <c r="CC2307">
        <v>-7.0619724993561004</v>
      </c>
    </row>
    <row r="2308" spans="39:81">
      <c r="AM2308" s="2"/>
      <c r="AN2308" s="2"/>
      <c r="AS2308">
        <v>-11.1588358363874</v>
      </c>
      <c r="AT2308">
        <v>-18.289077645001498</v>
      </c>
      <c r="CB2308">
        <v>-11.1588358363874</v>
      </c>
      <c r="CC2308">
        <v>-7.1416549352879501</v>
      </c>
    </row>
    <row r="2309" spans="39:81">
      <c r="AM2309" s="2"/>
      <c r="AN2309" s="2"/>
      <c r="AS2309">
        <v>-11.3022666443366</v>
      </c>
      <c r="AT2309">
        <v>-17.0687345760882</v>
      </c>
      <c r="CB2309">
        <v>-11.3022666443366</v>
      </c>
      <c r="CC2309">
        <v>-7.23345065237545</v>
      </c>
    </row>
    <row r="2310" spans="39:81">
      <c r="AM2310" s="2"/>
      <c r="AN2310" s="2"/>
      <c r="AS2310">
        <v>-11.4435835529318</v>
      </c>
      <c r="AT2310">
        <v>-15.927765935147001</v>
      </c>
      <c r="CB2310">
        <v>-11.4435835529318</v>
      </c>
      <c r="CC2310">
        <v>-7.3238934738763497</v>
      </c>
    </row>
    <row r="2311" spans="39:81">
      <c r="AM2311" s="2"/>
      <c r="AN2311" s="2"/>
      <c r="AS2311">
        <v>-11.5130088982625</v>
      </c>
      <c r="AT2311">
        <v>-14.680288501966</v>
      </c>
      <c r="CB2311">
        <v>-11.5130088982625</v>
      </c>
      <c r="CC2311">
        <v>-7.3683256948880302</v>
      </c>
    </row>
    <row r="2312" spans="39:81">
      <c r="AM2312" s="2"/>
      <c r="AN2312" s="2"/>
      <c r="AS2312">
        <v>-11.615397027835099</v>
      </c>
      <c r="AT2312">
        <v>-13.7406195463373</v>
      </c>
      <c r="CB2312">
        <v>-11.615397027835099</v>
      </c>
      <c r="CC2312">
        <v>-7.4338540978144696</v>
      </c>
    </row>
    <row r="2313" spans="39:81">
      <c r="AM2313" s="2"/>
      <c r="AN2313" s="2"/>
      <c r="AS2313">
        <v>-11.6630113097146</v>
      </c>
      <c r="AT2313">
        <v>-12.4702411720932</v>
      </c>
      <c r="CB2313">
        <v>-11.6630113097146</v>
      </c>
      <c r="CC2313">
        <v>-7.4643272382173897</v>
      </c>
    </row>
    <row r="2314" spans="39:81">
      <c r="AM2314" s="2"/>
      <c r="AN2314" s="2"/>
      <c r="AS2314">
        <v>-11.6921049939711</v>
      </c>
      <c r="AT2314">
        <v>-11.2587475674729</v>
      </c>
      <c r="CB2314">
        <v>-11.6921049939711</v>
      </c>
      <c r="CC2314">
        <v>-7.4829471961415202</v>
      </c>
    </row>
    <row r="2315" spans="39:81">
      <c r="AM2315" s="2"/>
      <c r="AN2315" s="2"/>
      <c r="AS2315">
        <v>-11.7587313662839</v>
      </c>
      <c r="AT2315">
        <v>-9.92917789990031</v>
      </c>
      <c r="CB2315">
        <v>-11.7587313662839</v>
      </c>
      <c r="CC2315">
        <v>-7.5255880744217496</v>
      </c>
    </row>
    <row r="2316" spans="39:81">
      <c r="AM2316" s="2"/>
      <c r="AN2316" s="2"/>
      <c r="AS2316">
        <v>-11.7878512955605</v>
      </c>
      <c r="AT2316">
        <v>-8.3038757689788394</v>
      </c>
      <c r="CB2316">
        <v>-11.7878512955605</v>
      </c>
      <c r="CC2316">
        <v>-7.5442248291587299</v>
      </c>
    </row>
    <row r="2317" spans="39:81">
      <c r="AM2317" s="2"/>
      <c r="AN2317" s="2"/>
      <c r="AS2317">
        <v>-11.8672089256796</v>
      </c>
      <c r="AT2317">
        <v>-7.0037501078697701</v>
      </c>
      <c r="CB2317">
        <v>-11.8672089256796</v>
      </c>
      <c r="CC2317">
        <v>-7.5950137124349997</v>
      </c>
    </row>
    <row r="2318" spans="39:81">
      <c r="AM2318" s="2"/>
      <c r="AN2318" s="2"/>
      <c r="AS2318">
        <v>-11.938857524038401</v>
      </c>
      <c r="AT2318">
        <v>-5.553554620381</v>
      </c>
      <c r="CB2318">
        <v>-11.938857524038401</v>
      </c>
      <c r="CC2318">
        <v>-7.6408688153846001</v>
      </c>
    </row>
    <row r="2319" spans="39:81">
      <c r="AM2319" s="2"/>
      <c r="AN2319" s="2"/>
      <c r="AS2319">
        <v>-11.9593279719164</v>
      </c>
      <c r="AT2319">
        <v>-4.3836868945728398</v>
      </c>
      <c r="CB2319">
        <v>-11.9593279719164</v>
      </c>
      <c r="CC2319">
        <v>-7.6539699020265202</v>
      </c>
    </row>
    <row r="2320" spans="39:81">
      <c r="AM2320" s="2"/>
      <c r="AN2320" s="2"/>
      <c r="AS2320">
        <v>-11.9793357502499</v>
      </c>
      <c r="AT2320">
        <v>-3.33385391596223</v>
      </c>
      <c r="CB2320">
        <v>-11.9793357502499</v>
      </c>
      <c r="CC2320">
        <v>-7.6667748801599398</v>
      </c>
    </row>
    <row r="2321" spans="39:81">
      <c r="AM2321" s="2"/>
      <c r="AN2321" s="2"/>
      <c r="AS2321">
        <v>-11.932750085699301</v>
      </c>
      <c r="AT2321">
        <v>-2.1069956400541598</v>
      </c>
      <c r="CB2321">
        <v>-11.932750085699301</v>
      </c>
      <c r="CC2321">
        <v>-7.6369600548476004</v>
      </c>
    </row>
    <row r="2322" spans="39:81">
      <c r="AM2322" s="2"/>
      <c r="AN2322" s="2"/>
      <c r="AS2322">
        <v>-11.888977226462901</v>
      </c>
      <c r="AT2322">
        <v>-0.77384685690020605</v>
      </c>
      <c r="CB2322">
        <v>-11.888977226462901</v>
      </c>
      <c r="CC2322">
        <v>-7.60894542493625</v>
      </c>
    </row>
    <row r="2323" spans="39:81">
      <c r="AM2323" s="2"/>
      <c r="AN2323" s="2"/>
      <c r="AS2323">
        <v>-11.8912296316321</v>
      </c>
      <c r="AT2323">
        <v>0.715885988036291</v>
      </c>
      <c r="CB2323">
        <v>-11.8912296316321</v>
      </c>
      <c r="CC2323">
        <v>-7.6103869642445501</v>
      </c>
    </row>
    <row r="2324" spans="39:81">
      <c r="AM2324" s="2"/>
      <c r="AN2324" s="2"/>
      <c r="AS2324">
        <v>-11.868188114328399</v>
      </c>
      <c r="AT2324">
        <v>2.2979040227269798</v>
      </c>
      <c r="CB2324">
        <v>-11.868188114328399</v>
      </c>
      <c r="CC2324">
        <v>-7.5956403931701999</v>
      </c>
    </row>
    <row r="2325" spans="39:81">
      <c r="AM2325" s="2"/>
      <c r="AN2325" s="2"/>
      <c r="AS2325">
        <v>-11.872057958944801</v>
      </c>
      <c r="AT2325">
        <v>3.72462924686445</v>
      </c>
      <c r="CB2325">
        <v>-11.872057958944801</v>
      </c>
      <c r="CC2325">
        <v>-7.59811709372471</v>
      </c>
    </row>
    <row r="2326" spans="39:81">
      <c r="AM2326" s="2"/>
      <c r="AN2326" s="2"/>
      <c r="AS2326">
        <v>-11.8458044859598</v>
      </c>
      <c r="AT2326">
        <v>4.90964543118295</v>
      </c>
      <c r="CB2326">
        <v>-11.8458044859598</v>
      </c>
      <c r="CC2326">
        <v>-7.5813148710142801</v>
      </c>
    </row>
    <row r="2327" spans="39:81">
      <c r="AM2327" s="2"/>
      <c r="AN2327" s="2"/>
      <c r="AS2327">
        <v>-11.7561122901151</v>
      </c>
      <c r="AT2327">
        <v>6.1397569918394597</v>
      </c>
      <c r="CB2327">
        <v>-11.7561122901151</v>
      </c>
      <c r="CC2327">
        <v>-7.5239118656737203</v>
      </c>
    </row>
    <row r="2328" spans="39:81">
      <c r="AM2328" s="2"/>
      <c r="AN2328" s="2"/>
      <c r="AS2328">
        <v>-11.7019039119109</v>
      </c>
      <c r="AT2328">
        <v>7.2055298720258003</v>
      </c>
      <c r="CB2328">
        <v>-11.7019039119109</v>
      </c>
      <c r="CC2328">
        <v>-7.4892185036229897</v>
      </c>
    </row>
    <row r="2329" spans="39:81">
      <c r="AM2329" s="2"/>
      <c r="AN2329" s="2"/>
      <c r="AS2329">
        <v>-11.6195196058707</v>
      </c>
      <c r="AT2329">
        <v>8.5591562935192602</v>
      </c>
      <c r="CB2329">
        <v>-11.6195196058707</v>
      </c>
      <c r="CC2329">
        <v>-7.4364925477572497</v>
      </c>
    </row>
    <row r="2330" spans="39:81">
      <c r="AM2330" s="2"/>
      <c r="AN2330" s="2"/>
      <c r="AS2330">
        <v>-11.5513508027172</v>
      </c>
      <c r="AT2330">
        <v>9.92940750231738</v>
      </c>
      <c r="CB2330">
        <v>-11.5513508027172</v>
      </c>
      <c r="CC2330">
        <v>-7.3928645137390303</v>
      </c>
    </row>
    <row r="2331" spans="39:81">
      <c r="AM2331" s="2"/>
      <c r="AN2331" s="2"/>
      <c r="AS2331">
        <v>-11.5135102009588</v>
      </c>
      <c r="AT2331">
        <v>11.1555811021606</v>
      </c>
      <c r="CB2331">
        <v>-11.5135102009588</v>
      </c>
      <c r="CC2331">
        <v>-7.36864652861364</v>
      </c>
    </row>
    <row r="2332" spans="39:81">
      <c r="AM2332" s="2"/>
      <c r="AN2332" s="2"/>
      <c r="AS2332">
        <v>-11.420398385651</v>
      </c>
      <c r="AT2332">
        <v>12.605413339514</v>
      </c>
      <c r="CB2332">
        <v>-11.420398385651</v>
      </c>
      <c r="CC2332">
        <v>-7.3090549668166398</v>
      </c>
    </row>
    <row r="2333" spans="39:81">
      <c r="AM2333" s="2"/>
      <c r="AN2333" s="2"/>
      <c r="AS2333">
        <v>-11.361832650396799</v>
      </c>
      <c r="AT2333">
        <v>13.8102449550043</v>
      </c>
      <c r="CB2333">
        <v>-11.361832650396799</v>
      </c>
      <c r="CC2333">
        <v>-7.2715728962539599</v>
      </c>
    </row>
    <row r="2334" spans="39:81">
      <c r="AM2334" s="2"/>
      <c r="AN2334" s="2"/>
      <c r="AS2334">
        <v>-11.2699890669155</v>
      </c>
      <c r="AT2334">
        <v>15.0700848616729</v>
      </c>
      <c r="CB2334">
        <v>-11.2699890669155</v>
      </c>
      <c r="CC2334">
        <v>-7.2127930028259497</v>
      </c>
    </row>
    <row r="2335" spans="39:81">
      <c r="AM2335" s="2"/>
      <c r="AN2335" s="2"/>
      <c r="AS2335">
        <v>-11.1534428674083</v>
      </c>
      <c r="AT2335">
        <v>16.152804245221802</v>
      </c>
      <c r="CB2335">
        <v>-11.1534428674083</v>
      </c>
      <c r="CC2335">
        <v>-7.1382034351413299</v>
      </c>
    </row>
    <row r="2336" spans="39:81">
      <c r="AM2336" s="2"/>
      <c r="AN2336" s="2"/>
      <c r="AS2336">
        <v>-11.0652317484076</v>
      </c>
      <c r="AT2336">
        <v>17.220697682274199</v>
      </c>
      <c r="CB2336">
        <v>-11.0652317484076</v>
      </c>
      <c r="CC2336">
        <v>-7.0817483189808597</v>
      </c>
    </row>
    <row r="2337" spans="39:81">
      <c r="AM2337" s="2"/>
      <c r="AN2337" s="2"/>
      <c r="AS2337">
        <v>-10.9342342230723</v>
      </c>
      <c r="AT2337">
        <v>18.284326276486201</v>
      </c>
      <c r="CB2337">
        <v>-10.9342342230723</v>
      </c>
      <c r="CC2337">
        <v>-6.9979099027662901</v>
      </c>
    </row>
    <row r="2338" spans="39:81">
      <c r="AM2338" s="2"/>
      <c r="AN2338" s="2"/>
      <c r="AS2338">
        <v>-10.8280369711544</v>
      </c>
      <c r="AT2338">
        <v>19.4232072331789</v>
      </c>
      <c r="CB2338">
        <v>-10.8280369711544</v>
      </c>
      <c r="CC2338">
        <v>-6.9299436615388501</v>
      </c>
    </row>
    <row r="2339" spans="39:81">
      <c r="AM2339" s="2"/>
      <c r="AN2339" s="2"/>
      <c r="AS2339">
        <v>-10.744243149842401</v>
      </c>
      <c r="AT2339">
        <v>20.7198744493076</v>
      </c>
      <c r="CB2339">
        <v>-10.744243149842401</v>
      </c>
      <c r="CC2339">
        <v>-6.8763156158991396</v>
      </c>
    </row>
    <row r="2340" spans="39:81">
      <c r="AM2340" s="2"/>
      <c r="AN2340" s="2"/>
      <c r="AS2340">
        <v>-10.6452065343697</v>
      </c>
      <c r="AT2340">
        <v>21.9738463498384</v>
      </c>
      <c r="CB2340">
        <v>-10.6452065343697</v>
      </c>
      <c r="CC2340">
        <v>-6.81293218199664</v>
      </c>
    </row>
    <row r="2341" spans="39:81">
      <c r="AM2341" s="2"/>
      <c r="AN2341" s="2"/>
      <c r="AS2341">
        <v>-10.5735389930739</v>
      </c>
      <c r="AT2341">
        <v>23.129628227361099</v>
      </c>
      <c r="CB2341">
        <v>-10.5735389930739</v>
      </c>
      <c r="CC2341">
        <v>-6.7670649555673004</v>
      </c>
    </row>
    <row r="2342" spans="39:81">
      <c r="AM2342" s="2"/>
      <c r="AN2342" s="2"/>
      <c r="AS2342">
        <v>-10.461687036197</v>
      </c>
      <c r="AT2342">
        <v>24.2069187939694</v>
      </c>
      <c r="CB2342">
        <v>-10.461687036197</v>
      </c>
      <c r="CC2342">
        <v>-6.6954797031660904</v>
      </c>
    </row>
    <row r="2343" spans="39:81">
      <c r="AM2343" s="2"/>
      <c r="AN2343" s="2"/>
      <c r="AS2343">
        <v>-10.332391644507901</v>
      </c>
      <c r="AT2343">
        <v>25.1085520852264</v>
      </c>
      <c r="CB2343">
        <v>-10.332391644507901</v>
      </c>
      <c r="CC2343">
        <v>-6.61273065248505</v>
      </c>
    </row>
    <row r="2344" spans="39:81">
      <c r="AM2344" s="2"/>
      <c r="AN2344" s="2"/>
      <c r="AS2344">
        <v>-10.216273098117799</v>
      </c>
      <c r="AT2344">
        <v>26.140527950554901</v>
      </c>
      <c r="CB2344">
        <v>-10.216273098117799</v>
      </c>
      <c r="CC2344">
        <v>-6.5384147827954404</v>
      </c>
    </row>
    <row r="2345" spans="39:81">
      <c r="AM2345" s="2"/>
      <c r="AN2345" s="2"/>
      <c r="AS2345">
        <v>-10.0558019936399</v>
      </c>
      <c r="AT2345">
        <v>27.344571526677001</v>
      </c>
      <c r="CB2345">
        <v>-10.0558019936399</v>
      </c>
      <c r="CC2345">
        <v>-6.4357132759295697</v>
      </c>
    </row>
    <row r="2346" spans="39:81">
      <c r="AM2346" s="2"/>
      <c r="AN2346" s="2"/>
      <c r="AS2346">
        <v>-9.9069722948454295</v>
      </c>
      <c r="AT2346">
        <v>28.512795892704901</v>
      </c>
      <c r="CB2346">
        <v>-9.9069722948454295</v>
      </c>
      <c r="CC2346">
        <v>-6.3404622687010699</v>
      </c>
    </row>
    <row r="2347" spans="39:81">
      <c r="AM2347" s="2"/>
      <c r="AN2347" s="2"/>
      <c r="AS2347">
        <v>-9.7548563210579697</v>
      </c>
      <c r="AT2347">
        <v>29.8593930147319</v>
      </c>
      <c r="CB2347">
        <v>-9.7548563210579697</v>
      </c>
      <c r="CC2347">
        <v>-6.2431080454770997</v>
      </c>
    </row>
    <row r="2348" spans="39:81">
      <c r="AM2348" s="2"/>
      <c r="AN2348" s="2"/>
      <c r="AS2348">
        <v>-9.5753344155953801</v>
      </c>
      <c r="AT2348">
        <v>31.012992909099701</v>
      </c>
      <c r="CB2348">
        <v>-9.5753344155953801</v>
      </c>
      <c r="CC2348">
        <v>-6.1282140259810403</v>
      </c>
    </row>
    <row r="2349" spans="39:81">
      <c r="AM2349" s="2"/>
      <c r="AN2349" s="2"/>
      <c r="AS2349">
        <v>-9.4123612295064998</v>
      </c>
      <c r="AT2349">
        <v>32.0432514717563</v>
      </c>
      <c r="CB2349">
        <v>-9.4123612295064998</v>
      </c>
      <c r="CC2349">
        <v>-6.0239111868841597</v>
      </c>
    </row>
    <row r="2350" spans="39:81">
      <c r="AM2350" s="2"/>
      <c r="AN2350" s="2"/>
      <c r="AS2350">
        <v>-9.2562719557726201</v>
      </c>
      <c r="AT2350">
        <v>33.015578898538301</v>
      </c>
      <c r="CB2350">
        <v>-9.2562719557726201</v>
      </c>
      <c r="CC2350">
        <v>-5.9240140516944697</v>
      </c>
    </row>
    <row r="2351" spans="39:81">
      <c r="AM2351" s="2"/>
      <c r="AN2351" s="2"/>
      <c r="AS2351">
        <v>-9.0739213141863395</v>
      </c>
      <c r="AT2351">
        <v>33.898822508469202</v>
      </c>
      <c r="CB2351">
        <v>-9.0739213141863395</v>
      </c>
      <c r="CC2351">
        <v>-5.80730964107926</v>
      </c>
    </row>
    <row r="2352" spans="39:81">
      <c r="AM2352" s="2"/>
      <c r="AN2352" s="2"/>
      <c r="AS2352">
        <v>-8.9038385932632007</v>
      </c>
      <c r="AT2352">
        <v>34.931247175960998</v>
      </c>
      <c r="CB2352">
        <v>-8.9038385932632007</v>
      </c>
      <c r="CC2352">
        <v>-5.6984566996884496</v>
      </c>
    </row>
    <row r="2353" spans="39:81">
      <c r="AM2353" s="2"/>
      <c r="AN2353" s="2"/>
      <c r="AS2353">
        <v>-8.6980895498154798</v>
      </c>
      <c r="AT2353">
        <v>35.879429283072099</v>
      </c>
      <c r="CB2353">
        <v>-8.6980895498154798</v>
      </c>
      <c r="CC2353">
        <v>-5.5667773118819097</v>
      </c>
    </row>
    <row r="2354" spans="39:81">
      <c r="AM2354" s="2"/>
      <c r="AN2354" s="2"/>
      <c r="AS2354">
        <v>-8.4818258735926797</v>
      </c>
      <c r="AT2354">
        <v>36.875215180605103</v>
      </c>
      <c r="CB2354">
        <v>-8.4818258735926797</v>
      </c>
      <c r="CC2354">
        <v>-5.4283685590993098</v>
      </c>
    </row>
    <row r="2355" spans="39:81">
      <c r="AM2355" s="2"/>
      <c r="AN2355" s="2"/>
      <c r="AS2355">
        <v>-8.2883440795437302</v>
      </c>
      <c r="AT2355">
        <v>37.978805011922297</v>
      </c>
      <c r="CB2355">
        <v>-8.2883440795437302</v>
      </c>
      <c r="CC2355">
        <v>-5.3045402109079802</v>
      </c>
    </row>
    <row r="2356" spans="39:81">
      <c r="AM2356" s="2"/>
      <c r="AN2356" s="2"/>
      <c r="AS2356">
        <v>-8.0685792107806993</v>
      </c>
      <c r="AT2356">
        <v>38.713014350268601</v>
      </c>
      <c r="CB2356">
        <v>-8.0685792107806993</v>
      </c>
      <c r="CC2356">
        <v>-5.1638906948996501</v>
      </c>
    </row>
    <row r="2357" spans="39:81">
      <c r="AM2357" s="2"/>
      <c r="AN2357" s="2"/>
      <c r="AS2357">
        <v>-7.8516797895637902</v>
      </c>
      <c r="AT2357">
        <v>39.640199643946303</v>
      </c>
      <c r="CB2357">
        <v>-7.8516797895637902</v>
      </c>
      <c r="CC2357">
        <v>-5.02507506532082</v>
      </c>
    </row>
    <row r="2358" spans="39:81">
      <c r="AM2358" s="2"/>
      <c r="AN2358" s="2"/>
      <c r="AS2358">
        <v>-7.6410865615065999</v>
      </c>
      <c r="AT2358">
        <v>40.180189049086202</v>
      </c>
      <c r="CB2358">
        <v>-7.6410865615065999</v>
      </c>
      <c r="CC2358">
        <v>-4.8902953993642297</v>
      </c>
    </row>
    <row r="2359" spans="39:81">
      <c r="AM2359" s="2"/>
      <c r="AN2359" s="2"/>
      <c r="AS2359">
        <v>-7.4152313763541997</v>
      </c>
      <c r="AT2359">
        <v>40.714852926272698</v>
      </c>
      <c r="CB2359">
        <v>-7.4152313763541997</v>
      </c>
      <c r="CC2359">
        <v>-4.7457480808666901</v>
      </c>
    </row>
    <row r="2360" spans="39:81">
      <c r="AM2360" s="2"/>
      <c r="AN2360" s="2"/>
      <c r="AS2360">
        <v>-7.21954336861402</v>
      </c>
      <c r="AT2360">
        <v>41.475785864908197</v>
      </c>
      <c r="CB2360">
        <v>-7.21954336861402</v>
      </c>
      <c r="CC2360">
        <v>-4.6205077559129704</v>
      </c>
    </row>
    <row r="2361" spans="39:81">
      <c r="AM2361" s="2"/>
      <c r="AN2361" s="2"/>
      <c r="AS2361">
        <v>-7.0229024470960404</v>
      </c>
      <c r="AT2361">
        <v>42.095283310479999</v>
      </c>
      <c r="CB2361">
        <v>-7.0229024470960404</v>
      </c>
      <c r="CC2361">
        <v>-4.4946575661414601</v>
      </c>
    </row>
    <row r="2362" spans="39:81">
      <c r="AM2362" s="2"/>
      <c r="AN2362" s="2"/>
      <c r="AS2362">
        <v>-6.81159564783069</v>
      </c>
      <c r="AT2362">
        <v>43.003107379888299</v>
      </c>
      <c r="CB2362">
        <v>-6.81159564783069</v>
      </c>
      <c r="CC2362">
        <v>-4.3594212146116398</v>
      </c>
    </row>
    <row r="2363" spans="39:81">
      <c r="AM2363" s="2"/>
      <c r="AN2363" s="2"/>
      <c r="AS2363">
        <v>-6.5967993410914998</v>
      </c>
      <c r="AT2363">
        <v>43.814244514261802</v>
      </c>
      <c r="CB2363">
        <v>-6.5967993410914998</v>
      </c>
      <c r="CC2363">
        <v>-4.2219515782985599</v>
      </c>
    </row>
    <row r="2364" spans="39:81">
      <c r="AM2364" s="2"/>
      <c r="AN2364" s="2"/>
      <c r="AS2364">
        <v>-6.3455615958390696</v>
      </c>
      <c r="AT2364">
        <v>44.4277626000898</v>
      </c>
      <c r="CB2364">
        <v>-6.3455615958390696</v>
      </c>
      <c r="CC2364">
        <v>-4.0611594213369999</v>
      </c>
    </row>
    <row r="2365" spans="39:81">
      <c r="AM2365" s="2"/>
      <c r="AN2365" s="2"/>
      <c r="AS2365">
        <v>-6.1008078529662697</v>
      </c>
      <c r="AT2365">
        <v>44.910450694599199</v>
      </c>
      <c r="CB2365">
        <v>-6.1008078529662697</v>
      </c>
      <c r="CC2365">
        <v>-3.9045170258984099</v>
      </c>
    </row>
    <row r="2366" spans="39:81">
      <c r="AM2366" s="2"/>
      <c r="AN2366" s="2"/>
      <c r="AS2366">
        <v>-5.8644973426330003</v>
      </c>
      <c r="AT2366">
        <v>45.282026263176597</v>
      </c>
      <c r="CB2366">
        <v>-5.8644973426330003</v>
      </c>
      <c r="CC2366">
        <v>-3.7532782992851201</v>
      </c>
    </row>
    <row r="2367" spans="39:81">
      <c r="AM2367" s="2"/>
      <c r="AN2367" s="2"/>
      <c r="AS2367">
        <v>-5.6065893022252</v>
      </c>
      <c r="AT2367">
        <v>45.574511752188499</v>
      </c>
      <c r="CB2367">
        <v>-5.6065893022252</v>
      </c>
      <c r="CC2367">
        <v>-3.5882171534241198</v>
      </c>
    </row>
    <row r="2368" spans="39:81">
      <c r="AM2368" s="2"/>
      <c r="AN2368" s="2"/>
      <c r="AS2368">
        <v>-5.3655569581664002</v>
      </c>
      <c r="AT2368">
        <v>46.110462809339801</v>
      </c>
      <c r="CB2368">
        <v>-5.3655569581664002</v>
      </c>
      <c r="CC2368">
        <v>-3.4339564532264899</v>
      </c>
    </row>
    <row r="2369" spans="39:81">
      <c r="AM2369" s="2"/>
      <c r="AN2369" s="2"/>
      <c r="AS2369">
        <v>-5.0835171279691398</v>
      </c>
      <c r="AT2369">
        <v>46.687827658137898</v>
      </c>
      <c r="CB2369">
        <v>-5.0835171279691398</v>
      </c>
      <c r="CC2369">
        <v>-3.2534509619002501</v>
      </c>
    </row>
    <row r="2370" spans="39:81">
      <c r="AM2370" s="2"/>
      <c r="AN2370" s="2"/>
      <c r="AS2370">
        <v>-4.7774800331627301</v>
      </c>
      <c r="AT2370">
        <v>47.195018414504901</v>
      </c>
      <c r="CB2370">
        <v>-4.7774800331627301</v>
      </c>
      <c r="CC2370">
        <v>-3.0575872212241499</v>
      </c>
    </row>
    <row r="2371" spans="39:81">
      <c r="AM2371" s="2"/>
      <c r="AN2371" s="2"/>
      <c r="AS2371">
        <v>-4.4848913569312803</v>
      </c>
      <c r="AT2371">
        <v>47.820821960552301</v>
      </c>
      <c r="CB2371">
        <v>-4.4848913569312803</v>
      </c>
      <c r="CC2371">
        <v>-2.87033046843601</v>
      </c>
    </row>
    <row r="2372" spans="39:81">
      <c r="AM2372" s="2"/>
      <c r="AN2372" s="2"/>
      <c r="AS2372">
        <v>-4.1601184177484303</v>
      </c>
      <c r="AT2372">
        <v>47.967645582289897</v>
      </c>
      <c r="CB2372">
        <v>-4.1601184177484303</v>
      </c>
      <c r="CC2372">
        <v>-2.6624757873589902</v>
      </c>
    </row>
    <row r="2373" spans="39:81">
      <c r="AM2373" s="2"/>
      <c r="AN2373" s="2"/>
      <c r="AS2373">
        <v>-3.8639344535304798</v>
      </c>
      <c r="AT2373">
        <v>48.279144482046704</v>
      </c>
      <c r="CB2373">
        <v>-3.8639344535304798</v>
      </c>
      <c r="CC2373">
        <v>-2.4729180502595001</v>
      </c>
    </row>
    <row r="2374" spans="39:81">
      <c r="AM2374" s="2"/>
      <c r="AN2374" s="2"/>
      <c r="AS2374">
        <v>-3.5666806173852801</v>
      </c>
      <c r="AT2374">
        <v>48.541246497731102</v>
      </c>
      <c r="CB2374">
        <v>-3.5666806173852801</v>
      </c>
      <c r="CC2374">
        <v>-2.2826755951265798</v>
      </c>
    </row>
    <row r="2375" spans="39:81">
      <c r="AM2375" s="2"/>
      <c r="AN2375" s="2"/>
      <c r="AS2375">
        <v>-3.2548622786128298</v>
      </c>
      <c r="AT2375">
        <v>48.6830831696345</v>
      </c>
      <c r="CB2375">
        <v>-3.2548622786128298</v>
      </c>
      <c r="CC2375">
        <v>-2.0831118583122099</v>
      </c>
    </row>
    <row r="2376" spans="39:81">
      <c r="AM2376" s="2"/>
      <c r="AN2376" s="2"/>
      <c r="AS2376">
        <v>-2.9564327639041701</v>
      </c>
      <c r="AT2376">
        <v>49.117245024656697</v>
      </c>
      <c r="CB2376">
        <v>-2.9564327639041701</v>
      </c>
      <c r="CC2376">
        <v>-1.8921169688986701</v>
      </c>
    </row>
    <row r="2377" spans="39:81">
      <c r="AM2377" s="2"/>
      <c r="AN2377" s="2"/>
      <c r="AS2377">
        <v>-2.6260775204518501</v>
      </c>
      <c r="AT2377">
        <v>49.365322362101203</v>
      </c>
      <c r="CB2377">
        <v>-2.6260775204518501</v>
      </c>
      <c r="CC2377">
        <v>-1.68068961308918</v>
      </c>
    </row>
    <row r="2378" spans="39:81">
      <c r="AM2378" s="2"/>
      <c r="AN2378" s="2"/>
      <c r="AS2378">
        <v>-2.31057375782895</v>
      </c>
      <c r="AT2378">
        <v>49.808734676413998</v>
      </c>
      <c r="CB2378">
        <v>-2.31057375782895</v>
      </c>
      <c r="CC2378">
        <v>-1.4787672050105301</v>
      </c>
    </row>
    <row r="2379" spans="39:81">
      <c r="AM2379" s="2"/>
      <c r="AN2379" s="2"/>
      <c r="AS2379">
        <v>-1.98552547294538</v>
      </c>
      <c r="AT2379">
        <v>50.087676235367702</v>
      </c>
      <c r="CB2379">
        <v>-1.98552547294538</v>
      </c>
      <c r="CC2379">
        <v>-1.27073630268504</v>
      </c>
    </row>
    <row r="2380" spans="39:81">
      <c r="AM2380" s="2"/>
      <c r="AN2380" s="2"/>
      <c r="AS2380">
        <v>-1.66000727384251</v>
      </c>
      <c r="AT2380">
        <v>50.315769040108698</v>
      </c>
      <c r="CB2380">
        <v>-1.66000727384251</v>
      </c>
      <c r="CC2380">
        <v>-1.0624046552592099</v>
      </c>
    </row>
    <row r="2381" spans="39:81">
      <c r="AM2381" s="2"/>
      <c r="AN2381" s="2"/>
      <c r="AS2381">
        <v>-1.36242649596839</v>
      </c>
      <c r="AT2381">
        <v>50.453226518150402</v>
      </c>
      <c r="CB2381">
        <v>-1.36242649596839</v>
      </c>
      <c r="CC2381">
        <v>-0.87195295741976997</v>
      </c>
    </row>
    <row r="2382" spans="39:81">
      <c r="AM2382" s="2"/>
      <c r="AN2382" s="2"/>
      <c r="AS2382">
        <v>-1.0593778915557299</v>
      </c>
      <c r="AT2382">
        <v>50.457990378133502</v>
      </c>
      <c r="CB2382">
        <v>-1.0593778915557299</v>
      </c>
      <c r="CC2382">
        <v>-0.67800185059566898</v>
      </c>
    </row>
    <row r="2383" spans="39:81">
      <c r="AM2383" s="2"/>
      <c r="AN2383" s="2"/>
      <c r="AS2383">
        <v>-0.785479121652919</v>
      </c>
      <c r="AT2383">
        <v>50.556046365509303</v>
      </c>
      <c r="CB2383">
        <v>-0.785479121652919</v>
      </c>
      <c r="CC2383">
        <v>-0.50270663785786796</v>
      </c>
    </row>
    <row r="2384" spans="39:81">
      <c r="AM2384" s="2"/>
      <c r="AN2384" s="2"/>
      <c r="AS2384">
        <v>-0.51769300479440405</v>
      </c>
      <c r="AT2384">
        <v>50.685342970564598</v>
      </c>
      <c r="CB2384">
        <v>-0.51769300479440405</v>
      </c>
      <c r="CC2384">
        <v>-0.331323523068418</v>
      </c>
    </row>
    <row r="2385" spans="39:81">
      <c r="AM2385" s="2"/>
      <c r="AN2385" s="2"/>
      <c r="AS2385">
        <v>-0.21161652544495901</v>
      </c>
      <c r="AT2385">
        <v>50.853376818426902</v>
      </c>
      <c r="CB2385">
        <v>-0.21161652544495901</v>
      </c>
      <c r="CC2385">
        <v>-0.13543457628477401</v>
      </c>
    </row>
    <row r="2386" spans="39:81">
      <c r="AM2386" s="2"/>
      <c r="AN2386" s="2"/>
      <c r="AS2386">
        <v>6.3755502133968606E-2</v>
      </c>
      <c r="AT2386">
        <v>51.103706565053898</v>
      </c>
      <c r="CB2386">
        <v>6.3755502133968606E-2</v>
      </c>
      <c r="CC2386">
        <v>4.0803521365739899E-2</v>
      </c>
    </row>
    <row r="2387" spans="39:81">
      <c r="AM2387" s="2"/>
      <c r="AN2387" s="2"/>
      <c r="AS2387">
        <v>0.37425125648593699</v>
      </c>
      <c r="AT2387">
        <v>51.097083095573502</v>
      </c>
      <c r="CB2387">
        <v>0.37425125648593699</v>
      </c>
      <c r="CC2387">
        <v>0.23952080415099899</v>
      </c>
    </row>
    <row r="2388" spans="39:81">
      <c r="AM2388" s="2"/>
      <c r="AN2388" s="2"/>
      <c r="AS2388">
        <v>0.67680500236527696</v>
      </c>
      <c r="AT2388">
        <v>50.963977328710101</v>
      </c>
      <c r="CB2388">
        <v>0.67680500236527696</v>
      </c>
      <c r="CC2388">
        <v>0.43315520151377701</v>
      </c>
    </row>
    <row r="2389" spans="39:81">
      <c r="AM2389" s="2"/>
      <c r="AN2389" s="2"/>
      <c r="AS2389">
        <v>0.95386020419620299</v>
      </c>
      <c r="AT2389">
        <v>50.804671483700297</v>
      </c>
      <c r="CB2389">
        <v>0.95386020419620299</v>
      </c>
      <c r="CC2389">
        <v>0.61047053068557</v>
      </c>
    </row>
    <row r="2390" spans="39:81">
      <c r="AM2390" s="2"/>
      <c r="AN2390" s="2"/>
      <c r="AS2390">
        <v>1.27825805241309</v>
      </c>
      <c r="AT2390">
        <v>50.390863281364702</v>
      </c>
      <c r="CB2390">
        <v>1.27825805241309</v>
      </c>
      <c r="CC2390">
        <v>0.81808515354437705</v>
      </c>
    </row>
    <row r="2391" spans="39:81">
      <c r="AM2391" s="2"/>
      <c r="AN2391" s="2"/>
      <c r="AS2391">
        <v>1.57631669229511</v>
      </c>
      <c r="AT2391">
        <v>50.2142609559071</v>
      </c>
      <c r="CB2391">
        <v>1.57631669229511</v>
      </c>
      <c r="CC2391">
        <v>1.0088426830688699</v>
      </c>
    </row>
    <row r="2392" spans="39:81">
      <c r="AM2392" s="2"/>
      <c r="AN2392" s="2"/>
      <c r="AS2392">
        <v>1.89558912362696</v>
      </c>
      <c r="AT2392">
        <v>50.024921948094203</v>
      </c>
      <c r="CB2392">
        <v>1.89558912362696</v>
      </c>
      <c r="CC2392">
        <v>1.21317703912125</v>
      </c>
    </row>
    <row r="2393" spans="39:81">
      <c r="AM2393" s="2"/>
      <c r="AN2393" s="2"/>
      <c r="AS2393">
        <v>2.2238841489519099</v>
      </c>
      <c r="AT2393">
        <v>49.866985287530902</v>
      </c>
      <c r="CB2393">
        <v>2.2238841489519099</v>
      </c>
      <c r="CC2393">
        <v>1.42328585532922</v>
      </c>
    </row>
    <row r="2394" spans="39:81">
      <c r="AM2394" s="2"/>
      <c r="AN2394" s="2"/>
      <c r="AS2394">
        <v>2.5401647504435299</v>
      </c>
      <c r="AT2394">
        <v>49.751784294818599</v>
      </c>
      <c r="CB2394">
        <v>2.5401647504435299</v>
      </c>
      <c r="CC2394">
        <v>1.62570544028386</v>
      </c>
    </row>
    <row r="2395" spans="39:81">
      <c r="AM2395" s="2"/>
      <c r="AN2395" s="2"/>
      <c r="AS2395">
        <v>2.88239932461628</v>
      </c>
      <c r="AT2395">
        <v>49.3929405601151</v>
      </c>
      <c r="CB2395">
        <v>2.88239932461628</v>
      </c>
      <c r="CC2395">
        <v>1.8447355677544199</v>
      </c>
    </row>
    <row r="2396" spans="39:81">
      <c r="AM2396" s="2"/>
      <c r="AN2396" s="2"/>
      <c r="AS2396">
        <v>3.1949293551910301</v>
      </c>
      <c r="AT2396">
        <v>49.1757371908134</v>
      </c>
      <c r="CB2396">
        <v>3.1949293551910301</v>
      </c>
      <c r="CC2396">
        <v>2.04475478732226</v>
      </c>
    </row>
    <row r="2397" spans="39:81">
      <c r="AM2397" s="2"/>
      <c r="AN2397" s="2"/>
      <c r="AS2397">
        <v>3.5098456133077098</v>
      </c>
      <c r="AT2397">
        <v>48.595983273981098</v>
      </c>
      <c r="CB2397">
        <v>3.5098456133077098</v>
      </c>
      <c r="CC2397">
        <v>2.2463011925169298</v>
      </c>
    </row>
    <row r="2398" spans="39:81">
      <c r="AM2398" s="2"/>
      <c r="AN2398" s="2"/>
      <c r="AS2398">
        <v>3.8048836619008801</v>
      </c>
      <c r="AT2398">
        <v>48.1456124700304</v>
      </c>
      <c r="CB2398">
        <v>3.8048836619008801</v>
      </c>
      <c r="CC2398">
        <v>2.43512554361656</v>
      </c>
    </row>
    <row r="2399" spans="39:81">
      <c r="AM2399" s="2"/>
      <c r="AN2399" s="2"/>
      <c r="AS2399">
        <v>4.06319925939634</v>
      </c>
      <c r="AT2399">
        <v>47.853033246391</v>
      </c>
      <c r="CB2399">
        <v>4.06319925939634</v>
      </c>
      <c r="CC2399">
        <v>2.6004475260136499</v>
      </c>
    </row>
    <row r="2400" spans="39:81">
      <c r="AM2400" s="2"/>
      <c r="AN2400" s="2"/>
      <c r="AS2400">
        <v>4.3490844270036799</v>
      </c>
      <c r="AT2400">
        <v>47.411978510193002</v>
      </c>
      <c r="CB2400">
        <v>4.3490844270036799</v>
      </c>
      <c r="CC2400">
        <v>2.7834140332823498</v>
      </c>
    </row>
    <row r="2401" spans="39:81">
      <c r="AM2401" s="2"/>
      <c r="AN2401" s="2"/>
      <c r="AS2401">
        <v>4.6117301404485902</v>
      </c>
      <c r="AT2401">
        <v>47.447791101914603</v>
      </c>
      <c r="CB2401">
        <v>4.6117301404485902</v>
      </c>
      <c r="CC2401">
        <v>2.9515072898871</v>
      </c>
    </row>
    <row r="2402" spans="39:81">
      <c r="AM2402" s="2"/>
      <c r="AN2402" s="2"/>
      <c r="AS2402">
        <v>4.8962822830749602</v>
      </c>
      <c r="AT2402">
        <v>47.135178322507699</v>
      </c>
      <c r="CB2402">
        <v>4.8962822830749602</v>
      </c>
      <c r="CC2402">
        <v>3.1336206611679698</v>
      </c>
    </row>
    <row r="2403" spans="39:81">
      <c r="AM2403" s="2"/>
      <c r="AN2403" s="2"/>
      <c r="AS2403">
        <v>5.1813364736047003</v>
      </c>
      <c r="AT2403">
        <v>46.809469508932999</v>
      </c>
      <c r="CB2403">
        <v>5.1813364736047003</v>
      </c>
      <c r="CC2403">
        <v>3.3160553431070099</v>
      </c>
    </row>
    <row r="2404" spans="39:81">
      <c r="AM2404" s="2"/>
      <c r="AN2404" s="2"/>
      <c r="AS2404">
        <v>5.4181474744329696</v>
      </c>
      <c r="AT2404">
        <v>46.376267330513301</v>
      </c>
      <c r="CB2404">
        <v>5.4181474744329696</v>
      </c>
      <c r="CC2404">
        <v>3.4676143836371001</v>
      </c>
    </row>
    <row r="2405" spans="39:81">
      <c r="AM2405" s="2"/>
      <c r="AN2405" s="2"/>
      <c r="AS2405">
        <v>5.6524342616762899</v>
      </c>
      <c r="AT2405">
        <v>45.593766319449799</v>
      </c>
      <c r="CB2405">
        <v>5.6524342616762899</v>
      </c>
      <c r="CC2405">
        <v>3.6175579274728298</v>
      </c>
    </row>
    <row r="2406" spans="39:81">
      <c r="AM2406" s="2"/>
      <c r="AN2406" s="2"/>
      <c r="AS2406">
        <v>5.8520073343233401</v>
      </c>
      <c r="AT2406">
        <v>45.010475987441097</v>
      </c>
      <c r="CB2406">
        <v>5.8520073343233401</v>
      </c>
      <c r="CC2406">
        <v>3.74528469396693</v>
      </c>
    </row>
    <row r="2407" spans="39:81">
      <c r="AM2407" s="2"/>
      <c r="AN2407" s="2"/>
      <c r="AS2407">
        <v>6.0406685517229697</v>
      </c>
      <c r="AT2407">
        <v>44.512095955080703</v>
      </c>
      <c r="CB2407">
        <v>6.0406685517229697</v>
      </c>
      <c r="CC2407">
        <v>3.8660278731026998</v>
      </c>
    </row>
    <row r="2408" spans="39:81">
      <c r="AM2408" s="2"/>
      <c r="AN2408" s="2"/>
      <c r="AS2408">
        <v>6.2594612282187096</v>
      </c>
      <c r="AT2408">
        <v>44.117480401377598</v>
      </c>
      <c r="CB2408">
        <v>6.2594612282187096</v>
      </c>
      <c r="CC2408">
        <v>4.00605518605997</v>
      </c>
    </row>
    <row r="2409" spans="39:81">
      <c r="AM2409" s="2"/>
      <c r="AN2409" s="2"/>
      <c r="AS2409">
        <v>6.4761892167262003</v>
      </c>
      <c r="AT2409">
        <v>43.789395877283198</v>
      </c>
      <c r="CB2409">
        <v>6.4761892167262003</v>
      </c>
      <c r="CC2409">
        <v>4.1447610987047598</v>
      </c>
    </row>
    <row r="2410" spans="39:81">
      <c r="AM2410" s="2"/>
      <c r="AN2410" s="2"/>
      <c r="AS2410">
        <v>6.7003580084527403</v>
      </c>
      <c r="AT2410">
        <v>43.388155057674602</v>
      </c>
      <c r="CB2410">
        <v>6.7003580084527403</v>
      </c>
      <c r="CC2410">
        <v>4.2882291254097504</v>
      </c>
    </row>
    <row r="2411" spans="39:81">
      <c r="AM2411" s="2"/>
      <c r="AN2411" s="2"/>
      <c r="AS2411">
        <v>6.9187945758861602</v>
      </c>
      <c r="AT2411">
        <v>42.687310468099099</v>
      </c>
      <c r="CB2411">
        <v>6.9187945758861602</v>
      </c>
      <c r="CC2411">
        <v>4.4280285285671397</v>
      </c>
    </row>
    <row r="2412" spans="39:81">
      <c r="AM2412" s="2"/>
      <c r="AN2412" s="2"/>
      <c r="AS2412">
        <v>7.1077796831488698</v>
      </c>
      <c r="AT2412">
        <v>41.978943446572998</v>
      </c>
      <c r="CB2412">
        <v>7.1077796831488698</v>
      </c>
      <c r="CC2412">
        <v>4.5489789972152703</v>
      </c>
    </row>
    <row r="2413" spans="39:81">
      <c r="AM2413" s="2"/>
      <c r="AN2413" s="2"/>
      <c r="AS2413">
        <v>7.3123639201171002</v>
      </c>
      <c r="AT2413">
        <v>41.174006154033499</v>
      </c>
      <c r="CB2413">
        <v>7.3123639201171002</v>
      </c>
      <c r="CC2413">
        <v>4.6799129088749396</v>
      </c>
    </row>
    <row r="2414" spans="39:81">
      <c r="AM2414" s="2"/>
      <c r="AN2414" s="2"/>
      <c r="AS2414">
        <v>7.5267586981196999</v>
      </c>
      <c r="AT2414">
        <v>40.3391607079365</v>
      </c>
      <c r="CB2414">
        <v>7.5267586981196999</v>
      </c>
      <c r="CC2414">
        <v>4.8171255667966104</v>
      </c>
    </row>
    <row r="2415" spans="39:81">
      <c r="AM2415" s="2"/>
      <c r="AN2415" s="2"/>
      <c r="AS2415">
        <v>7.7365925643713398</v>
      </c>
      <c r="AT2415">
        <v>39.7776797212356</v>
      </c>
      <c r="CB2415">
        <v>7.7365925643713398</v>
      </c>
      <c r="CC2415">
        <v>4.9514192411976596</v>
      </c>
    </row>
    <row r="2416" spans="39:81">
      <c r="AM2416" s="2"/>
      <c r="AN2416" s="2"/>
      <c r="AS2416">
        <v>7.9659168964359797</v>
      </c>
      <c r="AT2416">
        <v>38.892795978768198</v>
      </c>
      <c r="CB2416">
        <v>7.9659168964359797</v>
      </c>
      <c r="CC2416">
        <v>5.09818681371903</v>
      </c>
    </row>
    <row r="2417" spans="39:81">
      <c r="AM2417" s="2"/>
      <c r="AN2417" s="2"/>
      <c r="AS2417">
        <v>8.16683923063019</v>
      </c>
      <c r="AT2417">
        <v>38.227499728406897</v>
      </c>
      <c r="CB2417">
        <v>8.16683923063019</v>
      </c>
      <c r="CC2417">
        <v>5.2267771076033203</v>
      </c>
    </row>
    <row r="2418" spans="39:81">
      <c r="AM2418" s="2"/>
      <c r="AN2418" s="2"/>
      <c r="AS2418">
        <v>8.3673536419903503</v>
      </c>
      <c r="AT2418">
        <v>37.472506984806401</v>
      </c>
      <c r="CB2418">
        <v>8.3673536419903503</v>
      </c>
      <c r="CC2418">
        <v>5.35510633087382</v>
      </c>
    </row>
    <row r="2419" spans="39:81">
      <c r="AM2419" s="2"/>
      <c r="AN2419" s="2"/>
      <c r="AS2419">
        <v>8.5809059408805304</v>
      </c>
      <c r="AT2419">
        <v>36.539248107713298</v>
      </c>
      <c r="CB2419">
        <v>8.5809059408805304</v>
      </c>
      <c r="CC2419">
        <v>5.4917798021635402</v>
      </c>
    </row>
    <row r="2420" spans="39:81">
      <c r="AM2420" s="2"/>
      <c r="AN2420" s="2"/>
      <c r="AS2420">
        <v>8.7603135367760192</v>
      </c>
      <c r="AT2420">
        <v>35.630491146417398</v>
      </c>
      <c r="CB2420">
        <v>8.7603135367760192</v>
      </c>
      <c r="CC2420">
        <v>5.6066006635366499</v>
      </c>
    </row>
    <row r="2421" spans="39:81">
      <c r="AM2421" s="2"/>
      <c r="AN2421" s="2"/>
      <c r="AS2421">
        <v>8.96401400819766</v>
      </c>
      <c r="AT2421">
        <v>34.510080530610303</v>
      </c>
      <c r="CB2421">
        <v>8.96401400819766</v>
      </c>
      <c r="CC2421">
        <v>5.7369689652464997</v>
      </c>
    </row>
    <row r="2422" spans="39:81">
      <c r="AM2422" s="2"/>
      <c r="AN2422" s="2"/>
      <c r="AS2422">
        <v>9.1538828615946404</v>
      </c>
      <c r="AT2422">
        <v>33.458200152584098</v>
      </c>
      <c r="CB2422">
        <v>9.1538828615946404</v>
      </c>
      <c r="CC2422">
        <v>5.8584850314205701</v>
      </c>
    </row>
    <row r="2423" spans="39:81">
      <c r="AM2423" s="2"/>
      <c r="AN2423" s="2"/>
      <c r="AS2423">
        <v>9.3191764418714396</v>
      </c>
      <c r="AT2423">
        <v>32.407251624247699</v>
      </c>
      <c r="CB2423">
        <v>9.3191764418714396</v>
      </c>
      <c r="CC2423">
        <v>5.9642729227977203</v>
      </c>
    </row>
    <row r="2424" spans="39:81">
      <c r="AM2424" s="2"/>
      <c r="AN2424" s="2"/>
      <c r="AS2424">
        <v>9.5008970378695903</v>
      </c>
      <c r="AT2424">
        <v>31.4643526654148</v>
      </c>
      <c r="CB2424">
        <v>9.5008970378695903</v>
      </c>
      <c r="CC2424">
        <v>6.08057410423653</v>
      </c>
    </row>
    <row r="2425" spans="39:81">
      <c r="AM2425" s="2"/>
      <c r="AN2425" s="2"/>
      <c r="AS2425">
        <v>9.6700070499084507</v>
      </c>
      <c r="AT2425">
        <v>30.5493221127875</v>
      </c>
      <c r="CB2425">
        <v>9.6700070499084507</v>
      </c>
      <c r="CC2425">
        <v>6.1888045119414103</v>
      </c>
    </row>
    <row r="2426" spans="39:81">
      <c r="AM2426" s="2"/>
      <c r="AN2426" s="2"/>
      <c r="AS2426">
        <v>9.8233985198863198</v>
      </c>
      <c r="AT2426">
        <v>29.5127586049922</v>
      </c>
      <c r="CB2426">
        <v>9.8233985198863198</v>
      </c>
      <c r="CC2426">
        <v>6.2869750527272403</v>
      </c>
    </row>
    <row r="2427" spans="39:81">
      <c r="AM2427" s="2"/>
      <c r="AN2427" s="2"/>
      <c r="AS2427">
        <v>9.9947798374051704</v>
      </c>
      <c r="AT2427">
        <v>28.403159392985302</v>
      </c>
      <c r="CB2427">
        <v>9.9947798374051704</v>
      </c>
      <c r="CC2427">
        <v>6.3966590959393104</v>
      </c>
    </row>
    <row r="2428" spans="39:81">
      <c r="AM2428" s="2"/>
      <c r="AN2428" s="2"/>
      <c r="AS2428">
        <v>10.137090489760499</v>
      </c>
      <c r="AT2428">
        <v>27.1239260994153</v>
      </c>
      <c r="CB2428">
        <v>10.137090489760499</v>
      </c>
      <c r="CC2428">
        <v>6.4877379134467503</v>
      </c>
    </row>
    <row r="2429" spans="39:81">
      <c r="AM2429" s="2"/>
      <c r="AN2429" s="2"/>
      <c r="AS2429">
        <v>10.2813450572494</v>
      </c>
      <c r="AT2429">
        <v>25.856507617370202</v>
      </c>
      <c r="CB2429">
        <v>10.2813450572494</v>
      </c>
      <c r="CC2429">
        <v>6.5800608366396096</v>
      </c>
    </row>
    <row r="2430" spans="39:81">
      <c r="AM2430" s="2"/>
      <c r="AN2430" s="2"/>
      <c r="AS2430">
        <v>10.4353097674138</v>
      </c>
      <c r="AT2430">
        <v>24.7731575965506</v>
      </c>
      <c r="CB2430">
        <v>10.4353097674138</v>
      </c>
      <c r="CC2430">
        <v>6.67859825114488</v>
      </c>
    </row>
    <row r="2431" spans="39:81">
      <c r="AM2431" s="2"/>
      <c r="AN2431" s="2"/>
      <c r="AS2431">
        <v>10.5380459400468</v>
      </c>
      <c r="AT2431">
        <v>23.743901052846802</v>
      </c>
      <c r="CB2431">
        <v>10.5380459400468</v>
      </c>
      <c r="CC2431">
        <v>6.7443494016300001</v>
      </c>
    </row>
    <row r="2432" spans="39:81">
      <c r="AM2432" s="2"/>
      <c r="AN2432" s="2"/>
      <c r="AS2432">
        <v>10.664027673562099</v>
      </c>
      <c r="AT2432">
        <v>22.809065570256202</v>
      </c>
      <c r="CB2432">
        <v>10.664027673562099</v>
      </c>
      <c r="CC2432">
        <v>6.8249777110798</v>
      </c>
    </row>
    <row r="2433" spans="39:81">
      <c r="AM2433" s="2"/>
      <c r="AN2433" s="2"/>
      <c r="AS2433">
        <v>10.7822876121935</v>
      </c>
      <c r="AT2433">
        <v>21.902276727525901</v>
      </c>
      <c r="CB2433">
        <v>10.7822876121935</v>
      </c>
      <c r="CC2433">
        <v>6.9006640718038801</v>
      </c>
    </row>
    <row r="2434" spans="39:81">
      <c r="AM2434" s="2"/>
      <c r="AN2434" s="2"/>
      <c r="AS2434">
        <v>10.8813110439336</v>
      </c>
      <c r="AT2434">
        <v>20.741810959952598</v>
      </c>
      <c r="CB2434">
        <v>10.8813110439336</v>
      </c>
      <c r="CC2434">
        <v>6.9640390681174997</v>
      </c>
    </row>
    <row r="2435" spans="39:81">
      <c r="AM2435" s="2"/>
      <c r="AN2435" s="2"/>
      <c r="AS2435">
        <v>11.0343314859121</v>
      </c>
      <c r="AT2435">
        <v>19.549187786736798</v>
      </c>
      <c r="CB2435">
        <v>11.0343314859121</v>
      </c>
      <c r="CC2435">
        <v>7.0619721509837596</v>
      </c>
    </row>
    <row r="2436" spans="39:81">
      <c r="AM2436" s="2"/>
      <c r="AN2436" s="2"/>
      <c r="AS2436">
        <v>11.158836133545201</v>
      </c>
      <c r="AT2436">
        <v>18.289079934868301</v>
      </c>
      <c r="CB2436">
        <v>11.158836133545201</v>
      </c>
      <c r="CC2436">
        <v>7.1416551254689598</v>
      </c>
    </row>
    <row r="2437" spans="39:81">
      <c r="AM2437" s="2"/>
      <c r="AN2437" s="2"/>
      <c r="AS2437">
        <v>11.3022664959697</v>
      </c>
      <c r="AT2437">
        <v>17.068733660726199</v>
      </c>
      <c r="CB2437">
        <v>11.3022664959697</v>
      </c>
      <c r="CC2437">
        <v>7.23345055742063</v>
      </c>
    </row>
    <row r="2438" spans="39:81">
      <c r="AM2438" s="2"/>
      <c r="AN2438" s="2"/>
      <c r="AS2438">
        <v>11.4435832771057</v>
      </c>
      <c r="AT2438">
        <v>15.9277673321817</v>
      </c>
      <c r="CB2438">
        <v>11.4435832771057</v>
      </c>
      <c r="CC2438">
        <v>7.3238932973476603</v>
      </c>
    </row>
    <row r="2439" spans="39:81">
      <c r="AM2439" s="2"/>
      <c r="AN2439" s="2"/>
      <c r="AS2439">
        <v>11.5130089932321</v>
      </c>
      <c r="AT2439">
        <v>14.680286341754099</v>
      </c>
      <c r="CB2439">
        <v>11.5130089932321</v>
      </c>
      <c r="CC2439">
        <v>7.36832575566857</v>
      </c>
    </row>
    <row r="2440" spans="39:81">
      <c r="AM2440" s="2"/>
      <c r="AN2440" s="2"/>
      <c r="AS2440">
        <v>11.615397153357099</v>
      </c>
      <c r="AT2440">
        <v>13.7406166548363</v>
      </c>
      <c r="CB2440">
        <v>11.615397153357099</v>
      </c>
      <c r="CC2440">
        <v>7.4338541781486001</v>
      </c>
    </row>
    <row r="2441" spans="39:81">
      <c r="AM2441" s="2"/>
      <c r="AN2441" s="2"/>
      <c r="AS2441">
        <v>11.6630120880546</v>
      </c>
      <c r="AT2441">
        <v>12.4702432206262</v>
      </c>
      <c r="CB2441">
        <v>11.6630120880546</v>
      </c>
      <c r="CC2441">
        <v>7.464327736355</v>
      </c>
    </row>
    <row r="2442" spans="39:81">
      <c r="AM2442" s="2"/>
      <c r="AN2442" s="2"/>
      <c r="AS2442">
        <v>11.692105229643801</v>
      </c>
      <c r="AT2442">
        <v>11.2587450237878</v>
      </c>
      <c r="CB2442">
        <v>11.692105229643801</v>
      </c>
      <c r="CC2442">
        <v>7.48294734697203</v>
      </c>
    </row>
    <row r="2443" spans="39:81">
      <c r="AM2443" s="2"/>
      <c r="AN2443" s="2"/>
      <c r="AS2443">
        <v>11.7587307657527</v>
      </c>
      <c r="AT2443">
        <v>9.9291820065960898</v>
      </c>
      <c r="CB2443">
        <v>11.7587307657527</v>
      </c>
      <c r="CC2443">
        <v>7.5255876900817196</v>
      </c>
    </row>
    <row r="2444" spans="39:81">
      <c r="AM2444" s="2"/>
      <c r="AN2444" s="2"/>
      <c r="AS2444">
        <v>11.7878510164917</v>
      </c>
      <c r="AT2444">
        <v>8.3038775821115909</v>
      </c>
      <c r="CB2444">
        <v>11.7878510164917</v>
      </c>
      <c r="CC2444">
        <v>7.5442246505546899</v>
      </c>
    </row>
    <row r="2445" spans="39:81">
      <c r="AM2445" s="2"/>
      <c r="AN2445" s="2"/>
      <c r="AS2445">
        <v>11.867208357480299</v>
      </c>
      <c r="AT2445">
        <v>7.0037502119021102</v>
      </c>
      <c r="CB2445">
        <v>11.867208357480299</v>
      </c>
      <c r="CC2445">
        <v>7.5950133487874298</v>
      </c>
    </row>
    <row r="2446" spans="39:81">
      <c r="AM2446" s="2"/>
      <c r="AN2446" s="2"/>
      <c r="AS2446">
        <v>11.9388575171093</v>
      </c>
      <c r="AT2446">
        <v>5.5535555276136899</v>
      </c>
      <c r="CB2446">
        <v>11.9388575171093</v>
      </c>
      <c r="CC2446">
        <v>7.6408688109499998</v>
      </c>
    </row>
    <row r="2447" spans="39:81">
      <c r="AM2447" s="2"/>
      <c r="AN2447" s="2"/>
      <c r="AS2447">
        <v>11.9593283207538</v>
      </c>
      <c r="AT2447">
        <v>4.3836823864545202</v>
      </c>
      <c r="CB2447">
        <v>11.9593283207538</v>
      </c>
      <c r="CC2447">
        <v>7.6539701252824299</v>
      </c>
    </row>
    <row r="2448" spans="39:81">
      <c r="AM2448" s="2"/>
      <c r="AN2448" s="2"/>
      <c r="AS2448">
        <v>11.979336579390701</v>
      </c>
      <c r="AT2448">
        <v>3.3338512606654498</v>
      </c>
      <c r="CB2448">
        <v>11.979336579390701</v>
      </c>
      <c r="CC2448">
        <v>7.6667754108100903</v>
      </c>
    </row>
    <row r="2449" spans="39:81">
      <c r="AM2449" s="2"/>
      <c r="AN2449" s="2"/>
      <c r="AS2449">
        <v>11.932750570096699</v>
      </c>
      <c r="AT2449">
        <v>2.1069961148988599</v>
      </c>
      <c r="CB2449">
        <v>11.932750570096699</v>
      </c>
      <c r="CC2449">
        <v>7.6369603648619204</v>
      </c>
    </row>
    <row r="2450" spans="39:81">
      <c r="AM2450" s="2"/>
      <c r="AN2450" s="2"/>
      <c r="AS2450">
        <v>11.8889771624053</v>
      </c>
      <c r="AT2450">
        <v>0.77384725514377795</v>
      </c>
      <c r="CB2450">
        <v>11.8889771624053</v>
      </c>
      <c r="CC2450">
        <v>7.6089453839394103</v>
      </c>
    </row>
    <row r="2451" spans="39:81">
      <c r="AM2451" s="2"/>
      <c r="AN2451" s="2"/>
      <c r="AS2451">
        <v>11.891229155651001</v>
      </c>
      <c r="AT2451">
        <v>-0.71588312476649196</v>
      </c>
      <c r="CB2451">
        <v>11.891229155651001</v>
      </c>
      <c r="CC2451">
        <v>7.6103866596166396</v>
      </c>
    </row>
    <row r="2452" spans="39:81">
      <c r="AM2452" s="2"/>
      <c r="AN2452" s="2"/>
      <c r="AS2452">
        <v>11.868187994769601</v>
      </c>
      <c r="AT2452">
        <v>-2.2979013812488298</v>
      </c>
      <c r="CB2452">
        <v>11.868187994769601</v>
      </c>
      <c r="CC2452">
        <v>7.5956403166525996</v>
      </c>
    </row>
    <row r="2453" spans="39:81">
      <c r="AM2453" s="2"/>
      <c r="AN2453" s="2"/>
      <c r="AS2453">
        <v>11.8720576669902</v>
      </c>
      <c r="AT2453">
        <v>-3.7246305421000101</v>
      </c>
      <c r="CB2453">
        <v>11.8720576669902</v>
      </c>
      <c r="CC2453">
        <v>7.5981169068737797</v>
      </c>
    </row>
    <row r="2454" spans="39:81">
      <c r="AM2454" s="2"/>
      <c r="AN2454" s="2"/>
      <c r="AS2454">
        <v>11.8458042892298</v>
      </c>
      <c r="AT2454">
        <v>-4.9096455641066603</v>
      </c>
      <c r="CB2454">
        <v>11.8458042892298</v>
      </c>
      <c r="CC2454">
        <v>7.5813147451070897</v>
      </c>
    </row>
    <row r="2455" spans="39:81">
      <c r="AM2455" s="2"/>
      <c r="AN2455" s="2"/>
      <c r="AS2455">
        <v>11.756112405610599</v>
      </c>
      <c r="AT2455">
        <v>-6.1397589572553803</v>
      </c>
      <c r="CB2455">
        <v>11.756112405610599</v>
      </c>
      <c r="CC2455">
        <v>7.5239119395907901</v>
      </c>
    </row>
    <row r="2456" spans="39:81">
      <c r="AM2456" s="2"/>
      <c r="AN2456" s="2"/>
      <c r="AS2456">
        <v>11.7019041805207</v>
      </c>
      <c r="AT2456">
        <v>-7.2055324135707304</v>
      </c>
      <c r="CB2456">
        <v>11.7019041805207</v>
      </c>
      <c r="CC2456">
        <v>7.4892186755332997</v>
      </c>
    </row>
    <row r="2457" spans="39:81">
      <c r="AM2457" s="2"/>
      <c r="AN2457" s="2"/>
      <c r="AS2457">
        <v>11.619520156590699</v>
      </c>
      <c r="AT2457">
        <v>-8.5591539597260091</v>
      </c>
      <c r="CB2457">
        <v>11.619520156590699</v>
      </c>
      <c r="CC2457">
        <v>7.4364929002180897</v>
      </c>
    </row>
    <row r="2458" spans="39:81">
      <c r="AM2458" s="2"/>
      <c r="AN2458" s="2"/>
      <c r="AS2458">
        <v>11.5513507958267</v>
      </c>
      <c r="AT2458">
        <v>-9.9294093094858393</v>
      </c>
      <c r="CB2458">
        <v>11.5513507958267</v>
      </c>
      <c r="CC2458">
        <v>7.3928645093291401</v>
      </c>
    </row>
    <row r="2459" spans="39:81">
      <c r="AM2459" s="2"/>
      <c r="AN2459" s="2"/>
      <c r="AS2459">
        <v>11.5135096947003</v>
      </c>
      <c r="AT2459">
        <v>-11.155578760621401</v>
      </c>
      <c r="CB2459">
        <v>11.5135096947003</v>
      </c>
      <c r="CC2459">
        <v>7.3686462046082104</v>
      </c>
    </row>
    <row r="2460" spans="39:81">
      <c r="AM2460" s="2"/>
      <c r="AN2460" s="2"/>
      <c r="AS2460">
        <v>11.420398301215901</v>
      </c>
      <c r="AT2460">
        <v>-12.605411405671701</v>
      </c>
      <c r="CB2460">
        <v>11.420398301215901</v>
      </c>
      <c r="CC2460">
        <v>7.3090549127781896</v>
      </c>
    </row>
    <row r="2461" spans="39:81">
      <c r="AM2461" s="2"/>
      <c r="AN2461" s="2"/>
      <c r="AS2461">
        <v>11.361832356049099</v>
      </c>
      <c r="AT2461">
        <v>-13.810245873448601</v>
      </c>
      <c r="CB2461">
        <v>11.361832356049099</v>
      </c>
      <c r="CC2461">
        <v>7.2715727078714698</v>
      </c>
    </row>
    <row r="2462" spans="39:81">
      <c r="AM2462" s="2"/>
      <c r="AN2462" s="2"/>
      <c r="AS2462">
        <v>11.269989332578399</v>
      </c>
      <c r="AT2462">
        <v>-15.0700842039896</v>
      </c>
      <c r="CB2462">
        <v>11.269989332578399</v>
      </c>
      <c r="CC2462">
        <v>7.2127931728501897</v>
      </c>
    </row>
    <row r="2463" spans="39:81">
      <c r="AM2463" s="2"/>
      <c r="AN2463" s="2"/>
      <c r="AS2463">
        <v>11.1534430658969</v>
      </c>
      <c r="AT2463">
        <v>-16.1528066342572</v>
      </c>
      <c r="CB2463">
        <v>11.1534430658969</v>
      </c>
      <c r="CC2463">
        <v>7.1382035621740503</v>
      </c>
    </row>
    <row r="2464" spans="39:81">
      <c r="AM2464" s="2"/>
      <c r="AN2464" s="2"/>
      <c r="AS2464">
        <v>11.0652323637888</v>
      </c>
      <c r="AT2464">
        <v>-17.220698808926802</v>
      </c>
      <c r="CB2464">
        <v>11.0652323637888</v>
      </c>
      <c r="CC2464">
        <v>7.0817487128248704</v>
      </c>
    </row>
    <row r="2465" spans="39:81">
      <c r="AM2465" s="2"/>
      <c r="AN2465" s="2"/>
      <c r="AS2465">
        <v>10.934234354051201</v>
      </c>
      <c r="AT2465">
        <v>-18.284326759691499</v>
      </c>
      <c r="CB2465">
        <v>10.934234354051201</v>
      </c>
      <c r="CC2465">
        <v>6.9979099865927701</v>
      </c>
    </row>
    <row r="2466" spans="39:81">
      <c r="AM2466" s="2"/>
      <c r="AN2466" s="2"/>
      <c r="AS2466">
        <v>10.828036797760401</v>
      </c>
      <c r="AT2466">
        <v>-19.423205764715899</v>
      </c>
      <c r="CB2466">
        <v>10.828036797760401</v>
      </c>
      <c r="CC2466">
        <v>6.9299435505666702</v>
      </c>
    </row>
    <row r="2467" spans="39:81">
      <c r="AM2467" s="2"/>
      <c r="AN2467" s="2"/>
      <c r="AS2467">
        <v>10.744243007172701</v>
      </c>
      <c r="AT2467">
        <v>-20.719872674021602</v>
      </c>
      <c r="CB2467">
        <v>10.744243007172701</v>
      </c>
      <c r="CC2467">
        <v>6.8763155245905301</v>
      </c>
    </row>
    <row r="2468" spans="39:81">
      <c r="AM2468" s="2"/>
      <c r="AN2468" s="2"/>
      <c r="AS2468">
        <v>10.6452064403117</v>
      </c>
      <c r="AT2468">
        <v>-21.9738458607487</v>
      </c>
      <c r="CB2468">
        <v>10.6452064403117</v>
      </c>
      <c r="CC2468">
        <v>6.8129321217995198</v>
      </c>
    </row>
    <row r="2469" spans="39:81">
      <c r="AM2469" s="2"/>
      <c r="AN2469" s="2"/>
      <c r="AS2469">
        <v>10.5735390594671</v>
      </c>
      <c r="AT2469">
        <v>-23.129628122774498</v>
      </c>
      <c r="CB2469">
        <v>10.5735390594671</v>
      </c>
      <c r="CC2469">
        <v>6.7670649980589799</v>
      </c>
    </row>
    <row r="2470" spans="39:81">
      <c r="AM2470" s="2"/>
      <c r="AN2470" s="2"/>
      <c r="AS2470">
        <v>10.461686935218401</v>
      </c>
      <c r="AT2470">
        <v>-24.206920801544999</v>
      </c>
      <c r="CB2470">
        <v>10.461686935218401</v>
      </c>
      <c r="CC2470">
        <v>6.6954796385398003</v>
      </c>
    </row>
    <row r="2471" spans="39:81">
      <c r="AM2471" s="2"/>
      <c r="AN2471" s="2"/>
      <c r="AS2471">
        <v>10.3323914455425</v>
      </c>
      <c r="AT2471">
        <v>-25.108554364201201</v>
      </c>
      <c r="CB2471">
        <v>10.3323914455425</v>
      </c>
      <c r="CC2471">
        <v>6.6127305251472501</v>
      </c>
    </row>
    <row r="2472" spans="39:81">
      <c r="AM2472" s="2"/>
      <c r="AN2472" s="2"/>
      <c r="AS2472">
        <v>10.216273416138799</v>
      </c>
      <c r="AT2472">
        <v>-26.140527569625501</v>
      </c>
      <c r="CB2472">
        <v>10.216273416138799</v>
      </c>
      <c r="CC2472">
        <v>6.5384149863288803</v>
      </c>
    </row>
    <row r="2473" spans="39:81">
      <c r="AM2473" s="2"/>
      <c r="AN2473" s="2"/>
      <c r="AS2473">
        <v>10.055802333928099</v>
      </c>
      <c r="AT2473">
        <v>-27.344570734805899</v>
      </c>
      <c r="CB2473">
        <v>10.055802333928099</v>
      </c>
      <c r="CC2473">
        <v>6.4357134937140001</v>
      </c>
    </row>
    <row r="2474" spans="39:81">
      <c r="AM2474" s="2"/>
      <c r="AN2474" s="2"/>
      <c r="AS2474">
        <v>9.9069723367332791</v>
      </c>
      <c r="AT2474">
        <v>-28.512795578282901</v>
      </c>
      <c r="CB2474">
        <v>9.9069723367332791</v>
      </c>
      <c r="CC2474">
        <v>6.3404622955093002</v>
      </c>
    </row>
    <row r="2475" spans="39:81">
      <c r="AM2475" s="2"/>
      <c r="AN2475" s="2"/>
      <c r="AS2475">
        <v>9.75485598296215</v>
      </c>
      <c r="AT2475">
        <v>-29.859389857269001</v>
      </c>
      <c r="CB2475">
        <v>9.75485598296215</v>
      </c>
      <c r="CC2475">
        <v>6.24310782909577</v>
      </c>
    </row>
    <row r="2476" spans="39:81">
      <c r="AM2476" s="2"/>
      <c r="AN2476" s="2"/>
      <c r="AS2476">
        <v>9.5753344466314907</v>
      </c>
      <c r="AT2476">
        <v>-31.012993483973201</v>
      </c>
      <c r="CB2476">
        <v>9.5753344466314907</v>
      </c>
      <c r="CC2476">
        <v>6.1282140458441496</v>
      </c>
    </row>
    <row r="2477" spans="39:81">
      <c r="AM2477" s="2"/>
      <c r="AN2477" s="2"/>
      <c r="AS2477">
        <v>9.4123610665383204</v>
      </c>
      <c r="AT2477">
        <v>-32.0432526399631</v>
      </c>
      <c r="CB2477">
        <v>9.4123610665383204</v>
      </c>
      <c r="CC2477">
        <v>6.0239110825845197</v>
      </c>
    </row>
    <row r="2478" spans="39:81">
      <c r="AM2478" s="2"/>
      <c r="AN2478" s="2"/>
      <c r="AS2478">
        <v>9.2562718714482592</v>
      </c>
      <c r="AT2478">
        <v>-33.015580092184003</v>
      </c>
      <c r="CB2478">
        <v>9.2562718714482592</v>
      </c>
      <c r="CC2478">
        <v>5.92401399772689</v>
      </c>
    </row>
    <row r="2479" spans="39:81">
      <c r="AM2479" s="2"/>
      <c r="AN2479" s="2"/>
      <c r="AS2479">
        <v>9.0739214884460004</v>
      </c>
      <c r="AT2479">
        <v>-33.898824165705499</v>
      </c>
      <c r="CB2479">
        <v>9.0739214884460004</v>
      </c>
      <c r="CC2479">
        <v>5.8073097526054402</v>
      </c>
    </row>
    <row r="2480" spans="39:81">
      <c r="AM2480" s="2"/>
      <c r="AN2480" s="2"/>
      <c r="AS2480">
        <v>8.9038389451246491</v>
      </c>
      <c r="AT2480">
        <v>-34.9312467458359</v>
      </c>
      <c r="CB2480">
        <v>8.9038389451246491</v>
      </c>
      <c r="CC2480">
        <v>5.6984569248797801</v>
      </c>
    </row>
    <row r="2481" spans="39:81">
      <c r="AM2481" s="2"/>
      <c r="AN2481" s="2"/>
      <c r="AS2481">
        <v>8.6980896727823804</v>
      </c>
      <c r="AT2481">
        <v>-35.879429941425101</v>
      </c>
      <c r="CB2481">
        <v>8.6980896727823804</v>
      </c>
      <c r="CC2481">
        <v>5.5667773905807199</v>
      </c>
    </row>
    <row r="2482" spans="39:81">
      <c r="AM2482" s="2"/>
      <c r="AN2482" s="2"/>
      <c r="AS2482">
        <v>8.4818258747100792</v>
      </c>
      <c r="AT2482">
        <v>-36.875210906275903</v>
      </c>
      <c r="CB2482">
        <v>8.4818258747100792</v>
      </c>
      <c r="CC2482">
        <v>5.4283685598144498</v>
      </c>
    </row>
    <row r="2483" spans="39:81">
      <c r="AM2483" s="2"/>
      <c r="AN2483" s="2"/>
      <c r="AS2483">
        <v>8.2883439198583595</v>
      </c>
      <c r="AT2483">
        <v>-37.978805235261603</v>
      </c>
      <c r="CB2483">
        <v>8.2883439198583595</v>
      </c>
      <c r="CC2483">
        <v>5.3045401087093502</v>
      </c>
    </row>
    <row r="2484" spans="39:81">
      <c r="AM2484" s="2"/>
      <c r="AN2484" s="2"/>
      <c r="AS2484">
        <v>8.0685795772459308</v>
      </c>
      <c r="AT2484">
        <v>-38.713014760974197</v>
      </c>
      <c r="CB2484">
        <v>8.0685795772459308</v>
      </c>
      <c r="CC2484">
        <v>5.1638909294373896</v>
      </c>
    </row>
    <row r="2485" spans="39:81">
      <c r="AM2485" s="2"/>
      <c r="AN2485" s="2"/>
      <c r="AS2485">
        <v>7.85167993984936</v>
      </c>
      <c r="AT2485">
        <v>-39.640199283332201</v>
      </c>
      <c r="CB2485">
        <v>7.85167993984936</v>
      </c>
      <c r="CC2485">
        <v>5.0250751615035902</v>
      </c>
    </row>
    <row r="2486" spans="39:81">
      <c r="AM2486" s="2"/>
      <c r="AN2486" s="2"/>
      <c r="AS2486">
        <v>7.6410863091771803</v>
      </c>
      <c r="AT2486">
        <v>-40.180194046992597</v>
      </c>
      <c r="CB2486">
        <v>7.6410863091771803</v>
      </c>
      <c r="CC2486">
        <v>4.8902952378733904</v>
      </c>
    </row>
    <row r="2487" spans="39:81">
      <c r="AM2487" s="2"/>
      <c r="AN2487" s="2"/>
      <c r="AS2487">
        <v>7.4152312866955397</v>
      </c>
      <c r="AT2487">
        <v>-40.714851996192102</v>
      </c>
      <c r="CB2487">
        <v>7.4152312866955397</v>
      </c>
      <c r="CC2487">
        <v>4.7457480234851399</v>
      </c>
    </row>
    <row r="2488" spans="39:81">
      <c r="AM2488" s="2"/>
      <c r="AN2488" s="2"/>
      <c r="AS2488">
        <v>7.2195432250343901</v>
      </c>
      <c r="AT2488">
        <v>-41.475786350929702</v>
      </c>
      <c r="CB2488">
        <v>7.2195432250343901</v>
      </c>
      <c r="CC2488">
        <v>4.6205076640220097</v>
      </c>
    </row>
    <row r="2489" spans="39:81">
      <c r="AM2489" s="2"/>
      <c r="AN2489" s="2"/>
      <c r="AS2489">
        <v>7.0229024487265699</v>
      </c>
      <c r="AT2489">
        <v>-42.095282168476899</v>
      </c>
      <c r="CB2489">
        <v>7.0229024487265699</v>
      </c>
      <c r="CC2489">
        <v>4.4946575671850004</v>
      </c>
    </row>
    <row r="2490" spans="39:81">
      <c r="AM2490" s="2"/>
      <c r="AN2490" s="2"/>
      <c r="AS2490">
        <v>6.8115958160578103</v>
      </c>
      <c r="AT2490">
        <v>-43.003104088290698</v>
      </c>
      <c r="CB2490">
        <v>6.8115958160578103</v>
      </c>
      <c r="CC2490">
        <v>4.359421322277</v>
      </c>
    </row>
    <row r="2491" spans="39:81">
      <c r="AM2491" s="2"/>
      <c r="AN2491" s="2"/>
      <c r="AS2491">
        <v>6.5967992145638901</v>
      </c>
      <c r="AT2491">
        <v>-43.8142439285661</v>
      </c>
      <c r="CB2491">
        <v>6.5967992145638901</v>
      </c>
      <c r="CC2491">
        <v>4.22195149732089</v>
      </c>
    </row>
    <row r="2492" spans="39:81">
      <c r="AM2492" s="2"/>
      <c r="AN2492" s="2"/>
      <c r="AS2492">
        <v>6.3455619904258098</v>
      </c>
      <c r="AT2492">
        <v>-44.427762998599697</v>
      </c>
      <c r="CB2492">
        <v>6.3455619904258098</v>
      </c>
      <c r="CC2492">
        <v>4.0611596738725204</v>
      </c>
    </row>
    <row r="2493" spans="39:81">
      <c r="AM2493" s="2"/>
      <c r="AN2493" s="2"/>
      <c r="AS2493">
        <v>6.1008078580968901</v>
      </c>
      <c r="AT2493">
        <v>-44.910451894783499</v>
      </c>
      <c r="CB2493">
        <v>6.1008078580968901</v>
      </c>
      <c r="CC2493">
        <v>3.9045170291820099</v>
      </c>
    </row>
    <row r="2494" spans="39:81">
      <c r="AM2494" s="2"/>
      <c r="AN2494" s="2"/>
      <c r="AS2494">
        <v>5.8644974083972201</v>
      </c>
      <c r="AT2494">
        <v>-45.282029334317599</v>
      </c>
      <c r="CB2494">
        <v>5.8644974083972201</v>
      </c>
      <c r="CC2494">
        <v>3.7532783413742199</v>
      </c>
    </row>
    <row r="2495" spans="39:81">
      <c r="AM2495" s="2"/>
      <c r="AN2495" s="2"/>
      <c r="AS2495">
        <v>5.6065892995497597</v>
      </c>
      <c r="AT2495">
        <v>-45.574513200671497</v>
      </c>
      <c r="CB2495">
        <v>5.6065892995497597</v>
      </c>
      <c r="CC2495">
        <v>3.5882171517118402</v>
      </c>
    </row>
    <row r="2496" spans="39:81">
      <c r="AM2496" s="2"/>
      <c r="AN2496" s="2"/>
      <c r="AS2496">
        <v>5.3655568302470096</v>
      </c>
      <c r="AT2496">
        <v>-46.110460167363897</v>
      </c>
      <c r="CB2496">
        <v>5.3655568302470096</v>
      </c>
      <c r="CC2496">
        <v>3.4339563713580801</v>
      </c>
    </row>
    <row r="2497" spans="39:81">
      <c r="AM2497" s="2"/>
      <c r="AN2497" s="2"/>
      <c r="AS2497">
        <v>5.0835173243492804</v>
      </c>
      <c r="AT2497">
        <v>-46.687827589817303</v>
      </c>
      <c r="CB2497">
        <v>5.0835173243492804</v>
      </c>
      <c r="CC2497">
        <v>3.2534510875835401</v>
      </c>
    </row>
    <row r="2498" spans="39:81">
      <c r="AM2498" s="2"/>
      <c r="AN2498" s="2"/>
      <c r="AS2498">
        <v>4.7774800607967602</v>
      </c>
      <c r="AT2498">
        <v>-47.1950157373171</v>
      </c>
      <c r="CB2498">
        <v>4.7774800607967602</v>
      </c>
      <c r="CC2498">
        <v>3.0575872389099299</v>
      </c>
    </row>
    <row r="2499" spans="39:81">
      <c r="AM2499" s="2"/>
      <c r="AN2499" s="2"/>
      <c r="AS2499">
        <v>4.4848914539335203</v>
      </c>
      <c r="AT2499">
        <v>-47.820821367960797</v>
      </c>
      <c r="CB2499">
        <v>4.4848914539335203</v>
      </c>
      <c r="CC2499">
        <v>2.87033053051745</v>
      </c>
    </row>
    <row r="2500" spans="39:81">
      <c r="AM2500" s="2"/>
      <c r="AN2500" s="2"/>
      <c r="AS2500">
        <v>4.16011859376228</v>
      </c>
      <c r="AT2500">
        <v>-47.9676481263798</v>
      </c>
      <c r="CB2500">
        <v>4.16011859376228</v>
      </c>
      <c r="CC2500">
        <v>2.6624759000078599</v>
      </c>
    </row>
    <row r="2501" spans="39:81">
      <c r="AM2501" s="2"/>
      <c r="AN2501" s="2"/>
      <c r="AS2501">
        <v>3.8639342856846102</v>
      </c>
      <c r="AT2501">
        <v>-48.279142947786802</v>
      </c>
      <c r="CB2501">
        <v>3.8639342856846102</v>
      </c>
      <c r="CC2501">
        <v>2.47291794283815</v>
      </c>
    </row>
    <row r="2502" spans="39:81">
      <c r="AM2502" s="2"/>
      <c r="AN2502" s="2"/>
      <c r="AS2502">
        <v>3.5666805867783702</v>
      </c>
      <c r="AT2502">
        <v>-48.541249883989899</v>
      </c>
      <c r="CB2502">
        <v>3.5666805867783702</v>
      </c>
      <c r="CC2502">
        <v>2.2826755755381498</v>
      </c>
    </row>
    <row r="2503" spans="39:81">
      <c r="AM2503" s="2"/>
      <c r="AN2503" s="2"/>
      <c r="AS2503">
        <v>3.2548620752407</v>
      </c>
      <c r="AT2503">
        <v>-48.683082482421597</v>
      </c>
      <c r="CB2503">
        <v>3.2548620752407</v>
      </c>
      <c r="CC2503">
        <v>2.0831117281540501</v>
      </c>
    </row>
    <row r="2504" spans="39:81">
      <c r="AM2504" s="2"/>
      <c r="AN2504" s="2"/>
      <c r="AS2504">
        <v>2.9564328930753798</v>
      </c>
      <c r="AT2504">
        <v>-49.117244803137197</v>
      </c>
      <c r="CB2504">
        <v>2.9564328930753798</v>
      </c>
      <c r="CC2504">
        <v>1.8921170515682399</v>
      </c>
    </row>
    <row r="2505" spans="39:81">
      <c r="AM2505" s="2"/>
      <c r="AN2505" s="2"/>
      <c r="AS2505">
        <v>2.6260776913774899</v>
      </c>
      <c r="AT2505">
        <v>-49.365321998640198</v>
      </c>
      <c r="CB2505">
        <v>2.6260776913774899</v>
      </c>
      <c r="CC2505">
        <v>1.68068972248159</v>
      </c>
    </row>
    <row r="2506" spans="39:81">
      <c r="AM2506" s="2"/>
      <c r="AN2506" s="2"/>
      <c r="AS2506">
        <v>2.3105738302644201</v>
      </c>
      <c r="AT2506">
        <v>-49.8087321929113</v>
      </c>
      <c r="CB2506">
        <v>2.3105738302644201</v>
      </c>
      <c r="CC2506">
        <v>1.47876725136922</v>
      </c>
    </row>
    <row r="2507" spans="39:81">
      <c r="AM2507" s="2"/>
      <c r="AN2507" s="2"/>
      <c r="AS2507">
        <v>1.9855257017186201</v>
      </c>
      <c r="AT2507">
        <v>-50.087676495866397</v>
      </c>
      <c r="CB2507">
        <v>1.9855257017186201</v>
      </c>
      <c r="CC2507">
        <v>1.27073644909991</v>
      </c>
    </row>
    <row r="2508" spans="39:81">
      <c r="AM2508" s="2"/>
      <c r="AN2508" s="2"/>
      <c r="AS2508">
        <v>1.6600074210278399</v>
      </c>
      <c r="AT2508">
        <v>-50.315769726276201</v>
      </c>
      <c r="CB2508">
        <v>1.6600074210278399</v>
      </c>
      <c r="CC2508">
        <v>1.0624047494578199</v>
      </c>
    </row>
    <row r="2509" spans="39:81">
      <c r="AM2509" s="2"/>
      <c r="AN2509" s="2"/>
      <c r="AS2509">
        <v>1.3624265347719</v>
      </c>
      <c r="AT2509">
        <v>-50.453228851568497</v>
      </c>
      <c r="CB2509">
        <v>1.3624265347719</v>
      </c>
      <c r="CC2509">
        <v>0.87195298225402196</v>
      </c>
    </row>
    <row r="2510" spans="39:81">
      <c r="AM2510" s="2"/>
      <c r="AN2510" s="2"/>
      <c r="AS2510">
        <v>1.0593779781720301</v>
      </c>
      <c r="AT2510">
        <v>-50.457991514788297</v>
      </c>
      <c r="CB2510">
        <v>1.0593779781720301</v>
      </c>
      <c r="CC2510">
        <v>0.67800190603010202</v>
      </c>
    </row>
    <row r="2511" spans="39:81">
      <c r="AM2511" s="2"/>
      <c r="AN2511" s="2"/>
      <c r="AS2511">
        <v>0.785478710344227</v>
      </c>
      <c r="AT2511">
        <v>-50.556046124618902</v>
      </c>
      <c r="CB2511">
        <v>0.785478710344227</v>
      </c>
      <c r="CC2511">
        <v>0.50270637462030499</v>
      </c>
    </row>
    <row r="2512" spans="39:81">
      <c r="AM2512" s="2"/>
      <c r="AN2512" s="2"/>
      <c r="AS2512">
        <v>0.51769325989590798</v>
      </c>
      <c r="AT2512">
        <v>-50.685343122369702</v>
      </c>
      <c r="CB2512">
        <v>0.51769325989590798</v>
      </c>
      <c r="CC2512">
        <v>0.331323686333381</v>
      </c>
    </row>
    <row r="2513" spans="39:81">
      <c r="AM2513" s="2"/>
      <c r="AN2513" s="2"/>
      <c r="AS2513">
        <v>0.211616638341867</v>
      </c>
      <c r="AT2513">
        <v>-50.853373844459298</v>
      </c>
      <c r="CB2513">
        <v>0.211616638341867</v>
      </c>
      <c r="CC2513">
        <v>0.135434648538795</v>
      </c>
    </row>
    <row r="2514" spans="39:81">
      <c r="AM2514" s="2"/>
      <c r="AN2514" s="2"/>
      <c r="AS2514">
        <v>-6.3755543732844006E-2</v>
      </c>
      <c r="AT2514">
        <v>-51.103705053771101</v>
      </c>
      <c r="CB2514">
        <v>-6.3755543732844006E-2</v>
      </c>
      <c r="CC2514">
        <v>-4.0803547989020202E-2</v>
      </c>
    </row>
    <row r="2515" spans="39:81">
      <c r="AM2515" s="2"/>
      <c r="AN2515" s="2"/>
      <c r="AS2515">
        <v>-0.37425071454229702</v>
      </c>
      <c r="AT2515">
        <v>-51.097084755491601</v>
      </c>
      <c r="CB2515">
        <v>-0.37425071454229702</v>
      </c>
      <c r="CC2515">
        <v>-0.23952045730707</v>
      </c>
    </row>
    <row r="2516" spans="39:81">
      <c r="AM2516" s="2"/>
      <c r="AN2516" s="2"/>
      <c r="AS2516">
        <v>-0.67680536494726495</v>
      </c>
      <c r="AT2516">
        <v>-50.963976594532603</v>
      </c>
      <c r="CB2516">
        <v>-0.67680536494726495</v>
      </c>
      <c r="CC2516">
        <v>-0.43315543356624903</v>
      </c>
    </row>
    <row r="2517" spans="39:81">
      <c r="AM2517" s="2"/>
      <c r="AN2517" s="2"/>
      <c r="AS2517">
        <v>-0.95386020504989499</v>
      </c>
      <c r="AT2517">
        <v>-50.8046739308448</v>
      </c>
      <c r="CB2517">
        <v>-0.95386020504989499</v>
      </c>
      <c r="CC2517">
        <v>-0.61047053123193296</v>
      </c>
    </row>
    <row r="2518" spans="39:81">
      <c r="AM2518" s="2"/>
      <c r="AN2518" s="2"/>
      <c r="AS2518">
        <v>-1.27825792808915</v>
      </c>
      <c r="AT2518">
        <v>-50.390865461973398</v>
      </c>
      <c r="CB2518">
        <v>-1.27825792808915</v>
      </c>
      <c r="CC2518">
        <v>-0.81808507397705599</v>
      </c>
    </row>
    <row r="2519" spans="39:81">
      <c r="AM2519" s="2"/>
      <c r="AN2519" s="2"/>
      <c r="AS2519">
        <v>-1.57631695772748</v>
      </c>
      <c r="AT2519">
        <v>-50.214259406256097</v>
      </c>
      <c r="CB2519">
        <v>-1.57631695772748</v>
      </c>
      <c r="CC2519">
        <v>-1.00884285294559</v>
      </c>
    </row>
    <row r="2520" spans="39:81">
      <c r="AM2520" s="2"/>
      <c r="AN2520" s="2"/>
      <c r="AS2520">
        <v>-1.89558906867574</v>
      </c>
      <c r="AT2520">
        <v>-50.024921368454599</v>
      </c>
      <c r="CB2520">
        <v>-1.89558906867574</v>
      </c>
      <c r="CC2520">
        <v>-1.2131770039524701</v>
      </c>
    </row>
    <row r="2521" spans="39:81">
      <c r="AM2521" s="2"/>
      <c r="AN2521" s="2"/>
      <c r="AS2521">
        <v>-2.2238842698841101</v>
      </c>
      <c r="AT2521">
        <v>-49.866983059491297</v>
      </c>
      <c r="CB2521">
        <v>-2.2238842698841101</v>
      </c>
      <c r="CC2521">
        <v>-1.42328593272583</v>
      </c>
    </row>
    <row r="2522" spans="39:81">
      <c r="AM2522" s="2"/>
      <c r="AN2522" s="2"/>
      <c r="AS2522">
        <v>-2.54016472098085</v>
      </c>
      <c r="AT2522">
        <v>-49.751782961939803</v>
      </c>
      <c r="CB2522">
        <v>-2.54016472098085</v>
      </c>
      <c r="CC2522">
        <v>-1.62570542142774</v>
      </c>
    </row>
    <row r="2523" spans="39:81">
      <c r="AM2523" s="2"/>
      <c r="AN2523" s="2"/>
      <c r="AS2523">
        <v>-2.88239890881878</v>
      </c>
      <c r="AT2523">
        <v>-49.392940868373501</v>
      </c>
      <c r="CB2523">
        <v>-2.88239890881878</v>
      </c>
      <c r="CC2523">
        <v>-1.84473530164402</v>
      </c>
    </row>
    <row r="2524" spans="39:81">
      <c r="AM2524" s="2"/>
      <c r="AN2524" s="2"/>
      <c r="AS2524">
        <v>-3.1949294543539399</v>
      </c>
      <c r="AT2524">
        <v>-49.1757369357681</v>
      </c>
      <c r="CB2524">
        <v>-3.1949294543539399</v>
      </c>
      <c r="CC2524">
        <v>-2.0447548507865201</v>
      </c>
    </row>
    <row r="2525" spans="39:81">
      <c r="AM2525" s="2"/>
      <c r="AN2525" s="2"/>
      <c r="AS2525">
        <v>-3.5098455073321602</v>
      </c>
      <c r="AT2525">
        <v>-48.595988353548798</v>
      </c>
      <c r="CB2525">
        <v>-3.5098455073321602</v>
      </c>
      <c r="CC2525">
        <v>-2.2463011246925801</v>
      </c>
    </row>
    <row r="2526" spans="39:81">
      <c r="AM2526" s="2"/>
      <c r="AN2526" s="2"/>
      <c r="AS2526">
        <v>-3.80488401815925</v>
      </c>
      <c r="AT2526">
        <v>-48.145611145803002</v>
      </c>
      <c r="CB2526">
        <v>-3.80488401815925</v>
      </c>
      <c r="CC2526">
        <v>-2.4351257716219199</v>
      </c>
    </row>
    <row r="2527" spans="39:81">
      <c r="AM2527" s="2"/>
      <c r="AN2527" s="2"/>
      <c r="AS2527">
        <v>-4.0631994500157598</v>
      </c>
      <c r="AT2527">
        <v>-47.853035438761196</v>
      </c>
      <c r="CB2527">
        <v>-4.0631994500157598</v>
      </c>
      <c r="CC2527">
        <v>-2.6004476480100802</v>
      </c>
    </row>
    <row r="2528" spans="39:81">
      <c r="AM2528" s="2"/>
      <c r="AN2528" s="2"/>
      <c r="AS2528">
        <v>-4.3490845156831597</v>
      </c>
      <c r="AT2528">
        <v>-47.411976142050797</v>
      </c>
      <c r="CB2528">
        <v>-4.3490845156831597</v>
      </c>
      <c r="CC2528">
        <v>-2.78341409003722</v>
      </c>
    </row>
    <row r="2529" spans="39:81">
      <c r="AM2529" s="2"/>
      <c r="AN2529" s="2"/>
      <c r="AS2529">
        <v>-4.6117300155808501</v>
      </c>
      <c r="AT2529">
        <v>-47.447786796957999</v>
      </c>
      <c r="CB2529">
        <v>-4.6117300155808501</v>
      </c>
      <c r="CC2529">
        <v>-2.9515072099717399</v>
      </c>
    </row>
    <row r="2530" spans="39:81">
      <c r="AM2530" s="2"/>
      <c r="AN2530" s="2"/>
      <c r="AS2530">
        <v>-4.8962817692302796</v>
      </c>
      <c r="AT2530">
        <v>-47.135179799895297</v>
      </c>
      <c r="CB2530">
        <v>-4.8962817692302796</v>
      </c>
      <c r="CC2530">
        <v>-3.1336203323073799</v>
      </c>
    </row>
    <row r="2531" spans="39:81">
      <c r="AM2531" s="2"/>
      <c r="AN2531" s="2"/>
      <c r="AS2531">
        <v>-5.1813362833673704</v>
      </c>
      <c r="AT2531">
        <v>-46.809467709359303</v>
      </c>
      <c r="CB2531">
        <v>-5.1813362833673704</v>
      </c>
      <c r="CC2531">
        <v>-3.3160552213551102</v>
      </c>
    </row>
    <row r="2532" spans="39:81">
      <c r="AM2532" s="2"/>
      <c r="AN2532" s="2"/>
      <c r="AS2532">
        <v>-5.4181476158193398</v>
      </c>
      <c r="AT2532">
        <v>-46.376270384657303</v>
      </c>
      <c r="CB2532">
        <v>-5.4181476158193398</v>
      </c>
      <c r="CC2532">
        <v>-3.46761447412438</v>
      </c>
    </row>
    <row r="2533" spans="39:81">
      <c r="AM2533" s="2"/>
      <c r="AN2533" s="2"/>
      <c r="AS2533">
        <v>-5.6524344697090996</v>
      </c>
      <c r="AT2533">
        <v>-45.5937695085223</v>
      </c>
      <c r="CB2533">
        <v>-5.6524344697090996</v>
      </c>
      <c r="CC2533">
        <v>-3.61755806061382</v>
      </c>
    </row>
    <row r="2534" spans="39:81">
      <c r="AM2534" s="2"/>
      <c r="AN2534" s="2"/>
      <c r="AS2534">
        <v>-5.8520076308704798</v>
      </c>
      <c r="AT2534">
        <v>-45.010475822764199</v>
      </c>
      <c r="CB2534">
        <v>-5.8520076308704798</v>
      </c>
      <c r="CC2534">
        <v>-3.7452848837570998</v>
      </c>
    </row>
    <row r="2535" spans="39:81">
      <c r="AM2535" s="2"/>
      <c r="AN2535" s="2"/>
      <c r="AS2535">
        <v>-6.0406685629129102</v>
      </c>
      <c r="AT2535">
        <v>-44.512095827028297</v>
      </c>
      <c r="CB2535">
        <v>-6.0406685629129102</v>
      </c>
      <c r="CC2535">
        <v>-3.86602788026426</v>
      </c>
    </row>
    <row r="2536" spans="39:81">
      <c r="AM2536" s="2"/>
      <c r="AN2536" s="2"/>
      <c r="AS2536">
        <v>-6.2594611523498296</v>
      </c>
      <c r="AT2536">
        <v>-44.1174785041974</v>
      </c>
      <c r="CB2536">
        <v>-6.2594611523498296</v>
      </c>
      <c r="CC2536">
        <v>-4.00605513750389</v>
      </c>
    </row>
    <row r="2537" spans="39:81">
      <c r="AM2537" s="2"/>
      <c r="AN2537" s="2"/>
      <c r="AS2537">
        <v>-6.4761889211892303</v>
      </c>
      <c r="AT2537">
        <v>-43.789392926443803</v>
      </c>
      <c r="CB2537">
        <v>-6.4761889211892303</v>
      </c>
      <c r="CC2537">
        <v>-4.1447609095611098</v>
      </c>
    </row>
    <row r="2538" spans="39:81">
      <c r="AM2538" s="2"/>
      <c r="AN2538" s="2"/>
      <c r="AS2538">
        <v>-6.7003576959376998</v>
      </c>
      <c r="AT2538">
        <v>-43.388154948245301</v>
      </c>
      <c r="CB2538">
        <v>-6.7003576959376998</v>
      </c>
      <c r="CC2538">
        <v>-4.28822892540013</v>
      </c>
    </row>
    <row r="2539" spans="39:81">
      <c r="AM2539" s="2"/>
      <c r="AN2539" s="2"/>
      <c r="AS2539">
        <v>-6.9187941853665897</v>
      </c>
      <c r="AT2539">
        <v>-42.687312231729102</v>
      </c>
      <c r="CB2539">
        <v>-6.9187941853665897</v>
      </c>
      <c r="CC2539">
        <v>-4.4280282786346197</v>
      </c>
    </row>
    <row r="2540" spans="39:81">
      <c r="AM2540" s="2"/>
      <c r="AN2540" s="2"/>
      <c r="AS2540">
        <v>-7.1077797145061998</v>
      </c>
      <c r="AT2540">
        <v>-41.978943720802199</v>
      </c>
      <c r="CB2540">
        <v>-7.1077797145061998</v>
      </c>
      <c r="CC2540">
        <v>-4.5489790172839699</v>
      </c>
    </row>
    <row r="2541" spans="39:81">
      <c r="AM2541" s="2"/>
      <c r="AN2541" s="2"/>
      <c r="AS2541">
        <v>-7.3123639487632799</v>
      </c>
      <c r="AT2541">
        <v>-41.174009725449601</v>
      </c>
      <c r="CB2541">
        <v>-7.3123639487632799</v>
      </c>
      <c r="CC2541">
        <v>-4.6799129272085001</v>
      </c>
    </row>
    <row r="2542" spans="39:81">
      <c r="AM2542" s="2"/>
      <c r="AN2542" s="2"/>
      <c r="AS2542">
        <v>-7.5267588279748301</v>
      </c>
      <c r="AT2542">
        <v>-40.339159330923998</v>
      </c>
      <c r="CB2542">
        <v>-7.5267588279748301</v>
      </c>
      <c r="CC2542">
        <v>-4.8171256499038897</v>
      </c>
    </row>
    <row r="2543" spans="39:81">
      <c r="AM2543" s="2"/>
      <c r="AN2543" s="2"/>
      <c r="AS2543">
        <v>-7.7365927242951402</v>
      </c>
      <c r="AT2543">
        <v>-39.77767885283</v>
      </c>
      <c r="CB2543">
        <v>-7.7365927242951402</v>
      </c>
      <c r="CC2543">
        <v>-4.9514193435488902</v>
      </c>
    </row>
    <row r="2544" spans="39:81">
      <c r="AM2544" s="2"/>
      <c r="AN2544" s="2"/>
      <c r="AS2544">
        <v>-7.9659171705078604</v>
      </c>
      <c r="AT2544">
        <v>-38.892796715408302</v>
      </c>
      <c r="CB2544">
        <v>-7.9659171705078604</v>
      </c>
      <c r="CC2544">
        <v>-5.09818698912503</v>
      </c>
    </row>
    <row r="2545" spans="39:81">
      <c r="AM2545" s="2"/>
      <c r="AN2545" s="2"/>
      <c r="AS2545">
        <v>-8.1668392303576898</v>
      </c>
      <c r="AT2545">
        <v>-38.227497047891497</v>
      </c>
      <c r="CB2545">
        <v>-8.1668392303576898</v>
      </c>
      <c r="CC2545">
        <v>-5.2267771074289202</v>
      </c>
    </row>
    <row r="2546" spans="39:81">
      <c r="AM2546" s="2"/>
      <c r="AN2546" s="2"/>
      <c r="AS2546">
        <v>-8.3673534040199993</v>
      </c>
      <c r="AT2546">
        <v>-37.472507663693399</v>
      </c>
      <c r="CB2546">
        <v>-8.3673534040199993</v>
      </c>
      <c r="CC2546">
        <v>-5.3551061785728002</v>
      </c>
    </row>
    <row r="2547" spans="39:81">
      <c r="AM2547" s="2"/>
      <c r="AN2547" s="2"/>
      <c r="AS2547">
        <v>-8.58090572375853</v>
      </c>
      <c r="AT2547">
        <v>-36.539247941260903</v>
      </c>
      <c r="CB2547">
        <v>-8.58090572375853</v>
      </c>
      <c r="CC2547">
        <v>-5.4917796632054596</v>
      </c>
    </row>
    <row r="2548" spans="39:81">
      <c r="AM2548" s="2"/>
      <c r="AN2548" s="2"/>
      <c r="AS2548">
        <v>-8.7603137316367796</v>
      </c>
      <c r="AT2548">
        <v>-35.630492562357297</v>
      </c>
      <c r="CB2548">
        <v>-8.7603137316367796</v>
      </c>
      <c r="CC2548">
        <v>-5.6066007882475404</v>
      </c>
    </row>
    <row r="2549" spans="39:81">
      <c r="AM2549" s="2"/>
      <c r="AN2549" s="2"/>
      <c r="AS2549">
        <v>-8.96401398170768</v>
      </c>
      <c r="AT2549">
        <v>-34.510081400007401</v>
      </c>
      <c r="CB2549">
        <v>-8.96401398170768</v>
      </c>
      <c r="CC2549">
        <v>-5.73696894829291</v>
      </c>
    </row>
    <row r="2550" spans="39:81">
      <c r="AM2550" s="2"/>
      <c r="AN2550" s="2"/>
      <c r="AS2550">
        <v>-9.1538827151854392</v>
      </c>
      <c r="AT2550">
        <v>-33.458201862919097</v>
      </c>
      <c r="CB2550">
        <v>-9.1538827151854392</v>
      </c>
      <c r="CC2550">
        <v>-5.8584849377186803</v>
      </c>
    </row>
    <row r="2551" spans="39:81">
      <c r="AM2551" s="2"/>
      <c r="AN2551" s="2"/>
      <c r="AS2551">
        <v>-9.3191764084492608</v>
      </c>
      <c r="AT2551">
        <v>-32.407250784516897</v>
      </c>
      <c r="CB2551">
        <v>-9.3191764084492608</v>
      </c>
      <c r="CC2551">
        <v>-5.9642729014075204</v>
      </c>
    </row>
    <row r="2552" spans="39:81">
      <c r="AM2552" s="2"/>
      <c r="AN2552" s="2"/>
      <c r="AS2552">
        <v>-9.5008971829048701</v>
      </c>
      <c r="AT2552">
        <v>-31.464350020494699</v>
      </c>
      <c r="CB2552">
        <v>-9.5008971829048701</v>
      </c>
      <c r="CC2552">
        <v>-6.0805741970591098</v>
      </c>
    </row>
    <row r="2553" spans="39:81">
      <c r="AM2553" s="2"/>
      <c r="AN2553" s="2"/>
      <c r="AS2553">
        <v>-9.6700072319914003</v>
      </c>
      <c r="AT2553">
        <v>-30.549321022828401</v>
      </c>
      <c r="CB2553">
        <v>-9.6700072319914003</v>
      </c>
      <c r="CC2553">
        <v>-6.1888046284744904</v>
      </c>
    </row>
    <row r="2554" spans="39:81">
      <c r="AM2554" s="2"/>
      <c r="AN2554" s="2"/>
      <c r="AS2554">
        <v>-9.8233987324440104</v>
      </c>
      <c r="AT2554">
        <v>-29.512757955127299</v>
      </c>
      <c r="CB2554">
        <v>-9.8233987324440104</v>
      </c>
      <c r="CC2554">
        <v>-6.2869751887641696</v>
      </c>
    </row>
    <row r="2555" spans="39:81">
      <c r="AM2555" s="2"/>
      <c r="AN2555" s="2"/>
      <c r="AS2555">
        <v>-9.9947792314058006</v>
      </c>
      <c r="AT2555">
        <v>-28.403160957264699</v>
      </c>
      <c r="CB2555">
        <v>-9.9947792314058006</v>
      </c>
      <c r="CC2555">
        <v>-6.3966587080997099</v>
      </c>
    </row>
    <row r="2556" spans="39:81">
      <c r="AM2556" s="2"/>
      <c r="AN2556" s="2"/>
      <c r="AS2556">
        <v>-10.1370904886329</v>
      </c>
      <c r="AT2556">
        <v>-27.123928773128299</v>
      </c>
      <c r="CB2556">
        <v>-10.1370904886329</v>
      </c>
      <c r="CC2556">
        <v>-6.4877379127250601</v>
      </c>
    </row>
    <row r="2557" spans="39:81">
      <c r="AM2557" s="2"/>
      <c r="AN2557" s="2"/>
      <c r="AS2557">
        <v>-10.2813448058626</v>
      </c>
      <c r="AT2557">
        <v>-25.856508147100101</v>
      </c>
      <c r="CB2557">
        <v>-10.2813448058626</v>
      </c>
      <c r="CC2557">
        <v>-6.5800606757520699</v>
      </c>
    </row>
    <row r="2558" spans="39:81">
      <c r="AM2558" s="2"/>
      <c r="AN2558" s="2"/>
      <c r="AS2558">
        <v>-10.435309707256399</v>
      </c>
      <c r="AT2558">
        <v>-24.7731565289175</v>
      </c>
      <c r="CB2558">
        <v>-10.435309707256399</v>
      </c>
      <c r="CC2558">
        <v>-6.6785982126441104</v>
      </c>
    </row>
    <row r="2559" spans="39:81">
      <c r="AM2559" s="2"/>
      <c r="AN2559" s="2"/>
      <c r="AS2559">
        <v>-10.538046474384201</v>
      </c>
      <c r="AT2559">
        <v>-23.743900866549598</v>
      </c>
      <c r="CB2559">
        <v>-10.538046474384201</v>
      </c>
      <c r="CC2559">
        <v>-6.7443497436058903</v>
      </c>
    </row>
    <row r="2560" spans="39:81">
      <c r="AM2560" s="2"/>
      <c r="AN2560" s="2"/>
      <c r="AS2560">
        <v>-10.664027905286799</v>
      </c>
      <c r="AT2560">
        <v>-22.809062270842499</v>
      </c>
      <c r="CB2560">
        <v>-10.664027905286799</v>
      </c>
      <c r="CC2560">
        <v>-6.8249778593836004</v>
      </c>
    </row>
    <row r="2561" spans="39:81">
      <c r="AM2561" s="2"/>
      <c r="AN2561" s="2"/>
      <c r="AS2561">
        <v>-10.782287632751601</v>
      </c>
      <c r="AT2561">
        <v>-21.902276079201801</v>
      </c>
      <c r="CB2561">
        <v>-10.782287632751601</v>
      </c>
      <c r="CC2561">
        <v>-6.9006640849610399</v>
      </c>
    </row>
    <row r="2562" spans="39:81">
      <c r="AM2562" s="2"/>
      <c r="AN2562" s="2"/>
      <c r="AS2562">
        <v>-10.8813109377488</v>
      </c>
      <c r="AT2562">
        <v>-20.741812126859202</v>
      </c>
      <c r="CB2562">
        <v>-10.8813109377488</v>
      </c>
      <c r="CC2562">
        <v>-6.9640390001592403</v>
      </c>
    </row>
    <row r="2563" spans="39:81">
      <c r="AM2563" s="2"/>
      <c r="AN2563" s="2"/>
      <c r="AS2563">
        <v>-11.034330900083599</v>
      </c>
      <c r="AT2563">
        <v>-19.549189158493899</v>
      </c>
      <c r="CB2563">
        <v>-11.034330900083599</v>
      </c>
      <c r="CC2563">
        <v>-7.0619717760535199</v>
      </c>
    </row>
  </sheetData>
  <mergeCells count="1">
    <mergeCell ref="G9:J9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5031-B43F-4E2E-ABF1-2F34D9E8DFF4}">
  <dimension ref="A1:CC2563"/>
  <sheetViews>
    <sheetView zoomScale="85" zoomScaleNormal="85" workbookViewId="0">
      <selection activeCell="B2" sqref="B2:B17"/>
    </sheetView>
  </sheetViews>
  <sheetFormatPr defaultRowHeight="18.75"/>
  <cols>
    <col min="2" max="2" width="10.25" bestFit="1" customWidth="1"/>
    <col min="4" max="4" width="10.25" bestFit="1" customWidth="1"/>
    <col min="39" max="39" width="10.375" bestFit="1" customWidth="1"/>
  </cols>
  <sheetData>
    <row r="1" spans="1:59">
      <c r="A1" t="s">
        <v>0</v>
      </c>
      <c r="B1" t="s">
        <v>7</v>
      </c>
      <c r="D1" t="s">
        <v>8</v>
      </c>
      <c r="E1" t="s">
        <v>9</v>
      </c>
      <c r="L1" t="s">
        <v>10</v>
      </c>
      <c r="M1">
        <v>10</v>
      </c>
      <c r="P1">
        <v>30</v>
      </c>
    </row>
    <row r="2" spans="1:59">
      <c r="A2">
        <v>10</v>
      </c>
      <c r="B2">
        <f>SQRT(SUMSQ($M$1283:$M$1538)/256)+SQRT(SUMSQ($AV$1283:$AV$1538)/256)</f>
        <v>0</v>
      </c>
      <c r="D2">
        <f>SQRT(SUMSQ($N$1283:$N$1538)/256)+SQRT(SUMSQ($AW$1283:$AW$1538)/256)</f>
        <v>0</v>
      </c>
      <c r="E2">
        <f>D2*SQRT(3)</f>
        <v>0</v>
      </c>
      <c r="M2" t="s">
        <v>11</v>
      </c>
      <c r="N2" t="s">
        <v>16</v>
      </c>
      <c r="O2" t="s">
        <v>17</v>
      </c>
      <c r="P2" t="s">
        <v>11</v>
      </c>
      <c r="Q2" t="s">
        <v>16</v>
      </c>
      <c r="R2" t="s">
        <v>17</v>
      </c>
    </row>
    <row r="3" spans="1:59">
      <c r="A3">
        <v>30</v>
      </c>
      <c r="B3" s="3">
        <f>SQRT(SUMSQ($O$1283:$O$1538)/256)+SQRT(SUMSQ($AX$1283:$AX$1538)/256)</f>
        <v>0</v>
      </c>
      <c r="D3">
        <f>SQRT(SUMSQ($P$1283:$P$1538)/256)+SQRT(SUMSQ($AY$1283:$AY$1538)/256)</f>
        <v>0</v>
      </c>
      <c r="E3">
        <f>D3*SQRT(3)</f>
        <v>0</v>
      </c>
      <c r="L3" t="s">
        <v>12</v>
      </c>
      <c r="M3" s="3"/>
      <c r="N3" s="3"/>
      <c r="O3" s="3"/>
      <c r="P3" s="3"/>
      <c r="S3" s="3"/>
      <c r="T3" s="3"/>
      <c r="AN3" s="1"/>
      <c r="BG3" s="1"/>
    </row>
    <row r="4" spans="1:59">
      <c r="A4">
        <v>45</v>
      </c>
      <c r="B4">
        <f>SQRT(SUMSQ($Q$1283:$Q$1538)/256)+SQRT(SUMSQ($AZ$1283:$AZ$1538)/256)</f>
        <v>0</v>
      </c>
      <c r="D4">
        <f>SQRT(SUMSQ($R$1283:$R$1538)/256)+SQRT(SUMSQ($BA$1283:$BA$1538)/256)</f>
        <v>0</v>
      </c>
      <c r="E4">
        <f t="shared" ref="E4:E17" si="0">D4*SQRT(3)</f>
        <v>0</v>
      </c>
      <c r="L4">
        <v>1</v>
      </c>
      <c r="M4" s="1"/>
      <c r="N4" s="1"/>
      <c r="O4" s="1"/>
      <c r="P4" s="1"/>
      <c r="S4" s="2"/>
      <c r="T4" s="2"/>
      <c r="AA4" s="1"/>
      <c r="AB4" s="1"/>
      <c r="AF4" s="2"/>
      <c r="AG4" s="1"/>
      <c r="AH4" s="1"/>
      <c r="AK4" s="1"/>
      <c r="AL4" s="1"/>
      <c r="AM4" s="2"/>
      <c r="AN4" s="2"/>
      <c r="AQ4" s="1"/>
      <c r="AS4" s="2"/>
      <c r="AT4" s="2"/>
      <c r="BG4" s="1"/>
    </row>
    <row r="5" spans="1:59">
      <c r="A5">
        <v>50</v>
      </c>
      <c r="B5">
        <f>SQRT(SUMSQ($S$1283:$S$1538)/256)+SQRT(SUMSQ($BB$1283:$BB$1538)/256)</f>
        <v>0</v>
      </c>
      <c r="D5">
        <f>SQRT(SUMSQ($T$1283:$T$1538)/256)+SQRT(SUMSQ($BC$1283:$BC$1538)/256)</f>
        <v>0</v>
      </c>
      <c r="E5">
        <f t="shared" si="0"/>
        <v>0</v>
      </c>
      <c r="L5">
        <v>2</v>
      </c>
      <c r="M5" s="1"/>
      <c r="N5" s="1"/>
      <c r="O5" s="1"/>
      <c r="P5" s="1"/>
      <c r="S5" s="2"/>
      <c r="T5" s="2"/>
      <c r="AA5" s="1"/>
      <c r="AB5" s="1"/>
      <c r="AE5" s="2"/>
      <c r="AF5" s="2"/>
      <c r="AG5" s="1"/>
      <c r="AH5" s="1"/>
      <c r="AK5" s="1"/>
      <c r="AL5" s="1"/>
      <c r="AM5" s="2"/>
      <c r="AN5" s="2"/>
      <c r="AQ5" s="1"/>
      <c r="AS5" s="2"/>
      <c r="AT5" s="2"/>
      <c r="BG5" s="1"/>
    </row>
    <row r="6" spans="1:59">
      <c r="A6">
        <v>55</v>
      </c>
      <c r="B6">
        <f>SQRT(SUMSQ($U$1283:$U$1538)/256)+SQRT(SUMSQ($BD$1283:$BD$1538)/256)</f>
        <v>0</v>
      </c>
      <c r="D6">
        <f>SQRT(SUMSQ($V$1283:$V$1538)/256)+SQRT(SUMSQ($BE$1283:$BE$1538)/256)</f>
        <v>0</v>
      </c>
      <c r="E6">
        <f t="shared" si="0"/>
        <v>0</v>
      </c>
      <c r="M6" s="1"/>
      <c r="N6" s="1"/>
      <c r="O6" s="1"/>
      <c r="P6" s="1"/>
      <c r="S6" s="2"/>
      <c r="T6" s="2"/>
      <c r="AA6" s="1"/>
      <c r="AB6" s="1"/>
      <c r="AE6" s="2"/>
      <c r="AF6" s="2"/>
      <c r="AG6" s="1"/>
      <c r="AH6" s="1"/>
      <c r="AK6" s="1"/>
      <c r="AL6" s="1"/>
      <c r="AM6" s="2"/>
      <c r="AN6" s="2"/>
      <c r="AQ6" s="1"/>
      <c r="AS6" s="2"/>
      <c r="AT6" s="2"/>
      <c r="BG6" s="1"/>
    </row>
    <row r="7" spans="1:59">
      <c r="A7">
        <v>60</v>
      </c>
      <c r="B7">
        <f>SQRT(SUMSQ($W$1283:$W$1538)/256)+SQRT(SUMSQ($BF$1283:$BF$1538)/256)</f>
        <v>0</v>
      </c>
      <c r="D7">
        <f>SQRT(SUMSQ($X$1283:$X$1538)/256)+SQRT(SUMSQ($BG$1283:$BG$1538)/256)</f>
        <v>0</v>
      </c>
      <c r="E7">
        <f t="shared" si="0"/>
        <v>0</v>
      </c>
      <c r="M7" s="1"/>
      <c r="N7" s="1"/>
      <c r="O7" s="1"/>
      <c r="P7" s="1"/>
      <c r="S7" s="2"/>
      <c r="T7" s="2"/>
      <c r="AA7" s="1"/>
      <c r="AB7" s="1"/>
      <c r="AE7" s="2"/>
      <c r="AF7" s="2"/>
      <c r="AG7" s="1"/>
      <c r="AH7" s="1"/>
      <c r="AK7" s="1"/>
      <c r="AL7" s="1"/>
      <c r="AM7" s="2"/>
      <c r="AN7" s="2"/>
      <c r="AQ7" s="1"/>
      <c r="AS7" s="2"/>
      <c r="AT7" s="2"/>
      <c r="BG7" s="1"/>
    </row>
    <row r="8" spans="1:59" ht="19.5" thickBot="1">
      <c r="A8">
        <v>65</v>
      </c>
      <c r="B8">
        <f>SQRT(SUMSQ($Y$1283:$Y$1538)/256)+SQRT(SUMSQ($BH$1283:$BH$1538)/256)</f>
        <v>0</v>
      </c>
      <c r="D8">
        <f>SQRT(SUMSQ($Z$1283:$Z$1538)/256)+SQRT(SUMSQ($BI$1283:$BI$1538)/256)</f>
        <v>0</v>
      </c>
      <c r="E8">
        <f>D8*SQRT(3)</f>
        <v>0</v>
      </c>
      <c r="M8" s="1"/>
      <c r="N8" s="1"/>
      <c r="O8" s="1"/>
      <c r="P8" s="1"/>
      <c r="S8" s="2"/>
      <c r="T8" s="2"/>
      <c r="AA8" s="1"/>
      <c r="AB8" s="1"/>
      <c r="AE8" s="2"/>
      <c r="AF8" s="2"/>
      <c r="AG8" s="1"/>
      <c r="AH8" s="1"/>
      <c r="AK8" s="1"/>
      <c r="AL8" s="1"/>
      <c r="AM8" s="2"/>
      <c r="AN8" s="2"/>
      <c r="AQ8" s="1"/>
      <c r="AS8" s="2"/>
      <c r="AT8" s="2"/>
      <c r="BG8" s="1"/>
    </row>
    <row r="9" spans="1:59" ht="19.5" thickBot="1">
      <c r="A9">
        <v>67.5</v>
      </c>
      <c r="B9" s="3">
        <f>SQRT(SUMSQ($AA$1283:$AA$1538)/256)+SQRT(SUMSQ($BJ$1283:$BJ$1538)/256)</f>
        <v>0</v>
      </c>
      <c r="D9">
        <f>SQRT(SUMSQ($AB$1283:$AB$1538)/256)+SQRT(SUMSQ($BK$1283:$BK$1538)/256)</f>
        <v>0</v>
      </c>
      <c r="E9">
        <f t="shared" si="0"/>
        <v>0</v>
      </c>
      <c r="G9" s="4" t="s">
        <v>14</v>
      </c>
      <c r="H9" s="5"/>
      <c r="I9" s="5"/>
      <c r="J9" s="6"/>
      <c r="M9" s="1"/>
      <c r="N9" s="1"/>
      <c r="O9" s="1"/>
      <c r="P9" s="1"/>
      <c r="S9" s="2"/>
      <c r="T9" s="2"/>
      <c r="AA9" s="1"/>
      <c r="AB9" s="1"/>
      <c r="AE9" s="2"/>
      <c r="AF9" s="2"/>
      <c r="AG9" s="1"/>
      <c r="AH9" s="1"/>
      <c r="AK9" s="1"/>
      <c r="AL9" s="1"/>
      <c r="AM9" s="2"/>
      <c r="AN9" s="2"/>
      <c r="AQ9" s="1"/>
      <c r="AS9" s="2"/>
      <c r="AT9" s="2"/>
      <c r="BG9" s="1"/>
    </row>
    <row r="10" spans="1:59">
      <c r="A10">
        <v>100</v>
      </c>
      <c r="B10">
        <f>SQRT(SUMSQ($AC$1283:$AC$1538)/256)</f>
        <v>0</v>
      </c>
      <c r="D10">
        <f>SQRT(SUMSQ($AD$1283:$AD$1538)/256)+SQRT(SUMSQ($BM$1283:$BM$1538)/256)</f>
        <v>0</v>
      </c>
      <c r="E10">
        <f t="shared" si="0"/>
        <v>0</v>
      </c>
      <c r="M10" s="1"/>
      <c r="N10" s="1"/>
      <c r="O10" s="1"/>
      <c r="P10" s="1"/>
      <c r="S10" s="2"/>
      <c r="T10" s="2"/>
      <c r="AA10" s="1"/>
      <c r="AB10" s="1"/>
      <c r="AE10" s="2"/>
      <c r="AF10" s="2"/>
      <c r="AG10" s="1"/>
      <c r="AH10" s="1"/>
      <c r="AK10" s="1"/>
      <c r="AL10" s="1"/>
      <c r="AM10" s="2"/>
      <c r="AN10" s="2"/>
      <c r="AQ10" s="1"/>
      <c r="AS10" s="2"/>
      <c r="AT10" s="2"/>
      <c r="BG10" s="1"/>
    </row>
    <row r="11" spans="1:59">
      <c r="A11">
        <v>120</v>
      </c>
      <c r="B11">
        <f>SQRT(SUMSQ($AE$1283:$AE$1538)/256)</f>
        <v>0</v>
      </c>
      <c r="D11">
        <f>SQRT(SUMSQ($AF1283:$AF$1538)/256)+SQRT(SUMSQ($BO$1283:$BO$1538)/256)</f>
        <v>0</v>
      </c>
      <c r="E11">
        <f t="shared" si="0"/>
        <v>0</v>
      </c>
      <c r="M11" s="1"/>
      <c r="N11" s="1"/>
      <c r="O11" s="1"/>
      <c r="P11" s="1"/>
      <c r="S11" s="2"/>
      <c r="T11" s="2"/>
      <c r="AA11" s="1"/>
      <c r="AB11" s="1"/>
      <c r="AE11" s="2"/>
      <c r="AF11" s="2"/>
      <c r="AG11" s="1"/>
      <c r="AH11" s="1"/>
      <c r="AK11" s="1"/>
      <c r="AL11" s="1"/>
      <c r="AM11" s="2"/>
      <c r="AN11" s="2"/>
      <c r="AQ11" s="1"/>
      <c r="AS11" s="2"/>
      <c r="AT11" s="2"/>
      <c r="BG11" s="1"/>
    </row>
    <row r="12" spans="1:59">
      <c r="A12">
        <v>140</v>
      </c>
      <c r="B12" s="3">
        <f>SQRT(SUMSQ($AG$1283:$AG$1538)/256)</f>
        <v>0</v>
      </c>
      <c r="D12">
        <f>SQRT(SUMSQ($AH$1283:$AH$1538)/256)+SQRT(SUMSQ($BQ$1283:$BQ$1538)/256)</f>
        <v>0</v>
      </c>
      <c r="E12">
        <f t="shared" si="0"/>
        <v>0</v>
      </c>
      <c r="M12" s="1"/>
      <c r="N12" s="1"/>
      <c r="O12" s="1"/>
      <c r="P12" s="1"/>
      <c r="S12" s="2"/>
      <c r="T12" s="2"/>
      <c r="AA12" s="1"/>
      <c r="AB12" s="1"/>
      <c r="AE12" s="2"/>
      <c r="AF12" s="2"/>
      <c r="AG12" s="1"/>
      <c r="AH12" s="1"/>
      <c r="AK12" s="1"/>
      <c r="AL12" s="1"/>
      <c r="AM12" s="2"/>
      <c r="AN12" s="2"/>
      <c r="AQ12" s="1"/>
      <c r="AS12" s="2"/>
      <c r="AT12" s="2"/>
      <c r="BG12" s="1"/>
    </row>
    <row r="13" spans="1:59">
      <c r="A13">
        <v>160</v>
      </c>
      <c r="B13">
        <f>SQRT(SUMSQ($AI$1283:$AI$1538)/256)+SQRT(SUMSQ($BR$1283:$BR$1538)/256)</f>
        <v>0</v>
      </c>
      <c r="D13">
        <f>SQRT(SUMSQ($AJ$1283:$AJ$1538)/256)+SQRT(SUMSQ($BS$1283:$BS$1538)/256)</f>
        <v>0</v>
      </c>
      <c r="E13">
        <f t="shared" si="0"/>
        <v>0</v>
      </c>
      <c r="O13" s="1"/>
      <c r="P13" s="1"/>
      <c r="AA13" s="1"/>
      <c r="AB13" s="1"/>
      <c r="AG13" s="1"/>
      <c r="AH13" s="1"/>
      <c r="AK13" s="1"/>
      <c r="AL13" s="1"/>
      <c r="AM13" s="2"/>
      <c r="AN13" s="2"/>
      <c r="AQ13" s="1"/>
      <c r="BG13" s="1"/>
    </row>
    <row r="14" spans="1:59">
      <c r="A14">
        <v>180</v>
      </c>
      <c r="B14" s="3">
        <f>SQRT(SUMSQ($AK$1283:$AK$1538)/256)+SQRT(SUMSQ($BT$1283:$BT$1538)/256)</f>
        <v>0</v>
      </c>
      <c r="D14">
        <f>SQRT(SUMSQ($AL$1283:$AL$1538)/256)+SQRT(SUMSQ($BU$1283:$BU$1538)/256)</f>
        <v>0</v>
      </c>
      <c r="E14">
        <f t="shared" si="0"/>
        <v>0</v>
      </c>
      <c r="O14" s="1"/>
      <c r="P14" s="1"/>
      <c r="AA14" s="1"/>
      <c r="AB14" s="1"/>
      <c r="AG14" s="1"/>
      <c r="AH14" s="1"/>
      <c r="AK14" s="1"/>
      <c r="AL14" s="1"/>
      <c r="AM14" s="2"/>
      <c r="AN14" s="2"/>
      <c r="AQ14" s="1"/>
      <c r="BG14" s="1"/>
    </row>
    <row r="15" spans="1:59">
      <c r="A15">
        <v>200</v>
      </c>
      <c r="B15">
        <f>SQRT(SUMSQ($AM$1283:$AM$1538)/256)+SQRT(SUMSQ($BV$1283:$BV$1538)/256)</f>
        <v>0</v>
      </c>
      <c r="D15">
        <f>SQRT(SUMSQ($AN$1283:$AN$1538)/256)+SQRT(SUMSQ($BW$1283:$BW$1538)/256)</f>
        <v>0</v>
      </c>
      <c r="E15">
        <f t="shared" si="0"/>
        <v>0</v>
      </c>
      <c r="O15" s="1"/>
      <c r="P15" s="1"/>
      <c r="AA15" s="1"/>
      <c r="AB15" s="1"/>
      <c r="AG15" s="1"/>
      <c r="AH15" s="1"/>
      <c r="AK15" s="1"/>
      <c r="AL15" s="1"/>
      <c r="AM15" s="2"/>
      <c r="AN15" s="2"/>
      <c r="AQ15" s="1"/>
      <c r="BG15" s="1"/>
    </row>
    <row r="16" spans="1:59">
      <c r="A16">
        <v>220</v>
      </c>
      <c r="B16">
        <f>SQRT(SUMSQ($AO$1283:$AO$1538)/256)+SQRT(SUMSQ($BX$1283:$BX$1538)/256)</f>
        <v>0</v>
      </c>
      <c r="D16">
        <f>SQRT(SUMSQ($AP$1283:$AP$1538)/256)+SQRT(SUMSQ($BY$1283:$BY$1538)/256)</f>
        <v>0</v>
      </c>
      <c r="E16">
        <f t="shared" si="0"/>
        <v>0</v>
      </c>
      <c r="O16" s="1"/>
      <c r="P16" s="1"/>
      <c r="AA16" s="1"/>
      <c r="AB16" s="1"/>
      <c r="AG16" s="1"/>
      <c r="AH16" s="1"/>
      <c r="AK16" s="1"/>
      <c r="AL16" s="1"/>
      <c r="AM16" s="2"/>
      <c r="AN16" s="2"/>
      <c r="AQ16" s="1"/>
      <c r="BG16" s="1"/>
    </row>
    <row r="17" spans="1:59">
      <c r="A17">
        <v>230</v>
      </c>
      <c r="B17">
        <f>SQRT(SUMSQ($AQ$1283:$AQ$1538)/256)</f>
        <v>0</v>
      </c>
      <c r="D17">
        <f>SQRT(SUMSQ($AR$1283:$AR$1538)/256)+SQRT(SUMSQ($CA$1283:$CA$1538)/256)</f>
        <v>0</v>
      </c>
      <c r="E17">
        <f t="shared" si="0"/>
        <v>0</v>
      </c>
      <c r="O17" s="1"/>
      <c r="P17" s="1"/>
      <c r="AA17" s="1"/>
      <c r="AB17" s="1"/>
      <c r="AG17" s="1"/>
      <c r="AH17" s="1"/>
      <c r="AK17" s="1"/>
      <c r="AL17" s="1"/>
      <c r="AM17" s="2"/>
      <c r="AN17" s="2"/>
      <c r="AQ17" s="1"/>
      <c r="BG17" s="1"/>
    </row>
    <row r="18" spans="1:59">
      <c r="O18" s="1"/>
      <c r="P18" s="1"/>
      <c r="AA18" s="1"/>
      <c r="AB18" s="1"/>
      <c r="AG18" s="1"/>
      <c r="AH18" s="1"/>
      <c r="AK18" s="1"/>
      <c r="AL18" s="1"/>
      <c r="AM18" s="2"/>
      <c r="AN18" s="2"/>
      <c r="AQ18" s="1"/>
      <c r="BG18" s="1"/>
    </row>
    <row r="19" spans="1:59">
      <c r="O19" s="1"/>
      <c r="P19" s="1"/>
      <c r="AA19" s="1"/>
      <c r="AB19" s="1"/>
      <c r="AG19" s="1"/>
      <c r="AH19" s="1"/>
      <c r="AK19" s="1"/>
      <c r="AL19" s="1"/>
      <c r="AM19" s="2"/>
      <c r="AN19" s="2"/>
      <c r="AQ19" s="1"/>
      <c r="BG19" s="1"/>
    </row>
    <row r="20" spans="1:59">
      <c r="O20" s="1"/>
      <c r="P20" s="1"/>
      <c r="AA20" s="1"/>
      <c r="AB20" s="1"/>
      <c r="AG20" s="1"/>
      <c r="AH20" s="1"/>
      <c r="AK20" s="1"/>
      <c r="AL20" s="1"/>
      <c r="AM20" s="2"/>
      <c r="AN20" s="2"/>
      <c r="AQ20" s="1"/>
      <c r="BG20" s="1"/>
    </row>
    <row r="21" spans="1:59">
      <c r="O21" s="1"/>
      <c r="P21" s="1"/>
      <c r="AA21" s="1"/>
      <c r="AB21" s="1"/>
      <c r="AG21" s="1"/>
      <c r="AH21" s="1"/>
      <c r="AK21" s="1"/>
      <c r="AL21" s="1"/>
      <c r="AM21" s="2"/>
      <c r="AN21" s="2"/>
      <c r="AQ21" s="1"/>
      <c r="BG21" s="1"/>
    </row>
    <row r="22" spans="1:59">
      <c r="O22" s="1"/>
      <c r="P22" s="1"/>
      <c r="AA22" s="1"/>
      <c r="AB22" s="1"/>
      <c r="AG22" s="1"/>
      <c r="AH22" s="1"/>
      <c r="AK22" s="1"/>
      <c r="AL22" s="1"/>
      <c r="AM22" s="2"/>
      <c r="AN22" s="2"/>
      <c r="AQ22" s="1"/>
      <c r="BG22" s="1"/>
    </row>
    <row r="23" spans="1:59">
      <c r="O23" s="1"/>
      <c r="P23" s="1"/>
      <c r="AA23" s="1"/>
      <c r="AB23" s="1"/>
      <c r="AG23" s="1"/>
      <c r="AH23" s="1"/>
      <c r="AK23" s="1"/>
      <c r="AL23" s="1"/>
      <c r="AM23" s="2"/>
      <c r="AN23" s="2"/>
      <c r="AQ23" s="1"/>
      <c r="BG23" s="1"/>
    </row>
    <row r="24" spans="1:59">
      <c r="B24" s="3"/>
      <c r="D24" s="3"/>
      <c r="O24" s="1"/>
      <c r="P24" s="1"/>
      <c r="AA24" s="1"/>
      <c r="AB24" s="1"/>
      <c r="AG24" s="1"/>
      <c r="AH24" s="1"/>
      <c r="AK24" s="1"/>
      <c r="AL24" s="1"/>
      <c r="AM24" s="2"/>
      <c r="AN24" s="2"/>
      <c r="AQ24" s="1"/>
      <c r="BG24" s="1"/>
    </row>
    <row r="25" spans="1:59">
      <c r="O25" s="1"/>
      <c r="P25" s="1"/>
      <c r="AA25" s="1"/>
      <c r="AB25" s="1"/>
      <c r="AG25" s="1"/>
      <c r="AH25" s="1"/>
      <c r="AK25" s="1"/>
      <c r="AL25" s="1"/>
      <c r="AM25" s="2"/>
      <c r="AN25" s="2"/>
      <c r="AQ25" s="1"/>
      <c r="BG25" s="1"/>
    </row>
    <row r="26" spans="1:59">
      <c r="O26" s="1"/>
      <c r="P26" s="1"/>
      <c r="AA26" s="1"/>
      <c r="AB26" s="1"/>
      <c r="AG26" s="1"/>
      <c r="AH26" s="1"/>
      <c r="AK26" s="1"/>
      <c r="AL26" s="1"/>
      <c r="AM26" s="2"/>
      <c r="AN26" s="2"/>
      <c r="AQ26" s="1"/>
      <c r="BG26" s="1"/>
    </row>
    <row r="27" spans="1:59">
      <c r="O27" s="1"/>
      <c r="P27" s="1"/>
      <c r="AA27" s="1"/>
      <c r="AB27" s="1"/>
      <c r="AG27" s="1"/>
      <c r="AH27" s="1"/>
      <c r="AK27" s="1"/>
      <c r="AL27" s="1"/>
      <c r="AM27" s="2"/>
      <c r="AN27" s="2"/>
      <c r="AQ27" s="1"/>
      <c r="BG27" s="1"/>
    </row>
    <row r="28" spans="1:59">
      <c r="O28" s="1"/>
      <c r="P28" s="1"/>
      <c r="AA28" s="1"/>
      <c r="AB28" s="1"/>
      <c r="AG28" s="1"/>
      <c r="AH28" s="1"/>
      <c r="AK28" s="1"/>
      <c r="AL28" s="1"/>
      <c r="AM28" s="2"/>
      <c r="AN28" s="2"/>
      <c r="AQ28" s="1"/>
      <c r="BG28" s="1"/>
    </row>
    <row r="29" spans="1:59">
      <c r="O29" s="1"/>
      <c r="P29" s="1"/>
      <c r="AA29" s="1"/>
      <c r="AB29" s="1"/>
      <c r="AG29" s="1"/>
      <c r="AH29" s="1"/>
      <c r="AK29" s="1"/>
      <c r="AL29" s="1"/>
      <c r="AM29" s="2"/>
      <c r="AN29" s="2"/>
      <c r="AQ29" s="1"/>
      <c r="BG29" s="1"/>
    </row>
    <row r="30" spans="1:59">
      <c r="B30" s="3"/>
      <c r="D30" s="3"/>
      <c r="O30" s="1"/>
      <c r="P30" s="1"/>
      <c r="AA30" s="1"/>
      <c r="AB30" s="1"/>
      <c r="AG30" s="1"/>
      <c r="AH30" s="1"/>
      <c r="AK30" s="1"/>
      <c r="AL30" s="1"/>
      <c r="AM30" s="2"/>
      <c r="AN30" s="2"/>
      <c r="AQ30" s="1"/>
      <c r="BG30" s="1"/>
    </row>
    <row r="31" spans="1:59">
      <c r="O31" s="1"/>
      <c r="P31" s="1"/>
      <c r="AA31" s="1"/>
      <c r="AB31" s="1"/>
      <c r="AG31" s="1"/>
      <c r="AH31" s="1"/>
      <c r="AK31" s="1"/>
      <c r="AL31" s="1"/>
      <c r="AM31" s="2"/>
      <c r="AN31" s="2"/>
      <c r="AQ31" s="1"/>
      <c r="BG31" s="1"/>
    </row>
    <row r="32" spans="1:59">
      <c r="O32" s="1"/>
      <c r="P32" s="1"/>
      <c r="AA32" s="1"/>
      <c r="AB32" s="1"/>
      <c r="AG32" s="1"/>
      <c r="AH32" s="1"/>
      <c r="AK32" s="1"/>
      <c r="AL32" s="1"/>
      <c r="AM32" s="2"/>
      <c r="AN32" s="2"/>
      <c r="AQ32" s="1"/>
      <c r="BG32" s="1"/>
    </row>
    <row r="33" spans="2:59">
      <c r="B33" s="3"/>
      <c r="D33" s="3"/>
      <c r="O33" s="1"/>
      <c r="P33" s="1"/>
      <c r="AA33" s="1"/>
      <c r="AB33" s="1"/>
      <c r="AG33" s="1"/>
      <c r="AH33" s="1"/>
      <c r="AK33" s="1"/>
      <c r="AL33" s="1"/>
      <c r="AM33" s="2"/>
      <c r="AN33" s="2"/>
      <c r="AQ33" s="1"/>
      <c r="BG33" s="1"/>
    </row>
    <row r="34" spans="2:59">
      <c r="O34" s="1"/>
      <c r="P34" s="1"/>
      <c r="AA34" s="1"/>
      <c r="AB34" s="1"/>
      <c r="AG34" s="1"/>
      <c r="AH34" s="1"/>
      <c r="AK34" s="1"/>
      <c r="AL34" s="1"/>
      <c r="AM34" s="2"/>
      <c r="AN34" s="2"/>
      <c r="AQ34" s="1"/>
      <c r="BG34" s="1"/>
    </row>
    <row r="35" spans="2:59">
      <c r="B35" s="3"/>
      <c r="D35" s="3"/>
      <c r="O35" s="1"/>
      <c r="P35" s="1"/>
      <c r="AA35" s="1"/>
      <c r="AB35" s="1"/>
      <c r="AG35" s="1"/>
      <c r="AH35" s="1"/>
      <c r="AK35" s="1"/>
      <c r="AL35" s="1"/>
      <c r="AM35" s="2"/>
      <c r="AN35" s="2"/>
      <c r="AQ35" s="1"/>
      <c r="BG35" s="1"/>
    </row>
    <row r="36" spans="2:59">
      <c r="O36" s="1"/>
      <c r="P36" s="1"/>
      <c r="AA36" s="1"/>
      <c r="AB36" s="1"/>
      <c r="AG36" s="1"/>
      <c r="AH36" s="1"/>
      <c r="AK36" s="1"/>
      <c r="AL36" s="1"/>
      <c r="AM36" s="2"/>
      <c r="AN36" s="2"/>
      <c r="AQ36" s="1"/>
      <c r="BG36" s="1"/>
    </row>
    <row r="37" spans="2:59">
      <c r="O37" s="1"/>
      <c r="P37" s="1"/>
      <c r="AA37" s="1"/>
      <c r="AB37" s="1"/>
      <c r="AG37" s="1"/>
      <c r="AH37" s="1"/>
      <c r="AK37" s="1"/>
      <c r="AL37" s="1"/>
      <c r="AM37" s="2"/>
      <c r="AN37" s="2"/>
      <c r="AQ37" s="1"/>
      <c r="BG37" s="1"/>
    </row>
    <row r="38" spans="2:59">
      <c r="O38" s="1"/>
      <c r="P38" s="1"/>
      <c r="AA38" s="1"/>
      <c r="AB38" s="1"/>
      <c r="AG38" s="1"/>
      <c r="AH38" s="1"/>
      <c r="AK38" s="1"/>
      <c r="AL38" s="1"/>
      <c r="AM38" s="2"/>
      <c r="AN38" s="2"/>
      <c r="AQ38" s="1"/>
      <c r="BG38" s="1"/>
    </row>
    <row r="39" spans="2:59">
      <c r="O39" s="1"/>
      <c r="P39" s="1"/>
      <c r="AA39" s="1"/>
      <c r="AB39" s="1"/>
      <c r="AG39" s="1"/>
      <c r="AH39" s="1"/>
      <c r="AK39" s="1"/>
      <c r="AL39" s="1"/>
      <c r="AM39" s="2"/>
      <c r="AN39" s="2"/>
      <c r="AQ39" s="1"/>
      <c r="BG39" s="1"/>
    </row>
    <row r="40" spans="2:59">
      <c r="O40" s="1"/>
      <c r="P40" s="1"/>
      <c r="AA40" s="1"/>
      <c r="AB40" s="1"/>
      <c r="AG40" s="1"/>
      <c r="AH40" s="1"/>
      <c r="AK40" s="1"/>
      <c r="AL40" s="1"/>
      <c r="AM40" s="2"/>
      <c r="AN40" s="2"/>
      <c r="AQ40" s="1"/>
      <c r="BG40" s="1"/>
    </row>
    <row r="41" spans="2:59">
      <c r="O41" s="1"/>
      <c r="P41" s="1"/>
      <c r="AA41" s="1"/>
      <c r="AB41" s="1"/>
      <c r="AG41" s="1"/>
      <c r="AH41" s="1"/>
      <c r="AK41" s="1"/>
      <c r="AL41" s="1"/>
      <c r="AM41" s="2"/>
      <c r="AN41" s="2"/>
      <c r="AQ41" s="1"/>
      <c r="BG41" s="1"/>
    </row>
    <row r="42" spans="2:59">
      <c r="O42" s="1"/>
      <c r="P42" s="1"/>
      <c r="AA42" s="1"/>
      <c r="AB42" s="1"/>
      <c r="AG42" s="1"/>
      <c r="AH42" s="1"/>
      <c r="AK42" s="1"/>
      <c r="AL42" s="1"/>
      <c r="AM42" s="2"/>
      <c r="AN42" s="2"/>
      <c r="AQ42" s="1"/>
      <c r="BG42" s="1"/>
    </row>
    <row r="43" spans="2:59">
      <c r="O43" s="1"/>
      <c r="P43" s="1"/>
      <c r="AA43" s="1"/>
      <c r="AB43" s="1"/>
      <c r="AG43" s="1"/>
      <c r="AH43" s="1"/>
      <c r="AK43" s="1"/>
      <c r="AL43" s="1"/>
      <c r="AM43" s="2"/>
      <c r="AN43" s="2"/>
      <c r="AQ43" s="1"/>
      <c r="BG43" s="1"/>
    </row>
    <row r="44" spans="2:59">
      <c r="O44" s="1"/>
      <c r="P44" s="1"/>
      <c r="AA44" s="1"/>
      <c r="AB44" s="1"/>
      <c r="AG44" s="1"/>
      <c r="AH44" s="1"/>
      <c r="AK44" s="1"/>
      <c r="AL44" s="1"/>
      <c r="AM44" s="2"/>
      <c r="AN44" s="2"/>
      <c r="AQ44" s="1"/>
      <c r="BG44" s="1"/>
    </row>
    <row r="45" spans="2:59">
      <c r="O45" s="1"/>
      <c r="P45" s="1"/>
      <c r="AA45" s="1"/>
      <c r="AB45" s="1"/>
      <c r="AG45" s="1"/>
      <c r="AH45" s="1"/>
      <c r="AK45" s="1"/>
      <c r="AL45" s="1"/>
      <c r="AM45" s="2"/>
      <c r="AN45" s="2"/>
      <c r="AQ45" s="1"/>
      <c r="BG45" s="1"/>
    </row>
    <row r="46" spans="2:59">
      <c r="O46" s="1"/>
      <c r="P46" s="1"/>
      <c r="AA46" s="1"/>
      <c r="AB46" s="1"/>
      <c r="AG46" s="1"/>
      <c r="AH46" s="1"/>
      <c r="AK46" s="1"/>
      <c r="AL46" s="1"/>
      <c r="AM46" s="2"/>
      <c r="AN46" s="2"/>
      <c r="AQ46" s="1"/>
      <c r="BG46" s="1"/>
    </row>
    <row r="47" spans="2:59">
      <c r="O47" s="1"/>
      <c r="P47" s="1"/>
      <c r="AA47" s="1"/>
      <c r="AB47" s="1"/>
      <c r="AG47" s="1"/>
      <c r="AH47" s="1"/>
      <c r="AK47" s="1"/>
      <c r="AL47" s="1"/>
      <c r="AM47" s="2"/>
      <c r="AN47" s="2"/>
      <c r="AQ47" s="1"/>
      <c r="BG47" s="1"/>
    </row>
    <row r="48" spans="2:59">
      <c r="O48" s="1"/>
      <c r="P48" s="1"/>
      <c r="AA48" s="1"/>
      <c r="AB48" s="1"/>
      <c r="AG48" s="1"/>
      <c r="AH48" s="1"/>
      <c r="AK48" s="1"/>
      <c r="AL48" s="1"/>
      <c r="AM48" s="2"/>
      <c r="AN48" s="2"/>
      <c r="AQ48" s="1"/>
      <c r="BG48" s="1"/>
    </row>
    <row r="49" spans="15:59">
      <c r="O49" s="1"/>
      <c r="P49" s="1"/>
      <c r="AA49" s="1"/>
      <c r="AB49" s="1"/>
      <c r="AG49" s="1"/>
      <c r="AH49" s="1"/>
      <c r="AK49" s="1"/>
      <c r="AL49" s="1"/>
      <c r="AM49" s="2"/>
      <c r="AN49" s="2"/>
      <c r="AQ49" s="1"/>
      <c r="BG49" s="1"/>
    </row>
    <row r="50" spans="15:59">
      <c r="O50" s="1"/>
      <c r="P50" s="1"/>
      <c r="AA50" s="1"/>
      <c r="AB50" s="1"/>
      <c r="AG50" s="1"/>
      <c r="AH50" s="1"/>
      <c r="AK50" s="1"/>
      <c r="AL50" s="1"/>
      <c r="AM50" s="2"/>
      <c r="AN50" s="2"/>
      <c r="AQ50" s="1"/>
      <c r="BG50" s="1"/>
    </row>
    <row r="51" spans="15:59">
      <c r="O51" s="1"/>
      <c r="P51" s="1"/>
      <c r="AA51" s="1"/>
      <c r="AB51" s="1"/>
      <c r="AG51" s="1"/>
      <c r="AH51" s="1"/>
      <c r="AK51" s="1"/>
      <c r="AL51" s="1"/>
      <c r="AM51" s="2"/>
      <c r="AN51" s="2"/>
      <c r="AQ51" s="1"/>
      <c r="BG51" s="1"/>
    </row>
    <row r="52" spans="15:59">
      <c r="O52" s="1"/>
      <c r="P52" s="1"/>
      <c r="AA52" s="1"/>
      <c r="AB52" s="1"/>
      <c r="AG52" s="1"/>
      <c r="AH52" s="1"/>
      <c r="AK52" s="1"/>
      <c r="AL52" s="1"/>
      <c r="AM52" s="2"/>
      <c r="AN52" s="2"/>
      <c r="AQ52" s="1"/>
      <c r="BG52" s="1"/>
    </row>
    <row r="53" spans="15:59">
      <c r="O53" s="1"/>
      <c r="P53" s="1"/>
      <c r="AA53" s="1"/>
      <c r="AB53" s="1"/>
      <c r="AG53" s="1"/>
      <c r="AH53" s="1"/>
      <c r="AK53" s="1"/>
      <c r="AL53" s="1"/>
      <c r="AM53" s="2"/>
      <c r="AN53" s="2"/>
      <c r="AQ53" s="1"/>
      <c r="BG53" s="1"/>
    </row>
    <row r="54" spans="15:59">
      <c r="O54" s="1"/>
      <c r="P54" s="1"/>
      <c r="AA54" s="1"/>
      <c r="AB54" s="1"/>
      <c r="AG54" s="1"/>
      <c r="AH54" s="1"/>
      <c r="AK54" s="1"/>
      <c r="AL54" s="1"/>
      <c r="AM54" s="2"/>
      <c r="AN54" s="2"/>
      <c r="AQ54" s="1"/>
      <c r="BG54" s="1"/>
    </row>
    <row r="55" spans="15:59">
      <c r="O55" s="1"/>
      <c r="P55" s="1"/>
      <c r="AA55" s="1"/>
      <c r="AB55" s="1"/>
      <c r="AG55" s="1"/>
      <c r="AH55" s="1"/>
      <c r="AK55" s="1"/>
      <c r="AL55" s="1"/>
      <c r="AM55" s="2"/>
      <c r="AN55" s="2"/>
      <c r="AQ55" s="1"/>
      <c r="BG55" s="1"/>
    </row>
    <row r="56" spans="15:59">
      <c r="O56" s="1"/>
      <c r="P56" s="1"/>
      <c r="AA56" s="1"/>
      <c r="AB56" s="1"/>
      <c r="AG56" s="1"/>
      <c r="AH56" s="1"/>
      <c r="AK56" s="1"/>
      <c r="AL56" s="1"/>
      <c r="AM56" s="2"/>
      <c r="AN56" s="2"/>
      <c r="AQ56" s="1"/>
      <c r="BG56" s="1"/>
    </row>
    <row r="57" spans="15:59">
      <c r="O57" s="1"/>
      <c r="P57" s="1"/>
      <c r="AA57" s="1"/>
      <c r="AB57" s="1"/>
      <c r="AG57" s="1"/>
      <c r="AH57" s="1"/>
      <c r="AK57" s="1"/>
      <c r="AL57" s="1"/>
      <c r="AM57" s="2"/>
      <c r="AN57" s="2"/>
      <c r="AQ57" s="1"/>
      <c r="BG57" s="1"/>
    </row>
    <row r="58" spans="15:59">
      <c r="O58" s="1"/>
      <c r="P58" s="1"/>
      <c r="AA58" s="1"/>
      <c r="AB58" s="1"/>
      <c r="AG58" s="1"/>
      <c r="AH58" s="1"/>
      <c r="AK58" s="1"/>
      <c r="AL58" s="1"/>
      <c r="AM58" s="2"/>
      <c r="AN58" s="2"/>
      <c r="AQ58" s="1"/>
      <c r="BG58" s="1"/>
    </row>
    <row r="59" spans="15:59">
      <c r="O59" s="1"/>
      <c r="P59" s="1"/>
      <c r="AA59" s="1"/>
      <c r="AB59" s="1"/>
      <c r="AG59" s="1"/>
      <c r="AH59" s="1"/>
      <c r="AK59" s="1"/>
      <c r="AL59" s="1"/>
      <c r="AM59" s="2"/>
      <c r="AN59" s="2"/>
      <c r="AQ59" s="1"/>
      <c r="BG59" s="1"/>
    </row>
    <row r="60" spans="15:59">
      <c r="O60" s="1"/>
      <c r="P60" s="1"/>
      <c r="AA60" s="1"/>
      <c r="AB60" s="1"/>
      <c r="AG60" s="1"/>
      <c r="AH60" s="1"/>
      <c r="AK60" s="1"/>
      <c r="AL60" s="1"/>
      <c r="AM60" s="2"/>
      <c r="AN60" s="2"/>
      <c r="AQ60" s="1"/>
      <c r="BG60" s="1"/>
    </row>
    <row r="61" spans="15:59">
      <c r="O61" s="1"/>
      <c r="P61" s="1"/>
      <c r="AA61" s="1"/>
      <c r="AB61" s="1"/>
      <c r="AG61" s="1"/>
      <c r="AH61" s="1"/>
      <c r="AK61" s="1"/>
      <c r="AL61" s="1"/>
      <c r="AM61" s="2"/>
      <c r="AN61" s="2"/>
      <c r="AQ61" s="1"/>
      <c r="BG61" s="1"/>
    </row>
    <row r="62" spans="15:59">
      <c r="O62" s="1"/>
      <c r="P62" s="1"/>
      <c r="AA62" s="1"/>
      <c r="AB62" s="1"/>
      <c r="AG62" s="1"/>
      <c r="AH62" s="1"/>
      <c r="AK62" s="1"/>
      <c r="AL62" s="1"/>
      <c r="AM62" s="2"/>
      <c r="AN62" s="2"/>
      <c r="AQ62" s="1"/>
      <c r="BG62" s="1"/>
    </row>
    <row r="63" spans="15:59">
      <c r="O63" s="1"/>
      <c r="P63" s="1"/>
      <c r="AA63" s="1"/>
      <c r="AB63" s="1"/>
      <c r="AG63" s="1"/>
      <c r="AH63" s="1"/>
      <c r="AK63" s="1"/>
      <c r="AL63" s="1"/>
      <c r="AM63" s="2"/>
      <c r="AN63" s="2"/>
      <c r="AQ63" s="1"/>
      <c r="BG63" s="1"/>
    </row>
    <row r="64" spans="15:59">
      <c r="O64" s="1"/>
      <c r="P64" s="1"/>
      <c r="AA64" s="1"/>
      <c r="AB64" s="1"/>
      <c r="AG64" s="1"/>
      <c r="AH64" s="1"/>
      <c r="AK64" s="1"/>
      <c r="AL64" s="1"/>
      <c r="AM64" s="2"/>
      <c r="AN64" s="2"/>
      <c r="AQ64" s="1"/>
      <c r="BG64" s="1"/>
    </row>
    <row r="65" spans="15:59">
      <c r="O65" s="1"/>
      <c r="P65" s="1"/>
      <c r="AA65" s="1"/>
      <c r="AB65" s="1"/>
      <c r="AG65" s="1"/>
      <c r="AH65" s="1"/>
      <c r="AK65" s="1"/>
      <c r="AL65" s="1"/>
      <c r="AM65" s="2"/>
      <c r="AN65" s="2"/>
      <c r="AQ65" s="1"/>
      <c r="BG65" s="1"/>
    </row>
    <row r="66" spans="15:59">
      <c r="O66" s="1"/>
      <c r="P66" s="1"/>
      <c r="AA66" s="1"/>
      <c r="AB66" s="1"/>
      <c r="AG66" s="1"/>
      <c r="AH66" s="1"/>
      <c r="AK66" s="1"/>
      <c r="AL66" s="1"/>
      <c r="AM66" s="2"/>
      <c r="AN66" s="2"/>
      <c r="AQ66" s="1"/>
      <c r="BG66" s="1"/>
    </row>
    <row r="67" spans="15:59">
      <c r="O67" s="1"/>
      <c r="P67" s="1"/>
      <c r="AA67" s="1"/>
      <c r="AB67" s="1"/>
      <c r="AG67" s="1"/>
      <c r="AH67" s="1"/>
      <c r="AK67" s="1"/>
      <c r="AL67" s="1"/>
      <c r="AM67" s="2"/>
      <c r="AN67" s="2"/>
      <c r="AQ67" s="1"/>
      <c r="BG67" s="1"/>
    </row>
    <row r="68" spans="15:59">
      <c r="O68" s="1"/>
      <c r="P68" s="1"/>
      <c r="AA68" s="1"/>
      <c r="AB68" s="1"/>
      <c r="AG68" s="1"/>
      <c r="AH68" s="1"/>
      <c r="AK68" s="1"/>
      <c r="AL68" s="1"/>
      <c r="AM68" s="2"/>
      <c r="AN68" s="2"/>
      <c r="AQ68" s="1"/>
      <c r="BG68" s="1"/>
    </row>
    <row r="69" spans="15:59">
      <c r="O69" s="1"/>
      <c r="P69" s="1"/>
      <c r="AA69" s="1"/>
      <c r="AB69" s="1"/>
      <c r="AG69" s="1"/>
      <c r="AH69" s="1"/>
      <c r="AK69" s="1"/>
      <c r="AL69" s="1"/>
      <c r="AM69" s="2"/>
      <c r="AN69" s="2"/>
      <c r="AQ69" s="1"/>
      <c r="BG69" s="1"/>
    </row>
    <row r="70" spans="15:59">
      <c r="O70" s="1"/>
      <c r="P70" s="1"/>
      <c r="AA70" s="1"/>
      <c r="AB70" s="1"/>
      <c r="AG70" s="1"/>
      <c r="AH70" s="1"/>
      <c r="AK70" s="1"/>
      <c r="AL70" s="1"/>
      <c r="AM70" s="2"/>
      <c r="AN70" s="2"/>
      <c r="AQ70" s="1"/>
      <c r="BG70" s="1"/>
    </row>
    <row r="71" spans="15:59">
      <c r="O71" s="1"/>
      <c r="P71" s="1"/>
      <c r="AA71" s="1"/>
      <c r="AB71" s="1"/>
      <c r="AG71" s="1"/>
      <c r="AH71" s="1"/>
      <c r="AK71" s="1"/>
      <c r="AL71" s="1"/>
      <c r="AM71" s="2"/>
      <c r="AN71" s="2"/>
      <c r="AQ71" s="1"/>
      <c r="BG71" s="1"/>
    </row>
    <row r="72" spans="15:59">
      <c r="O72" s="1"/>
      <c r="P72" s="1"/>
      <c r="AA72" s="1"/>
      <c r="AB72" s="1"/>
      <c r="AG72" s="1"/>
      <c r="AH72" s="1"/>
      <c r="AK72" s="1"/>
      <c r="AL72" s="1"/>
      <c r="AM72" s="2"/>
      <c r="AN72" s="2"/>
      <c r="AQ72" s="1"/>
      <c r="BG72" s="1"/>
    </row>
    <row r="73" spans="15:59">
      <c r="O73" s="1"/>
      <c r="P73" s="1"/>
      <c r="AA73" s="1"/>
      <c r="AB73" s="1"/>
      <c r="AG73" s="1"/>
      <c r="AH73" s="1"/>
      <c r="AK73" s="1"/>
      <c r="AL73" s="1"/>
      <c r="AM73" s="2"/>
      <c r="AN73" s="2"/>
      <c r="AQ73" s="1"/>
      <c r="BG73" s="1"/>
    </row>
    <row r="74" spans="15:59">
      <c r="O74" s="1"/>
      <c r="P74" s="1"/>
      <c r="AA74" s="1"/>
      <c r="AB74" s="1"/>
      <c r="AG74" s="1"/>
      <c r="AH74" s="1"/>
      <c r="AK74" s="1"/>
      <c r="AL74" s="1"/>
      <c r="AM74" s="2"/>
      <c r="AN74" s="2"/>
      <c r="AQ74" s="1"/>
      <c r="BG74" s="1"/>
    </row>
    <row r="75" spans="15:59">
      <c r="O75" s="1"/>
      <c r="P75" s="1"/>
      <c r="AA75" s="1"/>
      <c r="AB75" s="1"/>
      <c r="AG75" s="1"/>
      <c r="AH75" s="1"/>
      <c r="AK75" s="1"/>
      <c r="AL75" s="1"/>
      <c r="AM75" s="2"/>
      <c r="AN75" s="2"/>
      <c r="AQ75" s="1"/>
      <c r="BG75" s="1"/>
    </row>
    <row r="76" spans="15:59">
      <c r="O76" s="1"/>
      <c r="P76" s="1"/>
      <c r="AA76" s="1"/>
      <c r="AB76" s="1"/>
      <c r="AG76" s="1"/>
      <c r="AH76" s="1"/>
      <c r="AK76" s="1"/>
      <c r="AL76" s="1"/>
      <c r="AM76" s="2"/>
      <c r="AN76" s="2"/>
      <c r="AQ76" s="1"/>
      <c r="BG76" s="1"/>
    </row>
    <row r="77" spans="15:59">
      <c r="O77" s="1"/>
      <c r="P77" s="1"/>
      <c r="AA77" s="1"/>
      <c r="AB77" s="1"/>
      <c r="AG77" s="1"/>
      <c r="AH77" s="1"/>
      <c r="AK77" s="1"/>
      <c r="AL77" s="1"/>
      <c r="AM77" s="2"/>
      <c r="AN77" s="2"/>
      <c r="AQ77" s="1"/>
      <c r="BG77" s="1"/>
    </row>
    <row r="78" spans="15:59">
      <c r="O78" s="1"/>
      <c r="P78" s="1"/>
      <c r="AA78" s="1"/>
      <c r="AB78" s="1"/>
      <c r="AG78" s="1"/>
      <c r="AH78" s="1"/>
      <c r="AK78" s="1"/>
      <c r="AL78" s="1"/>
      <c r="AM78" s="2"/>
      <c r="AN78" s="2"/>
      <c r="AQ78" s="1"/>
      <c r="BG78" s="1"/>
    </row>
    <row r="79" spans="15:59">
      <c r="O79" s="1"/>
      <c r="P79" s="1"/>
      <c r="AA79" s="1"/>
      <c r="AB79" s="1"/>
      <c r="AG79" s="1"/>
      <c r="AH79" s="1"/>
      <c r="AK79" s="1"/>
      <c r="AL79" s="1"/>
      <c r="AM79" s="2"/>
      <c r="AN79" s="2"/>
      <c r="AQ79" s="1"/>
      <c r="BG79" s="1"/>
    </row>
    <row r="80" spans="15:59">
      <c r="O80" s="1"/>
      <c r="P80" s="1"/>
      <c r="AA80" s="1"/>
      <c r="AB80" s="1"/>
      <c r="AG80" s="1"/>
      <c r="AH80" s="1"/>
      <c r="AK80" s="1"/>
      <c r="AL80" s="1"/>
      <c r="AM80" s="2"/>
      <c r="AN80" s="2"/>
      <c r="AQ80" s="1"/>
      <c r="BG80" s="1"/>
    </row>
    <row r="81" spans="15:59">
      <c r="O81" s="1"/>
      <c r="P81" s="1"/>
      <c r="AA81" s="1"/>
      <c r="AB81" s="1"/>
      <c r="AG81" s="1"/>
      <c r="AH81" s="1"/>
      <c r="AK81" s="1"/>
      <c r="AL81" s="1"/>
      <c r="AM81" s="2"/>
      <c r="AN81" s="2"/>
      <c r="AQ81" s="1"/>
      <c r="BG81" s="1"/>
    </row>
    <row r="82" spans="15:59">
      <c r="O82" s="1"/>
      <c r="P82" s="1"/>
      <c r="AA82" s="1"/>
      <c r="AB82" s="1"/>
      <c r="AG82" s="1"/>
      <c r="AH82" s="1"/>
      <c r="AK82" s="1"/>
      <c r="AL82" s="1"/>
      <c r="AM82" s="2"/>
      <c r="AN82" s="2"/>
      <c r="AQ82" s="1"/>
      <c r="BG82" s="1"/>
    </row>
    <row r="83" spans="15:59">
      <c r="O83" s="1"/>
      <c r="P83" s="1"/>
      <c r="AA83" s="1"/>
      <c r="AB83" s="1"/>
      <c r="AG83" s="1"/>
      <c r="AH83" s="1"/>
      <c r="AK83" s="1"/>
      <c r="AL83" s="1"/>
      <c r="AM83" s="2"/>
      <c r="AN83" s="2"/>
      <c r="AQ83" s="1"/>
      <c r="BG83" s="1"/>
    </row>
    <row r="84" spans="15:59">
      <c r="O84" s="1"/>
      <c r="P84" s="1"/>
      <c r="AA84" s="1"/>
      <c r="AB84" s="1"/>
      <c r="AG84" s="1"/>
      <c r="AH84" s="1"/>
      <c r="AK84" s="1"/>
      <c r="AL84" s="1"/>
      <c r="AM84" s="2"/>
      <c r="AN84" s="2"/>
      <c r="AQ84" s="1"/>
      <c r="BG84" s="1"/>
    </row>
    <row r="85" spans="15:59">
      <c r="O85" s="1"/>
      <c r="P85" s="1"/>
      <c r="AA85" s="1"/>
      <c r="AB85" s="1"/>
      <c r="AG85" s="1"/>
      <c r="AH85" s="1"/>
      <c r="AK85" s="1"/>
      <c r="AL85" s="1"/>
      <c r="AM85" s="2"/>
      <c r="AN85" s="2"/>
      <c r="AQ85" s="1"/>
      <c r="BG85" s="1"/>
    </row>
    <row r="86" spans="15:59">
      <c r="O86" s="1"/>
      <c r="P86" s="1"/>
      <c r="AA86" s="1"/>
      <c r="AB86" s="1"/>
      <c r="AG86" s="1"/>
      <c r="AH86" s="1"/>
      <c r="AK86" s="1"/>
      <c r="AL86" s="1"/>
      <c r="AM86" s="2"/>
      <c r="AN86" s="2"/>
      <c r="AQ86" s="1"/>
      <c r="BG86" s="1"/>
    </row>
    <row r="87" spans="15:59">
      <c r="O87" s="1"/>
      <c r="P87" s="1"/>
      <c r="AA87" s="1"/>
      <c r="AB87" s="1"/>
      <c r="AG87" s="1"/>
      <c r="AH87" s="1"/>
      <c r="AK87" s="1"/>
      <c r="AL87" s="1"/>
      <c r="AM87" s="2"/>
      <c r="AN87" s="2"/>
      <c r="AQ87" s="1"/>
      <c r="BG87" s="1"/>
    </row>
    <row r="88" spans="15:59">
      <c r="O88" s="1"/>
      <c r="P88" s="1"/>
      <c r="AA88" s="1"/>
      <c r="AB88" s="1"/>
      <c r="AG88" s="1"/>
      <c r="AH88" s="1"/>
      <c r="AK88" s="1"/>
      <c r="AL88" s="1"/>
      <c r="AM88" s="2"/>
      <c r="AN88" s="2"/>
      <c r="AQ88" s="1"/>
      <c r="BG88" s="1"/>
    </row>
    <row r="89" spans="15:59">
      <c r="O89" s="1"/>
      <c r="P89" s="1"/>
      <c r="AA89" s="1"/>
      <c r="AB89" s="1"/>
      <c r="AG89" s="1"/>
      <c r="AH89" s="1"/>
      <c r="AK89" s="1"/>
      <c r="AL89" s="1"/>
      <c r="AM89" s="2"/>
      <c r="AN89" s="2"/>
      <c r="AQ89" s="1"/>
      <c r="BG89" s="1"/>
    </row>
    <row r="90" spans="15:59">
      <c r="O90" s="1"/>
      <c r="P90" s="1"/>
      <c r="AA90" s="1"/>
      <c r="AB90" s="1"/>
      <c r="AG90" s="1"/>
      <c r="AH90" s="1"/>
      <c r="AK90" s="1"/>
      <c r="AL90" s="1"/>
      <c r="AM90" s="2"/>
      <c r="AN90" s="2"/>
      <c r="AQ90" s="1"/>
      <c r="BG90" s="1"/>
    </row>
    <row r="91" spans="15:59">
      <c r="O91" s="1"/>
      <c r="P91" s="1"/>
      <c r="AA91" s="1"/>
      <c r="AB91" s="1"/>
      <c r="AG91" s="1"/>
      <c r="AH91" s="1"/>
      <c r="AK91" s="1"/>
      <c r="AL91" s="1"/>
      <c r="AM91" s="2"/>
      <c r="AN91" s="2"/>
      <c r="AQ91" s="1"/>
      <c r="BG91" s="1"/>
    </row>
    <row r="92" spans="15:59">
      <c r="O92" s="1"/>
      <c r="P92" s="1"/>
      <c r="AA92" s="1"/>
      <c r="AB92" s="1"/>
      <c r="AG92" s="1"/>
      <c r="AH92" s="1"/>
      <c r="AK92" s="1"/>
      <c r="AL92" s="1"/>
      <c r="AM92" s="2"/>
      <c r="AN92" s="2"/>
      <c r="AQ92" s="1"/>
      <c r="BG92" s="1"/>
    </row>
    <row r="93" spans="15:59">
      <c r="O93" s="1"/>
      <c r="P93" s="1"/>
      <c r="AA93" s="1"/>
      <c r="AB93" s="1"/>
      <c r="AG93" s="1"/>
      <c r="AH93" s="1"/>
      <c r="AK93" s="1"/>
      <c r="AL93" s="1"/>
      <c r="AM93" s="2"/>
      <c r="AN93" s="2"/>
      <c r="AQ93" s="1"/>
      <c r="BG93" s="1"/>
    </row>
    <row r="94" spans="15:59">
      <c r="O94" s="1"/>
      <c r="P94" s="1"/>
      <c r="AA94" s="1"/>
      <c r="AB94" s="1"/>
      <c r="AG94" s="1"/>
      <c r="AH94" s="1"/>
      <c r="AK94" s="1"/>
      <c r="AL94" s="1"/>
      <c r="AM94" s="2"/>
      <c r="AN94" s="2"/>
      <c r="AQ94" s="1"/>
      <c r="BG94" s="1"/>
    </row>
    <row r="95" spans="15:59">
      <c r="O95" s="1"/>
      <c r="P95" s="1"/>
      <c r="AA95" s="1"/>
      <c r="AB95" s="1"/>
      <c r="AG95" s="1"/>
      <c r="AH95" s="1"/>
      <c r="AK95" s="1"/>
      <c r="AL95" s="1"/>
      <c r="AM95" s="2"/>
      <c r="AN95" s="2"/>
      <c r="AQ95" s="1"/>
      <c r="BG95" s="1"/>
    </row>
    <row r="96" spans="15:59">
      <c r="O96" s="1"/>
      <c r="P96" s="1"/>
      <c r="AA96" s="1"/>
      <c r="AB96" s="1"/>
      <c r="AG96" s="1"/>
      <c r="AH96" s="1"/>
      <c r="AK96" s="1"/>
      <c r="AL96" s="1"/>
      <c r="AM96" s="2"/>
      <c r="AN96" s="2"/>
      <c r="AQ96" s="1"/>
      <c r="BG96" s="1"/>
    </row>
    <row r="97" spans="15:59">
      <c r="O97" s="1"/>
      <c r="P97" s="1"/>
      <c r="AA97" s="1"/>
      <c r="AB97" s="1"/>
      <c r="AG97" s="1"/>
      <c r="AH97" s="1"/>
      <c r="AK97" s="1"/>
      <c r="AL97" s="1"/>
      <c r="AM97" s="2"/>
      <c r="AN97" s="2"/>
      <c r="AQ97" s="1"/>
      <c r="BG97" s="1"/>
    </row>
    <row r="98" spans="15:59">
      <c r="O98" s="1"/>
      <c r="P98" s="1"/>
      <c r="AA98" s="1"/>
      <c r="AB98" s="1"/>
      <c r="AG98" s="1"/>
      <c r="AH98" s="1"/>
      <c r="AK98" s="1"/>
      <c r="AL98" s="1"/>
      <c r="AM98" s="2"/>
      <c r="AN98" s="2"/>
      <c r="AQ98" s="1"/>
      <c r="BG98" s="1"/>
    </row>
    <row r="99" spans="15:59">
      <c r="O99" s="1"/>
      <c r="P99" s="1"/>
      <c r="AA99" s="1"/>
      <c r="AB99" s="1"/>
      <c r="AG99" s="1"/>
      <c r="AH99" s="1"/>
      <c r="AK99" s="1"/>
      <c r="AL99" s="1"/>
      <c r="AM99" s="2"/>
      <c r="AN99" s="2"/>
      <c r="AQ99" s="1"/>
      <c r="BG99" s="1"/>
    </row>
    <row r="100" spans="15:59">
      <c r="O100" s="1"/>
      <c r="P100" s="1"/>
      <c r="AA100" s="1"/>
      <c r="AB100" s="1"/>
      <c r="AG100" s="1"/>
      <c r="AH100" s="1"/>
      <c r="AK100" s="1"/>
      <c r="AL100" s="1"/>
      <c r="AM100" s="2"/>
      <c r="AN100" s="2"/>
      <c r="AQ100" s="1"/>
      <c r="BG100" s="1"/>
    </row>
    <row r="101" spans="15:59">
      <c r="O101" s="1"/>
      <c r="P101" s="1"/>
      <c r="AA101" s="1"/>
      <c r="AB101" s="1"/>
      <c r="AG101" s="1"/>
      <c r="AH101" s="1"/>
      <c r="AK101" s="1"/>
      <c r="AL101" s="1"/>
      <c r="AM101" s="2"/>
      <c r="AN101" s="2"/>
      <c r="AQ101" s="1"/>
      <c r="BG101" s="1"/>
    </row>
    <row r="102" spans="15:59">
      <c r="O102" s="1"/>
      <c r="P102" s="1"/>
      <c r="AA102" s="1"/>
      <c r="AB102" s="1"/>
      <c r="AG102" s="1"/>
      <c r="AH102" s="1"/>
      <c r="AK102" s="1"/>
      <c r="AL102" s="1"/>
      <c r="AM102" s="2"/>
      <c r="AN102" s="2"/>
      <c r="AQ102" s="1"/>
      <c r="BG102" s="1"/>
    </row>
    <row r="103" spans="15:59">
      <c r="O103" s="1"/>
      <c r="P103" s="1"/>
      <c r="AA103" s="1"/>
      <c r="AB103" s="1"/>
      <c r="AG103" s="1"/>
      <c r="AH103" s="1"/>
      <c r="AK103" s="1"/>
      <c r="AL103" s="1"/>
      <c r="AM103" s="2"/>
      <c r="AN103" s="2"/>
      <c r="AQ103" s="1"/>
      <c r="BG103" s="1"/>
    </row>
    <row r="104" spans="15:59">
      <c r="O104" s="1"/>
      <c r="P104" s="1"/>
      <c r="AA104" s="1"/>
      <c r="AB104" s="1"/>
      <c r="AG104" s="1"/>
      <c r="AH104" s="1"/>
      <c r="AK104" s="1"/>
      <c r="AL104" s="1"/>
      <c r="AM104" s="2"/>
      <c r="AN104" s="2"/>
      <c r="AQ104" s="1"/>
      <c r="BG104" s="1"/>
    </row>
    <row r="105" spans="15:59">
      <c r="O105" s="1"/>
      <c r="P105" s="1"/>
      <c r="AA105" s="1"/>
      <c r="AB105" s="1"/>
      <c r="AG105" s="1"/>
      <c r="AH105" s="1"/>
      <c r="AK105" s="1"/>
      <c r="AL105" s="1"/>
      <c r="AM105" s="2"/>
      <c r="AN105" s="2"/>
      <c r="AQ105" s="1"/>
      <c r="BG105" s="1"/>
    </row>
    <row r="106" spans="15:59">
      <c r="O106" s="1"/>
      <c r="P106" s="1"/>
      <c r="AA106" s="1"/>
      <c r="AB106" s="1"/>
      <c r="AG106" s="1"/>
      <c r="AH106" s="1"/>
      <c r="AK106" s="1"/>
      <c r="AL106" s="1"/>
      <c r="AM106" s="2"/>
      <c r="AN106" s="2"/>
      <c r="AQ106" s="1"/>
      <c r="BG106" s="1"/>
    </row>
    <row r="107" spans="15:59">
      <c r="O107" s="1"/>
      <c r="P107" s="1"/>
      <c r="AA107" s="1"/>
      <c r="AB107" s="1"/>
      <c r="AG107" s="1"/>
      <c r="AH107" s="1"/>
      <c r="AK107" s="1"/>
      <c r="AL107" s="1"/>
      <c r="AM107" s="2"/>
      <c r="AN107" s="2"/>
      <c r="AQ107" s="1"/>
      <c r="BG107" s="1"/>
    </row>
    <row r="108" spans="15:59">
      <c r="O108" s="1"/>
      <c r="P108" s="1"/>
      <c r="AA108" s="1"/>
      <c r="AB108" s="1"/>
      <c r="AG108" s="1"/>
      <c r="AH108" s="1"/>
      <c r="AK108" s="1"/>
      <c r="AL108" s="1"/>
      <c r="AM108" s="2"/>
      <c r="AN108" s="2"/>
      <c r="AQ108" s="1"/>
      <c r="BG108" s="1"/>
    </row>
    <row r="109" spans="15:59">
      <c r="O109" s="1"/>
      <c r="P109" s="1"/>
      <c r="AA109" s="1"/>
      <c r="AB109" s="1"/>
      <c r="AG109" s="1"/>
      <c r="AH109" s="1"/>
      <c r="AK109" s="1"/>
      <c r="AL109" s="1"/>
      <c r="AM109" s="2"/>
      <c r="AN109" s="2"/>
      <c r="AQ109" s="1"/>
      <c r="BG109" s="1"/>
    </row>
    <row r="110" spans="15:59">
      <c r="O110" s="1"/>
      <c r="P110" s="1"/>
      <c r="AA110" s="1"/>
      <c r="AB110" s="1"/>
      <c r="AG110" s="1"/>
      <c r="AH110" s="1"/>
      <c r="AK110" s="1"/>
      <c r="AL110" s="1"/>
      <c r="AM110" s="2"/>
      <c r="AN110" s="2"/>
      <c r="AQ110" s="1"/>
      <c r="BG110" s="1"/>
    </row>
    <row r="111" spans="15:59">
      <c r="O111" s="1"/>
      <c r="P111" s="1"/>
      <c r="AA111" s="1"/>
      <c r="AB111" s="1"/>
      <c r="AG111" s="1"/>
      <c r="AH111" s="1"/>
      <c r="AK111" s="1"/>
      <c r="AL111" s="1"/>
      <c r="AM111" s="2"/>
      <c r="AN111" s="2"/>
      <c r="AQ111" s="1"/>
      <c r="BG111" s="1"/>
    </row>
    <row r="112" spans="15:59">
      <c r="O112" s="1"/>
      <c r="P112" s="1"/>
      <c r="AA112" s="1"/>
      <c r="AB112" s="1"/>
      <c r="AG112" s="1"/>
      <c r="AH112" s="1"/>
      <c r="AK112" s="1"/>
      <c r="AL112" s="1"/>
      <c r="AM112" s="2"/>
      <c r="AN112" s="2"/>
      <c r="AQ112" s="1"/>
      <c r="BG112" s="1"/>
    </row>
    <row r="113" spans="15:59">
      <c r="O113" s="1"/>
      <c r="P113" s="1"/>
      <c r="AA113" s="1"/>
      <c r="AB113" s="1"/>
      <c r="AG113" s="1"/>
      <c r="AH113" s="1"/>
      <c r="AK113" s="1"/>
      <c r="AL113" s="1"/>
      <c r="AM113" s="2"/>
      <c r="AN113" s="2"/>
      <c r="AQ113" s="1"/>
      <c r="BG113" s="1"/>
    </row>
    <row r="114" spans="15:59">
      <c r="O114" s="1"/>
      <c r="P114" s="1"/>
      <c r="AA114" s="1"/>
      <c r="AB114" s="1"/>
      <c r="AG114" s="1"/>
      <c r="AH114" s="1"/>
      <c r="AK114" s="1"/>
      <c r="AL114" s="1"/>
      <c r="AM114" s="2"/>
      <c r="AN114" s="2"/>
      <c r="AQ114" s="1"/>
      <c r="BG114" s="1"/>
    </row>
    <row r="115" spans="15:59">
      <c r="O115" s="1"/>
      <c r="P115" s="1"/>
      <c r="AA115" s="1"/>
      <c r="AB115" s="1"/>
      <c r="AG115" s="1"/>
      <c r="AH115" s="1"/>
      <c r="AK115" s="1"/>
      <c r="AL115" s="1"/>
      <c r="AM115" s="2"/>
      <c r="AN115" s="2"/>
      <c r="AQ115" s="1"/>
      <c r="BG115" s="1"/>
    </row>
    <row r="116" spans="15:59">
      <c r="O116" s="1"/>
      <c r="P116" s="1"/>
      <c r="AA116" s="1"/>
      <c r="AB116" s="1"/>
      <c r="AG116" s="1"/>
      <c r="AH116" s="1"/>
      <c r="AK116" s="1"/>
      <c r="AL116" s="1"/>
      <c r="AM116" s="2"/>
      <c r="AN116" s="2"/>
      <c r="AQ116" s="1"/>
      <c r="BG116" s="1"/>
    </row>
    <row r="117" spans="15:59">
      <c r="O117" s="1"/>
      <c r="P117" s="1"/>
      <c r="AA117" s="1"/>
      <c r="AB117" s="1"/>
      <c r="AG117" s="1"/>
      <c r="AH117" s="1"/>
      <c r="AK117" s="1"/>
      <c r="AL117" s="1"/>
      <c r="AM117" s="2"/>
      <c r="AN117" s="2"/>
      <c r="AQ117" s="1"/>
      <c r="BG117" s="1"/>
    </row>
    <row r="118" spans="15:59">
      <c r="O118" s="1"/>
      <c r="P118" s="1"/>
      <c r="AA118" s="1"/>
      <c r="AB118" s="1"/>
      <c r="AG118" s="1"/>
      <c r="AH118" s="1"/>
      <c r="AK118" s="1"/>
      <c r="AL118" s="1"/>
      <c r="AM118" s="2"/>
      <c r="AN118" s="2"/>
      <c r="AQ118" s="1"/>
      <c r="BG118" s="1"/>
    </row>
    <row r="119" spans="15:59">
      <c r="O119" s="1"/>
      <c r="P119" s="1"/>
      <c r="AA119" s="1"/>
      <c r="AB119" s="1"/>
      <c r="AG119" s="1"/>
      <c r="AH119" s="1"/>
      <c r="AK119" s="1"/>
      <c r="AL119" s="1"/>
      <c r="AM119" s="2"/>
      <c r="AN119" s="2"/>
      <c r="AQ119" s="1"/>
      <c r="BG119" s="1"/>
    </row>
    <row r="120" spans="15:59">
      <c r="O120" s="1"/>
      <c r="P120" s="1"/>
      <c r="AA120" s="1"/>
      <c r="AB120" s="1"/>
      <c r="AG120" s="1"/>
      <c r="AH120" s="1"/>
      <c r="AK120" s="1"/>
      <c r="AL120" s="1"/>
      <c r="AM120" s="2"/>
      <c r="AN120" s="2"/>
      <c r="AQ120" s="1"/>
      <c r="BG120" s="1"/>
    </row>
    <row r="121" spans="15:59">
      <c r="O121" s="1"/>
      <c r="P121" s="1"/>
      <c r="AA121" s="1"/>
      <c r="AB121" s="1"/>
      <c r="AG121" s="1"/>
      <c r="AH121" s="1"/>
      <c r="AK121" s="1"/>
      <c r="AL121" s="1"/>
      <c r="AM121" s="2"/>
      <c r="AN121" s="2"/>
      <c r="AQ121" s="1"/>
      <c r="BG121" s="1"/>
    </row>
    <row r="122" spans="15:59">
      <c r="O122" s="1"/>
      <c r="P122" s="1"/>
      <c r="AA122" s="1"/>
      <c r="AB122" s="1"/>
      <c r="AG122" s="1"/>
      <c r="AH122" s="1"/>
      <c r="AK122" s="1"/>
      <c r="AL122" s="1"/>
      <c r="AM122" s="2"/>
      <c r="AN122" s="2"/>
      <c r="AQ122" s="1"/>
      <c r="BG122" s="1"/>
    </row>
    <row r="123" spans="15:59">
      <c r="O123" s="1"/>
      <c r="P123" s="1"/>
      <c r="AA123" s="1"/>
      <c r="AB123" s="1"/>
      <c r="AG123" s="1"/>
      <c r="AH123" s="1"/>
      <c r="AK123" s="1"/>
      <c r="AL123" s="1"/>
      <c r="AM123" s="2"/>
      <c r="AN123" s="2"/>
      <c r="AQ123" s="1"/>
      <c r="BG123" s="1"/>
    </row>
    <row r="124" spans="15:59">
      <c r="O124" s="1"/>
      <c r="P124" s="1"/>
      <c r="AA124" s="1"/>
      <c r="AB124" s="1"/>
      <c r="AG124" s="1"/>
      <c r="AH124" s="1"/>
      <c r="AK124" s="1"/>
      <c r="AL124" s="1"/>
      <c r="AM124" s="2"/>
      <c r="AN124" s="2"/>
      <c r="AQ124" s="1"/>
      <c r="BG124" s="1"/>
    </row>
    <row r="125" spans="15:59">
      <c r="O125" s="1"/>
      <c r="P125" s="1"/>
      <c r="AA125" s="1"/>
      <c r="AB125" s="1"/>
      <c r="AG125" s="1"/>
      <c r="AH125" s="1"/>
      <c r="AK125" s="1"/>
      <c r="AL125" s="1"/>
      <c r="AM125" s="2"/>
      <c r="AN125" s="2"/>
      <c r="AQ125" s="1"/>
      <c r="BG125" s="1"/>
    </row>
    <row r="126" spans="15:59">
      <c r="O126" s="1"/>
      <c r="P126" s="1"/>
      <c r="AA126" s="1"/>
      <c r="AB126" s="1"/>
      <c r="AG126" s="1"/>
      <c r="AH126" s="1"/>
      <c r="AK126" s="1"/>
      <c r="AL126" s="1"/>
      <c r="AM126" s="2"/>
      <c r="AN126" s="2"/>
      <c r="AQ126" s="1"/>
      <c r="BG126" s="1"/>
    </row>
    <row r="127" spans="15:59">
      <c r="O127" s="1"/>
      <c r="P127" s="1"/>
      <c r="AA127" s="1"/>
      <c r="AB127" s="1"/>
      <c r="AG127" s="1"/>
      <c r="AH127" s="1"/>
      <c r="AK127" s="1"/>
      <c r="AL127" s="1"/>
      <c r="AM127" s="2"/>
      <c r="AN127" s="2"/>
      <c r="AQ127" s="1"/>
      <c r="BG127" s="1"/>
    </row>
    <row r="128" spans="15:59">
      <c r="O128" s="1"/>
      <c r="P128" s="1"/>
      <c r="AA128" s="1"/>
      <c r="AB128" s="1"/>
      <c r="AG128" s="1"/>
      <c r="AH128" s="1"/>
      <c r="AK128" s="1"/>
      <c r="AL128" s="1"/>
      <c r="AM128" s="2"/>
      <c r="AN128" s="2"/>
      <c r="AQ128" s="1"/>
      <c r="BG128" s="1"/>
    </row>
    <row r="129" spans="15:59">
      <c r="O129" s="1"/>
      <c r="P129" s="1"/>
      <c r="AA129" s="1"/>
      <c r="AB129" s="1"/>
      <c r="AG129" s="1"/>
      <c r="AH129" s="1"/>
      <c r="AK129" s="1"/>
      <c r="AL129" s="1"/>
      <c r="AM129" s="2"/>
      <c r="AN129" s="2"/>
      <c r="AQ129" s="1"/>
      <c r="BG129" s="1"/>
    </row>
    <row r="130" spans="15:59">
      <c r="O130" s="1"/>
      <c r="P130" s="1"/>
      <c r="AA130" s="1"/>
      <c r="AB130" s="1"/>
      <c r="AG130" s="1"/>
      <c r="AH130" s="1"/>
      <c r="AK130" s="1"/>
      <c r="AL130" s="1"/>
      <c r="AM130" s="2"/>
      <c r="AN130" s="2"/>
      <c r="AQ130" s="1"/>
      <c r="BG130" s="1"/>
    </row>
    <row r="131" spans="15:59">
      <c r="O131" s="1"/>
      <c r="P131" s="1"/>
      <c r="AA131" s="1"/>
      <c r="AB131" s="1"/>
      <c r="AG131" s="1"/>
      <c r="AH131" s="1"/>
      <c r="AK131" s="1"/>
      <c r="AL131" s="1"/>
      <c r="AM131" s="2"/>
      <c r="AN131" s="2"/>
      <c r="AQ131" s="1"/>
      <c r="BG131" s="1"/>
    </row>
    <row r="132" spans="15:59">
      <c r="O132" s="1"/>
      <c r="P132" s="1"/>
      <c r="AA132" s="1"/>
      <c r="AB132" s="1"/>
      <c r="AG132" s="1"/>
      <c r="AH132" s="1"/>
      <c r="AK132" s="1"/>
      <c r="AL132" s="1"/>
      <c r="AM132" s="2"/>
      <c r="AN132" s="2"/>
      <c r="AQ132" s="1"/>
      <c r="BG132" s="1"/>
    </row>
    <row r="133" spans="15:59">
      <c r="O133" s="1"/>
      <c r="P133" s="1"/>
      <c r="AA133" s="1"/>
      <c r="AB133" s="1"/>
      <c r="AG133" s="1"/>
      <c r="AH133" s="1"/>
      <c r="AK133" s="1"/>
      <c r="AL133" s="1"/>
      <c r="AM133" s="2"/>
      <c r="AN133" s="2"/>
      <c r="AQ133" s="1"/>
      <c r="BG133" s="1"/>
    </row>
    <row r="134" spans="15:59">
      <c r="O134" s="1"/>
      <c r="P134" s="1"/>
      <c r="AA134" s="1"/>
      <c r="AB134" s="1"/>
      <c r="AG134" s="1"/>
      <c r="AH134" s="1"/>
      <c r="AK134" s="1"/>
      <c r="AL134" s="1"/>
      <c r="AM134" s="2"/>
      <c r="AN134" s="2"/>
      <c r="AQ134" s="1"/>
      <c r="BG134" s="1"/>
    </row>
    <row r="135" spans="15:59">
      <c r="O135" s="1"/>
      <c r="P135" s="1"/>
      <c r="AA135" s="1"/>
      <c r="AB135" s="1"/>
      <c r="AG135" s="1"/>
      <c r="AH135" s="1"/>
      <c r="AK135" s="1"/>
      <c r="AL135" s="1"/>
      <c r="AM135" s="2"/>
      <c r="AN135" s="2"/>
      <c r="AQ135" s="1"/>
      <c r="BG135" s="1"/>
    </row>
    <row r="136" spans="15:59">
      <c r="O136" s="1"/>
      <c r="P136" s="1"/>
      <c r="AA136" s="1"/>
      <c r="AB136" s="1"/>
      <c r="AG136" s="1"/>
      <c r="AH136" s="1"/>
      <c r="AK136" s="1"/>
      <c r="AL136" s="1"/>
      <c r="AM136" s="2"/>
      <c r="AN136" s="2"/>
      <c r="AQ136" s="1"/>
      <c r="BG136" s="1"/>
    </row>
    <row r="137" spans="15:59">
      <c r="O137" s="1"/>
      <c r="P137" s="1"/>
      <c r="AA137" s="1"/>
      <c r="AB137" s="1"/>
      <c r="AG137" s="1"/>
      <c r="AH137" s="1"/>
      <c r="AK137" s="1"/>
      <c r="AL137" s="1"/>
      <c r="AM137" s="2"/>
      <c r="AN137" s="2"/>
      <c r="AQ137" s="1"/>
      <c r="BG137" s="1"/>
    </row>
    <row r="138" spans="15:59">
      <c r="O138" s="1"/>
      <c r="P138" s="1"/>
      <c r="AA138" s="1"/>
      <c r="AB138" s="1"/>
      <c r="AG138" s="1"/>
      <c r="AH138" s="1"/>
      <c r="AK138" s="1"/>
      <c r="AL138" s="1"/>
      <c r="AM138" s="2"/>
      <c r="AN138" s="2"/>
      <c r="AQ138" s="1"/>
      <c r="BG138" s="1"/>
    </row>
    <row r="139" spans="15:59">
      <c r="O139" s="1"/>
      <c r="P139" s="1"/>
      <c r="AA139" s="1"/>
      <c r="AB139" s="1"/>
      <c r="AG139" s="1"/>
      <c r="AH139" s="1"/>
      <c r="AK139" s="1"/>
      <c r="AL139" s="1"/>
      <c r="AM139" s="2"/>
      <c r="AN139" s="2"/>
      <c r="AQ139" s="1"/>
      <c r="BG139" s="1"/>
    </row>
    <row r="140" spans="15:59">
      <c r="O140" s="1"/>
      <c r="P140" s="1"/>
      <c r="AA140" s="1"/>
      <c r="AB140" s="1"/>
      <c r="AG140" s="1"/>
      <c r="AH140" s="1"/>
      <c r="AK140" s="1"/>
      <c r="AL140" s="1"/>
      <c r="AM140" s="2"/>
      <c r="AN140" s="2"/>
      <c r="AQ140" s="1"/>
      <c r="BG140" s="1"/>
    </row>
    <row r="141" spans="15:59">
      <c r="O141" s="1"/>
      <c r="P141" s="1"/>
      <c r="AA141" s="1"/>
      <c r="AB141" s="1"/>
      <c r="AG141" s="1"/>
      <c r="AH141" s="1"/>
      <c r="AK141" s="1"/>
      <c r="AL141" s="1"/>
      <c r="AM141" s="2"/>
      <c r="AN141" s="2"/>
      <c r="AQ141" s="1"/>
      <c r="BG141" s="1"/>
    </row>
    <row r="142" spans="15:59">
      <c r="O142" s="1"/>
      <c r="P142" s="1"/>
      <c r="AA142" s="1"/>
      <c r="AB142" s="1"/>
      <c r="AG142" s="1"/>
      <c r="AH142" s="1"/>
      <c r="AK142" s="1"/>
      <c r="AL142" s="1"/>
      <c r="AM142" s="2"/>
      <c r="AN142" s="2"/>
      <c r="AQ142" s="1"/>
      <c r="BG142" s="1"/>
    </row>
    <row r="143" spans="15:59">
      <c r="O143" s="1"/>
      <c r="P143" s="1"/>
      <c r="AA143" s="1"/>
      <c r="AB143" s="1"/>
      <c r="AG143" s="1"/>
      <c r="AH143" s="1"/>
      <c r="AK143" s="1"/>
      <c r="AL143" s="1"/>
      <c r="AM143" s="2"/>
      <c r="AN143" s="2"/>
      <c r="AQ143" s="1"/>
      <c r="BG143" s="1"/>
    </row>
    <row r="144" spans="15:59">
      <c r="O144" s="1"/>
      <c r="P144" s="1"/>
      <c r="AA144" s="1"/>
      <c r="AB144" s="1"/>
      <c r="AG144" s="1"/>
      <c r="AH144" s="1"/>
      <c r="AK144" s="1"/>
      <c r="AL144" s="1"/>
      <c r="AM144" s="2"/>
      <c r="AN144" s="2"/>
      <c r="AQ144" s="1"/>
      <c r="BG144" s="1"/>
    </row>
    <row r="145" spans="15:59">
      <c r="O145" s="1"/>
      <c r="P145" s="1"/>
      <c r="AA145" s="1"/>
      <c r="AB145" s="1"/>
      <c r="AG145" s="1"/>
      <c r="AH145" s="1"/>
      <c r="AK145" s="1"/>
      <c r="AL145" s="1"/>
      <c r="AM145" s="2"/>
      <c r="AN145" s="2"/>
      <c r="AQ145" s="1"/>
      <c r="BG145" s="1"/>
    </row>
    <row r="146" spans="15:59">
      <c r="O146" s="1"/>
      <c r="P146" s="1"/>
      <c r="AA146" s="1"/>
      <c r="AB146" s="1"/>
      <c r="AG146" s="1"/>
      <c r="AH146" s="1"/>
      <c r="AK146" s="1"/>
      <c r="AL146" s="1"/>
      <c r="AM146" s="2"/>
      <c r="AN146" s="2"/>
      <c r="AQ146" s="1"/>
      <c r="BG146" s="1"/>
    </row>
    <row r="147" spans="15:59">
      <c r="O147" s="1"/>
      <c r="P147" s="1"/>
      <c r="AA147" s="1"/>
      <c r="AB147" s="1"/>
      <c r="AG147" s="1"/>
      <c r="AH147" s="1"/>
      <c r="AK147" s="1"/>
      <c r="AL147" s="1"/>
      <c r="AM147" s="2"/>
      <c r="AN147" s="2"/>
      <c r="AQ147" s="1"/>
      <c r="BG147" s="1"/>
    </row>
    <row r="148" spans="15:59">
      <c r="O148" s="1"/>
      <c r="P148" s="1"/>
      <c r="AA148" s="1"/>
      <c r="AB148" s="1"/>
      <c r="AG148" s="1"/>
      <c r="AH148" s="1"/>
      <c r="AK148" s="1"/>
      <c r="AL148" s="1"/>
      <c r="AM148" s="2"/>
      <c r="AN148" s="2"/>
      <c r="AQ148" s="1"/>
      <c r="BG148" s="1"/>
    </row>
    <row r="149" spans="15:59">
      <c r="O149" s="1"/>
      <c r="P149" s="1"/>
      <c r="AA149" s="1"/>
      <c r="AB149" s="1"/>
      <c r="AG149" s="1"/>
      <c r="AH149" s="1"/>
      <c r="AK149" s="1"/>
      <c r="AL149" s="1"/>
      <c r="AM149" s="2"/>
      <c r="AN149" s="2"/>
      <c r="AQ149" s="1"/>
      <c r="BG149" s="1"/>
    </row>
    <row r="150" spans="15:59">
      <c r="O150" s="1"/>
      <c r="P150" s="1"/>
      <c r="AA150" s="1"/>
      <c r="AB150" s="1"/>
      <c r="AG150" s="1"/>
      <c r="AH150" s="1"/>
      <c r="AK150" s="1"/>
      <c r="AL150" s="1"/>
      <c r="AM150" s="2"/>
      <c r="AN150" s="2"/>
      <c r="AQ150" s="1"/>
      <c r="BG150" s="1"/>
    </row>
    <row r="151" spans="15:59">
      <c r="O151" s="1"/>
      <c r="P151" s="1"/>
      <c r="AA151" s="1"/>
      <c r="AB151" s="1"/>
      <c r="AG151" s="1"/>
      <c r="AH151" s="1"/>
      <c r="AK151" s="1"/>
      <c r="AL151" s="1"/>
      <c r="AM151" s="2"/>
      <c r="AN151" s="2"/>
      <c r="AQ151" s="1"/>
      <c r="BG151" s="1"/>
    </row>
    <row r="152" spans="15:59">
      <c r="O152" s="1"/>
      <c r="P152" s="1"/>
      <c r="AA152" s="1"/>
      <c r="AB152" s="1"/>
      <c r="AG152" s="1"/>
      <c r="AH152" s="1"/>
      <c r="AK152" s="1"/>
      <c r="AL152" s="1"/>
      <c r="AM152" s="2"/>
      <c r="AN152" s="2"/>
      <c r="AQ152" s="1"/>
      <c r="BG152" s="1"/>
    </row>
    <row r="153" spans="15:59">
      <c r="O153" s="1"/>
      <c r="P153" s="1"/>
      <c r="AA153" s="1"/>
      <c r="AB153" s="1"/>
      <c r="AG153" s="1"/>
      <c r="AH153" s="1"/>
      <c r="AK153" s="1"/>
      <c r="AL153" s="1"/>
      <c r="AM153" s="2"/>
      <c r="AN153" s="2"/>
      <c r="AQ153" s="1"/>
      <c r="BG153" s="1"/>
    </row>
    <row r="154" spans="15:59">
      <c r="O154" s="1"/>
      <c r="P154" s="1"/>
      <c r="AA154" s="1"/>
      <c r="AB154" s="1"/>
      <c r="AG154" s="1"/>
      <c r="AH154" s="1"/>
      <c r="AK154" s="1"/>
      <c r="AL154" s="1"/>
      <c r="AM154" s="2"/>
      <c r="AN154" s="2"/>
      <c r="AQ154" s="1"/>
      <c r="BG154" s="1"/>
    </row>
    <row r="155" spans="15:59">
      <c r="O155" s="1"/>
      <c r="P155" s="1"/>
      <c r="AA155" s="1"/>
      <c r="AB155" s="1"/>
      <c r="AG155" s="1"/>
      <c r="AH155" s="1"/>
      <c r="AK155" s="1"/>
      <c r="AL155" s="1"/>
      <c r="AM155" s="2"/>
      <c r="AN155" s="2"/>
      <c r="AQ155" s="1"/>
      <c r="BG155" s="1"/>
    </row>
    <row r="156" spans="15:59">
      <c r="O156" s="1"/>
      <c r="P156" s="1"/>
      <c r="AA156" s="1"/>
      <c r="AB156" s="1"/>
      <c r="AG156" s="1"/>
      <c r="AH156" s="1"/>
      <c r="AK156" s="1"/>
      <c r="AL156" s="1"/>
      <c r="AM156" s="2"/>
      <c r="AN156" s="2"/>
      <c r="AQ156" s="1"/>
      <c r="BG156" s="1"/>
    </row>
    <row r="157" spans="15:59">
      <c r="O157" s="1"/>
      <c r="P157" s="1"/>
      <c r="AA157" s="1"/>
      <c r="AB157" s="1"/>
      <c r="AG157" s="1"/>
      <c r="AH157" s="1"/>
      <c r="AK157" s="1"/>
      <c r="AL157" s="1"/>
      <c r="AM157" s="2"/>
      <c r="AN157" s="2"/>
      <c r="AQ157" s="1"/>
      <c r="BG157" s="1"/>
    </row>
    <row r="158" spans="15:59">
      <c r="O158" s="1"/>
      <c r="P158" s="1"/>
      <c r="AA158" s="1"/>
      <c r="AB158" s="1"/>
      <c r="AG158" s="1"/>
      <c r="AH158" s="1"/>
      <c r="AK158" s="1"/>
      <c r="AL158" s="1"/>
      <c r="AM158" s="2"/>
      <c r="AN158" s="2"/>
      <c r="AQ158" s="1"/>
      <c r="BG158" s="1"/>
    </row>
    <row r="159" spans="15:59">
      <c r="O159" s="1"/>
      <c r="P159" s="1"/>
      <c r="AA159" s="1"/>
      <c r="AB159" s="1"/>
      <c r="AG159" s="1"/>
      <c r="AH159" s="1"/>
      <c r="AK159" s="1"/>
      <c r="AL159" s="1"/>
      <c r="AM159" s="2"/>
      <c r="AN159" s="2"/>
      <c r="AQ159" s="1"/>
      <c r="BG159" s="1"/>
    </row>
    <row r="160" spans="15:59">
      <c r="O160" s="1"/>
      <c r="P160" s="1"/>
      <c r="AA160" s="1"/>
      <c r="AB160" s="1"/>
      <c r="AG160" s="1"/>
      <c r="AH160" s="1"/>
      <c r="AK160" s="1"/>
      <c r="AL160" s="1"/>
      <c r="AM160" s="2"/>
      <c r="AN160" s="2"/>
      <c r="AQ160" s="1"/>
      <c r="BG160" s="1"/>
    </row>
    <row r="161" spans="15:59">
      <c r="O161" s="1"/>
      <c r="P161" s="1"/>
      <c r="AA161" s="1"/>
      <c r="AB161" s="1"/>
      <c r="AG161" s="1"/>
      <c r="AH161" s="1"/>
      <c r="AK161" s="1"/>
      <c r="AL161" s="1"/>
      <c r="AM161" s="2"/>
      <c r="AN161" s="2"/>
      <c r="AQ161" s="1"/>
      <c r="BG161" s="1"/>
    </row>
    <row r="162" spans="15:59">
      <c r="O162" s="1"/>
      <c r="P162" s="1"/>
      <c r="AA162" s="1"/>
      <c r="AB162" s="1"/>
      <c r="AG162" s="1"/>
      <c r="AH162" s="1"/>
      <c r="AK162" s="1"/>
      <c r="AL162" s="1"/>
      <c r="AM162" s="2"/>
      <c r="AN162" s="2"/>
      <c r="AQ162" s="1"/>
      <c r="BG162" s="1"/>
    </row>
    <row r="163" spans="15:59">
      <c r="O163" s="1"/>
      <c r="P163" s="1"/>
      <c r="AA163" s="1"/>
      <c r="AB163" s="1"/>
      <c r="AG163" s="1"/>
      <c r="AH163" s="1"/>
      <c r="AK163" s="1"/>
      <c r="AL163" s="1"/>
      <c r="AM163" s="2"/>
      <c r="AN163" s="2"/>
      <c r="AQ163" s="1"/>
      <c r="BG163" s="1"/>
    </row>
    <row r="164" spans="15:59">
      <c r="O164" s="1"/>
      <c r="P164" s="1"/>
      <c r="AA164" s="1"/>
      <c r="AB164" s="1"/>
      <c r="AG164" s="1"/>
      <c r="AH164" s="1"/>
      <c r="AK164" s="1"/>
      <c r="AL164" s="1"/>
      <c r="AM164" s="2"/>
      <c r="AN164" s="2"/>
      <c r="AQ164" s="1"/>
      <c r="BG164" s="1"/>
    </row>
    <row r="165" spans="15:59">
      <c r="O165" s="1"/>
      <c r="P165" s="1"/>
      <c r="AA165" s="1"/>
      <c r="AB165" s="1"/>
      <c r="AG165" s="1"/>
      <c r="AH165" s="1"/>
      <c r="AK165" s="1"/>
      <c r="AL165" s="1"/>
      <c r="AM165" s="2"/>
      <c r="AN165" s="2"/>
      <c r="AQ165" s="1"/>
      <c r="BG165" s="1"/>
    </row>
    <row r="166" spans="15:59">
      <c r="O166" s="1"/>
      <c r="P166" s="1"/>
      <c r="AA166" s="1"/>
      <c r="AB166" s="1"/>
      <c r="AG166" s="1"/>
      <c r="AH166" s="1"/>
      <c r="AK166" s="1"/>
      <c r="AL166" s="1"/>
      <c r="AM166" s="2"/>
      <c r="AN166" s="2"/>
      <c r="AQ166" s="1"/>
      <c r="BG166" s="1"/>
    </row>
    <row r="167" spans="15:59">
      <c r="O167" s="1"/>
      <c r="P167" s="1"/>
      <c r="AA167" s="1"/>
      <c r="AB167" s="1"/>
      <c r="AG167" s="1"/>
      <c r="AH167" s="1"/>
      <c r="AK167" s="1"/>
      <c r="AL167" s="1"/>
      <c r="AM167" s="2"/>
      <c r="AN167" s="2"/>
      <c r="AQ167" s="1"/>
      <c r="BG167" s="1"/>
    </row>
    <row r="168" spans="15:59">
      <c r="O168" s="1"/>
      <c r="P168" s="1"/>
      <c r="AA168" s="1"/>
      <c r="AB168" s="1"/>
      <c r="AG168" s="1"/>
      <c r="AH168" s="1"/>
      <c r="AK168" s="1"/>
      <c r="AL168" s="1"/>
      <c r="AM168" s="2"/>
      <c r="AN168" s="2"/>
      <c r="AQ168" s="1"/>
      <c r="BG168" s="1"/>
    </row>
    <row r="169" spans="15:59">
      <c r="O169" s="1"/>
      <c r="P169" s="1"/>
      <c r="AA169" s="1"/>
      <c r="AB169" s="1"/>
      <c r="AG169" s="1"/>
      <c r="AH169" s="1"/>
      <c r="AK169" s="1"/>
      <c r="AL169" s="1"/>
      <c r="AM169" s="2"/>
      <c r="AN169" s="2"/>
      <c r="AQ169" s="1"/>
      <c r="BG169" s="1"/>
    </row>
    <row r="170" spans="15:59">
      <c r="O170" s="1"/>
      <c r="P170" s="1"/>
      <c r="AA170" s="1"/>
      <c r="AB170" s="1"/>
      <c r="AG170" s="1"/>
      <c r="AH170" s="1"/>
      <c r="AK170" s="1"/>
      <c r="AL170" s="1"/>
      <c r="AM170" s="2"/>
      <c r="AN170" s="2"/>
      <c r="AQ170" s="1"/>
      <c r="BG170" s="1"/>
    </row>
    <row r="171" spans="15:59">
      <c r="O171" s="1"/>
      <c r="P171" s="1"/>
      <c r="AA171" s="1"/>
      <c r="AB171" s="1"/>
      <c r="AG171" s="1"/>
      <c r="AH171" s="1"/>
      <c r="AK171" s="1"/>
      <c r="AL171" s="1"/>
      <c r="AM171" s="2"/>
      <c r="AN171" s="2"/>
      <c r="AQ171" s="1"/>
      <c r="BG171" s="1"/>
    </row>
    <row r="172" spans="15:59">
      <c r="O172" s="1"/>
      <c r="P172" s="1"/>
      <c r="AA172" s="1"/>
      <c r="AB172" s="1"/>
      <c r="AG172" s="1"/>
      <c r="AH172" s="1"/>
      <c r="AK172" s="1"/>
      <c r="AL172" s="1"/>
      <c r="AM172" s="2"/>
      <c r="AN172" s="2"/>
      <c r="AQ172" s="1"/>
      <c r="BG172" s="1"/>
    </row>
    <row r="173" spans="15:59">
      <c r="O173" s="1"/>
      <c r="P173" s="1"/>
      <c r="AA173" s="1"/>
      <c r="AB173" s="1"/>
      <c r="AG173" s="1"/>
      <c r="AH173" s="1"/>
      <c r="AK173" s="1"/>
      <c r="AL173" s="1"/>
      <c r="AM173" s="2"/>
      <c r="AN173" s="2"/>
      <c r="AQ173" s="1"/>
      <c r="BG173" s="1"/>
    </row>
    <row r="174" spans="15:59">
      <c r="O174" s="1"/>
      <c r="P174" s="1"/>
      <c r="AA174" s="1"/>
      <c r="AB174" s="1"/>
      <c r="AG174" s="1"/>
      <c r="AH174" s="1"/>
      <c r="AK174" s="1"/>
      <c r="AL174" s="1"/>
      <c r="AM174" s="2"/>
      <c r="AN174" s="2"/>
      <c r="AQ174" s="1"/>
      <c r="BG174" s="1"/>
    </row>
    <row r="175" spans="15:59">
      <c r="O175" s="1"/>
      <c r="P175" s="1"/>
      <c r="AA175" s="1"/>
      <c r="AB175" s="1"/>
      <c r="AG175" s="1"/>
      <c r="AH175" s="1"/>
      <c r="AK175" s="1"/>
      <c r="AL175" s="1"/>
      <c r="AM175" s="2"/>
      <c r="AN175" s="2"/>
      <c r="AQ175" s="1"/>
      <c r="BG175" s="1"/>
    </row>
    <row r="176" spans="15:59">
      <c r="O176" s="1"/>
      <c r="P176" s="1"/>
      <c r="AA176" s="1"/>
      <c r="AB176" s="1"/>
      <c r="AG176" s="1"/>
      <c r="AH176" s="1"/>
      <c r="AK176" s="1"/>
      <c r="AL176" s="1"/>
      <c r="AM176" s="2"/>
      <c r="AN176" s="2"/>
      <c r="AQ176" s="1"/>
      <c r="BG176" s="1"/>
    </row>
    <row r="177" spans="15:59">
      <c r="O177" s="1"/>
      <c r="P177" s="1"/>
      <c r="AA177" s="1"/>
      <c r="AB177" s="1"/>
      <c r="AG177" s="1"/>
      <c r="AH177" s="1"/>
      <c r="AK177" s="1"/>
      <c r="AL177" s="1"/>
      <c r="AM177" s="2"/>
      <c r="AN177" s="2"/>
      <c r="AQ177" s="1"/>
      <c r="BG177" s="1"/>
    </row>
    <row r="178" spans="15:59">
      <c r="O178" s="1"/>
      <c r="P178" s="1"/>
      <c r="AA178" s="1"/>
      <c r="AB178" s="1"/>
      <c r="AG178" s="1"/>
      <c r="AH178" s="1"/>
      <c r="AK178" s="1"/>
      <c r="AL178" s="1"/>
      <c r="AM178" s="2"/>
      <c r="AN178" s="2"/>
      <c r="AQ178" s="1"/>
      <c r="BG178" s="1"/>
    </row>
    <row r="179" spans="15:59">
      <c r="O179" s="1"/>
      <c r="P179" s="1"/>
      <c r="AA179" s="1"/>
      <c r="AB179" s="1"/>
      <c r="AG179" s="1"/>
      <c r="AH179" s="1"/>
      <c r="AK179" s="1"/>
      <c r="AL179" s="1"/>
      <c r="AM179" s="2"/>
      <c r="AN179" s="2"/>
      <c r="AQ179" s="1"/>
      <c r="BG179" s="1"/>
    </row>
    <row r="180" spans="15:59">
      <c r="O180" s="1"/>
      <c r="P180" s="1"/>
      <c r="AA180" s="1"/>
      <c r="AB180" s="1"/>
      <c r="AG180" s="1"/>
      <c r="AH180" s="1"/>
      <c r="AK180" s="1"/>
      <c r="AL180" s="1"/>
      <c r="AM180" s="2"/>
      <c r="AN180" s="2"/>
      <c r="AQ180" s="1"/>
      <c r="BG180" s="1"/>
    </row>
    <row r="181" spans="15:59">
      <c r="O181" s="1"/>
      <c r="P181" s="1"/>
      <c r="AA181" s="1"/>
      <c r="AB181" s="1"/>
      <c r="AG181" s="1"/>
      <c r="AH181" s="1"/>
      <c r="AK181" s="1"/>
      <c r="AL181" s="1"/>
      <c r="AM181" s="2"/>
      <c r="AN181" s="2"/>
      <c r="AQ181" s="1"/>
      <c r="BG181" s="1"/>
    </row>
    <row r="182" spans="15:59">
      <c r="O182" s="1"/>
      <c r="P182" s="1"/>
      <c r="AA182" s="1"/>
      <c r="AB182" s="1"/>
      <c r="AG182" s="1"/>
      <c r="AH182" s="1"/>
      <c r="AK182" s="1"/>
      <c r="AL182" s="1"/>
      <c r="AM182" s="2"/>
      <c r="AN182" s="2"/>
      <c r="AQ182" s="1"/>
      <c r="BG182" s="1"/>
    </row>
    <row r="183" spans="15:59">
      <c r="O183" s="1"/>
      <c r="P183" s="1"/>
      <c r="AA183" s="1"/>
      <c r="AB183" s="1"/>
      <c r="AG183" s="1"/>
      <c r="AH183" s="1"/>
      <c r="AK183" s="1"/>
      <c r="AL183" s="1"/>
      <c r="AM183" s="2"/>
      <c r="AN183" s="2"/>
      <c r="AQ183" s="1"/>
      <c r="BG183" s="1"/>
    </row>
    <row r="184" spans="15:59">
      <c r="O184" s="1"/>
      <c r="P184" s="1"/>
      <c r="AA184" s="1"/>
      <c r="AB184" s="1"/>
      <c r="AG184" s="1"/>
      <c r="AH184" s="1"/>
      <c r="AK184" s="1"/>
      <c r="AL184" s="1"/>
      <c r="AM184" s="2"/>
      <c r="AN184" s="2"/>
      <c r="AQ184" s="1"/>
      <c r="BG184" s="1"/>
    </row>
    <row r="185" spans="15:59">
      <c r="O185" s="1"/>
      <c r="P185" s="1"/>
      <c r="AA185" s="1"/>
      <c r="AB185" s="1"/>
      <c r="AG185" s="1"/>
      <c r="AH185" s="1"/>
      <c r="AK185" s="1"/>
      <c r="AL185" s="1"/>
      <c r="AM185" s="2"/>
      <c r="AN185" s="2"/>
      <c r="AQ185" s="1"/>
      <c r="BG185" s="1"/>
    </row>
    <row r="186" spans="15:59">
      <c r="O186" s="1"/>
      <c r="P186" s="1"/>
      <c r="AA186" s="1"/>
      <c r="AB186" s="1"/>
      <c r="AG186" s="1"/>
      <c r="AH186" s="1"/>
      <c r="AK186" s="1"/>
      <c r="AL186" s="1"/>
      <c r="AM186" s="2"/>
      <c r="AN186" s="2"/>
      <c r="AQ186" s="1"/>
      <c r="BG186" s="1"/>
    </row>
    <row r="187" spans="15:59">
      <c r="O187" s="1"/>
      <c r="P187" s="1"/>
      <c r="AA187" s="1"/>
      <c r="AB187" s="1"/>
      <c r="AG187" s="1"/>
      <c r="AH187" s="1"/>
      <c r="AK187" s="1"/>
      <c r="AL187" s="1"/>
      <c r="AM187" s="2"/>
      <c r="AN187" s="2"/>
      <c r="AQ187" s="1"/>
      <c r="BG187" s="1"/>
    </row>
    <row r="188" spans="15:59">
      <c r="O188" s="1"/>
      <c r="P188" s="1"/>
      <c r="AA188" s="1"/>
      <c r="AB188" s="1"/>
      <c r="AG188" s="1"/>
      <c r="AH188" s="1"/>
      <c r="AK188" s="1"/>
      <c r="AL188" s="1"/>
      <c r="AM188" s="2"/>
      <c r="AN188" s="2"/>
      <c r="AQ188" s="1"/>
      <c r="BG188" s="1"/>
    </row>
    <row r="189" spans="15:59">
      <c r="O189" s="1"/>
      <c r="P189" s="1"/>
      <c r="AA189" s="1"/>
      <c r="AB189" s="1"/>
      <c r="AG189" s="1"/>
      <c r="AH189" s="1"/>
      <c r="AK189" s="1"/>
      <c r="AL189" s="1"/>
      <c r="AM189" s="2"/>
      <c r="AN189" s="2"/>
      <c r="AQ189" s="1"/>
      <c r="BG189" s="1"/>
    </row>
    <row r="190" spans="15:59">
      <c r="O190" s="1"/>
      <c r="P190" s="1"/>
      <c r="AA190" s="1"/>
      <c r="AB190" s="1"/>
      <c r="AG190" s="1"/>
      <c r="AH190" s="1"/>
      <c r="AK190" s="1"/>
      <c r="AL190" s="1"/>
      <c r="AM190" s="2"/>
      <c r="AN190" s="2"/>
      <c r="AQ190" s="1"/>
      <c r="BG190" s="1"/>
    </row>
    <row r="191" spans="15:59">
      <c r="O191" s="1"/>
      <c r="P191" s="1"/>
      <c r="AA191" s="1"/>
      <c r="AB191" s="1"/>
      <c r="AG191" s="1"/>
      <c r="AH191" s="1"/>
      <c r="AK191" s="1"/>
      <c r="AL191" s="1"/>
      <c r="AM191" s="2"/>
      <c r="AN191" s="2"/>
      <c r="AQ191" s="1"/>
      <c r="BG191" s="1"/>
    </row>
    <row r="192" spans="15:59">
      <c r="O192" s="1"/>
      <c r="P192" s="1"/>
      <c r="AA192" s="1"/>
      <c r="AB192" s="1"/>
      <c r="AG192" s="1"/>
      <c r="AH192" s="1"/>
      <c r="AK192" s="1"/>
      <c r="AL192" s="1"/>
      <c r="AM192" s="2"/>
      <c r="AN192" s="2"/>
      <c r="AQ192" s="1"/>
      <c r="BG192" s="1"/>
    </row>
    <row r="193" spans="15:59">
      <c r="O193" s="1"/>
      <c r="P193" s="1"/>
      <c r="AA193" s="1"/>
      <c r="AB193" s="1"/>
      <c r="AG193" s="1"/>
      <c r="AH193" s="1"/>
      <c r="AK193" s="1"/>
      <c r="AL193" s="1"/>
      <c r="AM193" s="2"/>
      <c r="AN193" s="2"/>
      <c r="AQ193" s="1"/>
      <c r="BG193" s="1"/>
    </row>
    <row r="194" spans="15:59">
      <c r="O194" s="1"/>
      <c r="P194" s="1"/>
      <c r="AA194" s="1"/>
      <c r="AB194" s="1"/>
      <c r="AG194" s="1"/>
      <c r="AH194" s="1"/>
      <c r="AK194" s="1"/>
      <c r="AL194" s="1"/>
      <c r="AM194" s="2"/>
      <c r="AN194" s="2"/>
      <c r="AQ194" s="1"/>
      <c r="BG194" s="1"/>
    </row>
    <row r="195" spans="15:59">
      <c r="O195" s="1"/>
      <c r="P195" s="1"/>
      <c r="AA195" s="1"/>
      <c r="AB195" s="1"/>
      <c r="AG195" s="1"/>
      <c r="AH195" s="1"/>
      <c r="AK195" s="1"/>
      <c r="AL195" s="1"/>
      <c r="AM195" s="2"/>
      <c r="AN195" s="2"/>
      <c r="AQ195" s="1"/>
      <c r="BG195" s="1"/>
    </row>
    <row r="196" spans="15:59">
      <c r="O196" s="1"/>
      <c r="P196" s="1"/>
      <c r="AA196" s="1"/>
      <c r="AB196" s="1"/>
      <c r="AG196" s="1"/>
      <c r="AH196" s="1"/>
      <c r="AK196" s="1"/>
      <c r="AL196" s="1"/>
      <c r="AM196" s="2"/>
      <c r="AN196" s="2"/>
      <c r="AQ196" s="1"/>
      <c r="BG196" s="1"/>
    </row>
    <row r="197" spans="15:59">
      <c r="O197" s="1"/>
      <c r="P197" s="1"/>
      <c r="AA197" s="1"/>
      <c r="AB197" s="1"/>
      <c r="AG197" s="1"/>
      <c r="AH197" s="1"/>
      <c r="AK197" s="1"/>
      <c r="AL197" s="1"/>
      <c r="AM197" s="2"/>
      <c r="AN197" s="2"/>
      <c r="AQ197" s="1"/>
      <c r="BG197" s="1"/>
    </row>
    <row r="198" spans="15:59">
      <c r="O198" s="1"/>
      <c r="P198" s="1"/>
      <c r="AA198" s="1"/>
      <c r="AB198" s="1"/>
      <c r="AG198" s="1"/>
      <c r="AH198" s="1"/>
      <c r="AK198" s="1"/>
      <c r="AL198" s="1"/>
      <c r="AM198" s="2"/>
      <c r="AN198" s="2"/>
      <c r="AQ198" s="1"/>
      <c r="BG198" s="1"/>
    </row>
    <row r="199" spans="15:59">
      <c r="O199" s="1"/>
      <c r="P199" s="1"/>
      <c r="AA199" s="1"/>
      <c r="AB199" s="1"/>
      <c r="AG199" s="1"/>
      <c r="AH199" s="1"/>
      <c r="AK199" s="1"/>
      <c r="AL199" s="1"/>
      <c r="AM199" s="2"/>
      <c r="AN199" s="2"/>
      <c r="AQ199" s="1"/>
      <c r="BG199" s="1"/>
    </row>
    <row r="200" spans="15:59">
      <c r="O200" s="1"/>
      <c r="P200" s="1"/>
      <c r="AA200" s="1"/>
      <c r="AB200" s="1"/>
      <c r="AG200" s="1"/>
      <c r="AH200" s="1"/>
      <c r="AK200" s="1"/>
      <c r="AL200" s="1"/>
      <c r="AM200" s="2"/>
      <c r="AN200" s="2"/>
      <c r="AQ200" s="1"/>
      <c r="BG200" s="1"/>
    </row>
    <row r="201" spans="15:59">
      <c r="O201" s="1"/>
      <c r="P201" s="1"/>
      <c r="AA201" s="1"/>
      <c r="AB201" s="1"/>
      <c r="AG201" s="1"/>
      <c r="AH201" s="1"/>
      <c r="AK201" s="1"/>
      <c r="AL201" s="1"/>
      <c r="AM201" s="2"/>
      <c r="AN201" s="2"/>
      <c r="AQ201" s="1"/>
      <c r="BG201" s="1"/>
    </row>
    <row r="202" spans="15:59">
      <c r="O202" s="1"/>
      <c r="P202" s="1"/>
      <c r="AA202" s="1"/>
      <c r="AB202" s="1"/>
      <c r="AG202" s="1"/>
      <c r="AH202" s="1"/>
      <c r="AK202" s="1"/>
      <c r="AL202" s="1"/>
      <c r="AM202" s="2"/>
      <c r="AN202" s="2"/>
      <c r="AQ202" s="1"/>
      <c r="BG202" s="1"/>
    </row>
    <row r="203" spans="15:59">
      <c r="O203" s="1"/>
      <c r="P203" s="1"/>
      <c r="AA203" s="1"/>
      <c r="AB203" s="1"/>
      <c r="AG203" s="1"/>
      <c r="AH203" s="1"/>
      <c r="AK203" s="1"/>
      <c r="AL203" s="1"/>
      <c r="AM203" s="2"/>
      <c r="AN203" s="2"/>
      <c r="AQ203" s="1"/>
      <c r="BG203" s="1"/>
    </row>
    <row r="204" spans="15:59">
      <c r="O204" s="1"/>
      <c r="P204" s="1"/>
      <c r="AA204" s="1"/>
      <c r="AB204" s="1"/>
      <c r="AG204" s="1"/>
      <c r="AH204" s="1"/>
      <c r="AK204" s="1"/>
      <c r="AL204" s="1"/>
      <c r="AM204" s="2"/>
      <c r="AN204" s="2"/>
      <c r="AQ204" s="1"/>
      <c r="BG204" s="1"/>
    </row>
    <row r="205" spans="15:59">
      <c r="O205" s="1"/>
      <c r="P205" s="1"/>
      <c r="AA205" s="1"/>
      <c r="AB205" s="1"/>
      <c r="AG205" s="1"/>
      <c r="AH205" s="1"/>
      <c r="AK205" s="1"/>
      <c r="AL205" s="1"/>
      <c r="AM205" s="2"/>
      <c r="AN205" s="2"/>
      <c r="AQ205" s="1"/>
      <c r="BG205" s="1"/>
    </row>
    <row r="206" spans="15:59">
      <c r="O206" s="1"/>
      <c r="P206" s="1"/>
      <c r="AA206" s="1"/>
      <c r="AB206" s="1"/>
      <c r="AG206" s="1"/>
      <c r="AH206" s="1"/>
      <c r="AK206" s="1"/>
      <c r="AL206" s="1"/>
      <c r="AM206" s="2"/>
      <c r="AN206" s="2"/>
      <c r="AQ206" s="1"/>
      <c r="BG206" s="1"/>
    </row>
    <row r="207" spans="15:59">
      <c r="O207" s="1"/>
      <c r="P207" s="1"/>
      <c r="AA207" s="1"/>
      <c r="AB207" s="1"/>
      <c r="AG207" s="1"/>
      <c r="AH207" s="1"/>
      <c r="AK207" s="1"/>
      <c r="AL207" s="1"/>
      <c r="AM207" s="2"/>
      <c r="AN207" s="2"/>
      <c r="AQ207" s="1"/>
      <c r="BG207" s="1"/>
    </row>
    <row r="208" spans="15:59">
      <c r="O208" s="1"/>
      <c r="P208" s="1"/>
      <c r="AA208" s="1"/>
      <c r="AB208" s="1"/>
      <c r="AG208" s="1"/>
      <c r="AH208" s="1"/>
      <c r="AK208" s="1"/>
      <c r="AL208" s="1"/>
      <c r="AM208" s="2"/>
      <c r="AN208" s="2"/>
      <c r="AQ208" s="1"/>
      <c r="BG208" s="1"/>
    </row>
    <row r="209" spans="15:59">
      <c r="O209" s="1"/>
      <c r="P209" s="1"/>
      <c r="AA209" s="1"/>
      <c r="AB209" s="1"/>
      <c r="AG209" s="1"/>
      <c r="AH209" s="1"/>
      <c r="AK209" s="1"/>
      <c r="AL209" s="1"/>
      <c r="AM209" s="2"/>
      <c r="AN209" s="2"/>
      <c r="AQ209" s="1"/>
      <c r="BG209" s="1"/>
    </row>
    <row r="210" spans="15:59">
      <c r="O210" s="1"/>
      <c r="P210" s="1"/>
      <c r="AA210" s="1"/>
      <c r="AB210" s="1"/>
      <c r="AG210" s="1"/>
      <c r="AH210" s="1"/>
      <c r="AK210" s="1"/>
      <c r="AL210" s="1"/>
      <c r="AM210" s="2"/>
      <c r="AN210" s="2"/>
      <c r="AQ210" s="1"/>
      <c r="BG210" s="1"/>
    </row>
    <row r="211" spans="15:59">
      <c r="O211" s="1"/>
      <c r="P211" s="1"/>
      <c r="AA211" s="1"/>
      <c r="AB211" s="1"/>
      <c r="AG211" s="1"/>
      <c r="AH211" s="1"/>
      <c r="AK211" s="1"/>
      <c r="AL211" s="1"/>
      <c r="AM211" s="2"/>
      <c r="AN211" s="2"/>
      <c r="AQ211" s="1"/>
      <c r="BG211" s="1"/>
    </row>
    <row r="212" spans="15:59">
      <c r="O212" s="1"/>
      <c r="P212" s="1"/>
      <c r="AA212" s="1"/>
      <c r="AB212" s="1"/>
      <c r="AG212" s="1"/>
      <c r="AH212" s="1"/>
      <c r="AK212" s="1"/>
      <c r="AL212" s="1"/>
      <c r="AM212" s="2"/>
      <c r="AN212" s="2"/>
      <c r="AQ212" s="1"/>
      <c r="BG212" s="1"/>
    </row>
    <row r="213" spans="15:59">
      <c r="O213" s="1"/>
      <c r="P213" s="1"/>
      <c r="AA213" s="1"/>
      <c r="AB213" s="1"/>
      <c r="AG213" s="1"/>
      <c r="AH213" s="1"/>
      <c r="AK213" s="1"/>
      <c r="AL213" s="1"/>
      <c r="AM213" s="2"/>
      <c r="AN213" s="2"/>
      <c r="AQ213" s="1"/>
      <c r="BG213" s="1"/>
    </row>
    <row r="214" spans="15:59">
      <c r="O214" s="1"/>
      <c r="P214" s="1"/>
      <c r="AA214" s="1"/>
      <c r="AB214" s="1"/>
      <c r="AG214" s="1"/>
      <c r="AH214" s="1"/>
      <c r="AK214" s="1"/>
      <c r="AL214" s="1"/>
      <c r="AM214" s="2"/>
      <c r="AN214" s="2"/>
      <c r="AQ214" s="1"/>
      <c r="BG214" s="1"/>
    </row>
    <row r="215" spans="15:59">
      <c r="O215" s="1"/>
      <c r="P215" s="1"/>
      <c r="AA215" s="1"/>
      <c r="AB215" s="1"/>
      <c r="AG215" s="1"/>
      <c r="AH215" s="1"/>
      <c r="AK215" s="1"/>
      <c r="AL215" s="1"/>
      <c r="AM215" s="2"/>
      <c r="AN215" s="2"/>
      <c r="AQ215" s="1"/>
      <c r="BG215" s="1"/>
    </row>
    <row r="216" spans="15:59">
      <c r="O216" s="1"/>
      <c r="P216" s="1"/>
      <c r="AA216" s="1"/>
      <c r="AB216" s="1"/>
      <c r="AG216" s="1"/>
      <c r="AH216" s="1"/>
      <c r="AK216" s="1"/>
      <c r="AL216" s="1"/>
      <c r="AM216" s="2"/>
      <c r="AN216" s="2"/>
      <c r="AQ216" s="1"/>
      <c r="BG216" s="1"/>
    </row>
    <row r="217" spans="15:59">
      <c r="O217" s="1"/>
      <c r="P217" s="1"/>
      <c r="AA217" s="1"/>
      <c r="AB217" s="1"/>
      <c r="AG217" s="1"/>
      <c r="AH217" s="1"/>
      <c r="AK217" s="1"/>
      <c r="AL217" s="1"/>
      <c r="AM217" s="2"/>
      <c r="AN217" s="2"/>
      <c r="AQ217" s="1"/>
      <c r="BG217" s="1"/>
    </row>
    <row r="218" spans="15:59">
      <c r="O218" s="1"/>
      <c r="P218" s="1"/>
      <c r="AA218" s="1"/>
      <c r="AB218" s="1"/>
      <c r="AG218" s="1"/>
      <c r="AH218" s="1"/>
      <c r="AK218" s="1"/>
      <c r="AL218" s="1"/>
      <c r="AM218" s="2"/>
      <c r="AN218" s="2"/>
      <c r="AQ218" s="1"/>
      <c r="BG218" s="1"/>
    </row>
    <row r="219" spans="15:59">
      <c r="O219" s="1"/>
      <c r="P219" s="1"/>
      <c r="AA219" s="1"/>
      <c r="AB219" s="1"/>
      <c r="AG219" s="1"/>
      <c r="AH219" s="1"/>
      <c r="AK219" s="1"/>
      <c r="AL219" s="1"/>
      <c r="AM219" s="2"/>
      <c r="AN219" s="2"/>
      <c r="AQ219" s="1"/>
      <c r="BG219" s="1"/>
    </row>
    <row r="220" spans="15:59">
      <c r="O220" s="1"/>
      <c r="P220" s="1"/>
      <c r="AA220" s="1"/>
      <c r="AB220" s="1"/>
      <c r="AG220" s="1"/>
      <c r="AH220" s="1"/>
      <c r="AK220" s="1"/>
      <c r="AL220" s="1"/>
      <c r="AM220" s="2"/>
      <c r="AN220" s="2"/>
      <c r="AQ220" s="1"/>
      <c r="BG220" s="1"/>
    </row>
    <row r="221" spans="15:59">
      <c r="O221" s="1"/>
      <c r="P221" s="1"/>
      <c r="AA221" s="1"/>
      <c r="AB221" s="1"/>
      <c r="AG221" s="1"/>
      <c r="AH221" s="1"/>
      <c r="AK221" s="1"/>
      <c r="AL221" s="1"/>
      <c r="AM221" s="2"/>
      <c r="AN221" s="2"/>
      <c r="AQ221" s="1"/>
      <c r="BG221" s="1"/>
    </row>
    <row r="222" spans="15:59">
      <c r="O222" s="1"/>
      <c r="P222" s="1"/>
      <c r="AA222" s="1"/>
      <c r="AB222" s="1"/>
      <c r="AG222" s="1"/>
      <c r="AH222" s="1"/>
      <c r="AK222" s="1"/>
      <c r="AL222" s="1"/>
      <c r="AM222" s="2"/>
      <c r="AN222" s="2"/>
      <c r="AQ222" s="1"/>
      <c r="BG222" s="1"/>
    </row>
    <row r="223" spans="15:59">
      <c r="O223" s="1"/>
      <c r="P223" s="1"/>
      <c r="AA223" s="1"/>
      <c r="AB223" s="1"/>
      <c r="AG223" s="1"/>
      <c r="AH223" s="1"/>
      <c r="AK223" s="1"/>
      <c r="AL223" s="1"/>
      <c r="AM223" s="2"/>
      <c r="AN223" s="2"/>
      <c r="AQ223" s="1"/>
      <c r="BG223" s="1"/>
    </row>
    <row r="224" spans="15:59">
      <c r="O224" s="1"/>
      <c r="P224" s="1"/>
      <c r="AA224" s="1"/>
      <c r="AB224" s="1"/>
      <c r="AG224" s="1"/>
      <c r="AH224" s="1"/>
      <c r="AK224" s="1"/>
      <c r="AL224" s="1"/>
      <c r="AM224" s="2"/>
      <c r="AN224" s="2"/>
      <c r="AQ224" s="1"/>
      <c r="BG224" s="1"/>
    </row>
    <row r="225" spans="15:59">
      <c r="O225" s="1"/>
      <c r="P225" s="1"/>
      <c r="AA225" s="1"/>
      <c r="AB225" s="1"/>
      <c r="AG225" s="1"/>
      <c r="AH225" s="1"/>
      <c r="AK225" s="1"/>
      <c r="AL225" s="1"/>
      <c r="AM225" s="2"/>
      <c r="AN225" s="2"/>
      <c r="AQ225" s="1"/>
      <c r="BG225" s="1"/>
    </row>
    <row r="226" spans="15:59">
      <c r="O226" s="1"/>
      <c r="P226" s="1"/>
      <c r="AA226" s="1"/>
      <c r="AB226" s="1"/>
      <c r="AG226" s="1"/>
      <c r="AH226" s="1"/>
      <c r="AK226" s="1"/>
      <c r="AL226" s="1"/>
      <c r="AM226" s="2"/>
      <c r="AN226" s="2"/>
      <c r="AQ226" s="1"/>
      <c r="BG226" s="1"/>
    </row>
    <row r="227" spans="15:59">
      <c r="O227" s="1"/>
      <c r="P227" s="1"/>
      <c r="AA227" s="1"/>
      <c r="AB227" s="1"/>
      <c r="AG227" s="1"/>
      <c r="AH227" s="1"/>
      <c r="AK227" s="1"/>
      <c r="AL227" s="1"/>
      <c r="AM227" s="2"/>
      <c r="AN227" s="2"/>
      <c r="AQ227" s="1"/>
      <c r="BG227" s="1"/>
    </row>
    <row r="228" spans="15:59">
      <c r="O228" s="1"/>
      <c r="P228" s="1"/>
      <c r="AA228" s="1"/>
      <c r="AB228" s="1"/>
      <c r="AG228" s="1"/>
      <c r="AH228" s="1"/>
      <c r="AK228" s="1"/>
      <c r="AL228" s="1"/>
      <c r="AM228" s="2"/>
      <c r="AN228" s="2"/>
      <c r="AQ228" s="1"/>
      <c r="BG228" s="1"/>
    </row>
    <row r="229" spans="15:59">
      <c r="O229" s="1"/>
      <c r="P229" s="1"/>
      <c r="AA229" s="1"/>
      <c r="AB229" s="1"/>
      <c r="AG229" s="1"/>
      <c r="AH229" s="1"/>
      <c r="AK229" s="1"/>
      <c r="AL229" s="1"/>
      <c r="AM229" s="2"/>
      <c r="AN229" s="2"/>
      <c r="AQ229" s="1"/>
      <c r="BG229" s="1"/>
    </row>
    <row r="230" spans="15:59">
      <c r="O230" s="1"/>
      <c r="P230" s="1"/>
      <c r="AA230" s="1"/>
      <c r="AB230" s="1"/>
      <c r="AG230" s="1"/>
      <c r="AH230" s="1"/>
      <c r="AK230" s="1"/>
      <c r="AL230" s="1"/>
      <c r="AM230" s="2"/>
      <c r="AN230" s="2"/>
      <c r="AQ230" s="1"/>
      <c r="BG230" s="1"/>
    </row>
    <row r="231" spans="15:59">
      <c r="O231" s="1"/>
      <c r="P231" s="1"/>
      <c r="AA231" s="1"/>
      <c r="AB231" s="1"/>
      <c r="AG231" s="1"/>
      <c r="AH231" s="1"/>
      <c r="AK231" s="1"/>
      <c r="AL231" s="1"/>
      <c r="AM231" s="2"/>
      <c r="AN231" s="2"/>
      <c r="AQ231" s="1"/>
      <c r="BG231" s="1"/>
    </row>
    <row r="232" spans="15:59">
      <c r="O232" s="1"/>
      <c r="P232" s="1"/>
      <c r="AA232" s="1"/>
      <c r="AB232" s="1"/>
      <c r="AG232" s="1"/>
      <c r="AH232" s="1"/>
      <c r="AK232" s="1"/>
      <c r="AL232" s="1"/>
      <c r="AM232" s="2"/>
      <c r="AN232" s="2"/>
      <c r="AQ232" s="1"/>
      <c r="BG232" s="1"/>
    </row>
    <row r="233" spans="15:59">
      <c r="O233" s="1"/>
      <c r="P233" s="1"/>
      <c r="AA233" s="1"/>
      <c r="AB233" s="1"/>
      <c r="AG233" s="1"/>
      <c r="AH233" s="1"/>
      <c r="AK233" s="1"/>
      <c r="AL233" s="1"/>
      <c r="AM233" s="2"/>
      <c r="AN233" s="2"/>
      <c r="AQ233" s="1"/>
      <c r="BG233" s="1"/>
    </row>
    <row r="234" spans="15:59">
      <c r="O234" s="1"/>
      <c r="P234" s="1"/>
      <c r="AA234" s="1"/>
      <c r="AB234" s="1"/>
      <c r="AG234" s="1"/>
      <c r="AH234" s="1"/>
      <c r="AK234" s="1"/>
      <c r="AL234" s="1"/>
      <c r="AM234" s="2"/>
      <c r="AN234" s="2"/>
      <c r="AQ234" s="1"/>
      <c r="BG234" s="1"/>
    </row>
    <row r="235" spans="15:59">
      <c r="O235" s="1"/>
      <c r="P235" s="1"/>
      <c r="AA235" s="1"/>
      <c r="AB235" s="1"/>
      <c r="AG235" s="1"/>
      <c r="AH235" s="1"/>
      <c r="AK235" s="1"/>
      <c r="AL235" s="1"/>
      <c r="AM235" s="2"/>
      <c r="AN235" s="2"/>
      <c r="AQ235" s="1"/>
      <c r="BG235" s="1"/>
    </row>
    <row r="236" spans="15:59">
      <c r="O236" s="1"/>
      <c r="P236" s="1"/>
      <c r="AA236" s="1"/>
      <c r="AB236" s="1"/>
      <c r="AG236" s="1"/>
      <c r="AH236" s="1"/>
      <c r="AK236" s="1"/>
      <c r="AL236" s="1"/>
      <c r="AM236" s="2"/>
      <c r="AN236" s="2"/>
      <c r="AQ236" s="1"/>
      <c r="BG236" s="1"/>
    </row>
    <row r="237" spans="15:59">
      <c r="O237" s="1"/>
      <c r="P237" s="1"/>
      <c r="AA237" s="1"/>
      <c r="AB237" s="1"/>
      <c r="AG237" s="1"/>
      <c r="AH237" s="1"/>
      <c r="AK237" s="1"/>
      <c r="AL237" s="1"/>
      <c r="AM237" s="2"/>
      <c r="AN237" s="2"/>
      <c r="AQ237" s="1"/>
      <c r="BG237" s="1"/>
    </row>
    <row r="238" spans="15:59">
      <c r="O238" s="1"/>
      <c r="P238" s="1"/>
      <c r="AA238" s="1"/>
      <c r="AB238" s="1"/>
      <c r="AG238" s="1"/>
      <c r="AH238" s="1"/>
      <c r="AK238" s="1"/>
      <c r="AL238" s="1"/>
      <c r="AM238" s="2"/>
      <c r="AN238" s="2"/>
      <c r="AQ238" s="1"/>
      <c r="BG238" s="1"/>
    </row>
    <row r="239" spans="15:59">
      <c r="O239" s="1"/>
      <c r="P239" s="1"/>
      <c r="AA239" s="1"/>
      <c r="AB239" s="1"/>
      <c r="AG239" s="1"/>
      <c r="AH239" s="1"/>
      <c r="AK239" s="1"/>
      <c r="AL239" s="1"/>
      <c r="AM239" s="2"/>
      <c r="AN239" s="2"/>
      <c r="AQ239" s="1"/>
      <c r="BG239" s="1"/>
    </row>
    <row r="240" spans="15:59">
      <c r="O240" s="1"/>
      <c r="P240" s="1"/>
      <c r="AA240" s="1"/>
      <c r="AB240" s="1"/>
      <c r="AG240" s="1"/>
      <c r="AH240" s="1"/>
      <c r="AK240" s="1"/>
      <c r="AL240" s="1"/>
      <c r="AM240" s="2"/>
      <c r="AN240" s="2"/>
      <c r="AQ240" s="1"/>
      <c r="BG240" s="1"/>
    </row>
    <row r="241" spans="15:59">
      <c r="O241" s="1"/>
      <c r="P241" s="1"/>
      <c r="AA241" s="1"/>
      <c r="AB241" s="1"/>
      <c r="AG241" s="1"/>
      <c r="AH241" s="1"/>
      <c r="AK241" s="1"/>
      <c r="AL241" s="1"/>
      <c r="AM241" s="2"/>
      <c r="AN241" s="2"/>
      <c r="AQ241" s="1"/>
      <c r="BG241" s="1"/>
    </row>
    <row r="242" spans="15:59">
      <c r="O242" s="1"/>
      <c r="P242" s="1"/>
      <c r="AA242" s="1"/>
      <c r="AB242" s="1"/>
      <c r="AG242" s="1"/>
      <c r="AH242" s="1"/>
      <c r="AK242" s="1"/>
      <c r="AL242" s="1"/>
      <c r="AM242" s="2"/>
      <c r="AN242" s="2"/>
      <c r="AQ242" s="1"/>
      <c r="BG242" s="1"/>
    </row>
    <row r="243" spans="15:59">
      <c r="O243" s="1"/>
      <c r="P243" s="1"/>
      <c r="AA243" s="1"/>
      <c r="AB243" s="1"/>
      <c r="AG243" s="1"/>
      <c r="AH243" s="1"/>
      <c r="AK243" s="1"/>
      <c r="AL243" s="1"/>
      <c r="AM243" s="2"/>
      <c r="AN243" s="2"/>
      <c r="AQ243" s="1"/>
      <c r="BG243" s="1"/>
    </row>
    <row r="244" spans="15:59">
      <c r="O244" s="1"/>
      <c r="P244" s="1"/>
      <c r="AA244" s="1"/>
      <c r="AB244" s="1"/>
      <c r="AG244" s="1"/>
      <c r="AH244" s="1"/>
      <c r="AK244" s="1"/>
      <c r="AL244" s="1"/>
      <c r="AM244" s="2"/>
      <c r="AN244" s="2"/>
      <c r="AQ244" s="1"/>
      <c r="BG244" s="1"/>
    </row>
    <row r="245" spans="15:59">
      <c r="O245" s="1"/>
      <c r="P245" s="1"/>
      <c r="AA245" s="1"/>
      <c r="AB245" s="1"/>
      <c r="AG245" s="1"/>
      <c r="AH245" s="1"/>
      <c r="AK245" s="1"/>
      <c r="AL245" s="1"/>
      <c r="AM245" s="2"/>
      <c r="AN245" s="2"/>
      <c r="AQ245" s="1"/>
      <c r="BG245" s="1"/>
    </row>
    <row r="246" spans="15:59">
      <c r="O246" s="1"/>
      <c r="P246" s="1"/>
      <c r="AA246" s="1"/>
      <c r="AB246" s="1"/>
      <c r="AG246" s="1"/>
      <c r="AH246" s="1"/>
      <c r="AK246" s="1"/>
      <c r="AL246" s="1"/>
      <c r="AM246" s="2"/>
      <c r="AN246" s="2"/>
      <c r="AQ246" s="1"/>
      <c r="BG246" s="1"/>
    </row>
    <row r="247" spans="15:59">
      <c r="O247" s="1"/>
      <c r="P247" s="1"/>
      <c r="AA247" s="1"/>
      <c r="AB247" s="1"/>
      <c r="AG247" s="1"/>
      <c r="AH247" s="1"/>
      <c r="AK247" s="1"/>
      <c r="AL247" s="1"/>
      <c r="AM247" s="2"/>
      <c r="AN247" s="2"/>
      <c r="AQ247" s="1"/>
      <c r="BG247" s="1"/>
    </row>
    <row r="248" spans="15:59">
      <c r="O248" s="1"/>
      <c r="P248" s="1"/>
      <c r="AA248" s="1"/>
      <c r="AB248" s="1"/>
      <c r="AG248" s="1"/>
      <c r="AH248" s="1"/>
      <c r="AK248" s="1"/>
      <c r="AL248" s="1"/>
      <c r="AM248" s="2"/>
      <c r="AN248" s="2"/>
      <c r="AQ248" s="1"/>
      <c r="BG248" s="1"/>
    </row>
    <row r="249" spans="15:59">
      <c r="O249" s="1"/>
      <c r="P249" s="1"/>
      <c r="AA249" s="1"/>
      <c r="AB249" s="1"/>
      <c r="AG249" s="1"/>
      <c r="AH249" s="1"/>
      <c r="AK249" s="1"/>
      <c r="AL249" s="1"/>
      <c r="AM249" s="2"/>
      <c r="AN249" s="2"/>
      <c r="AQ249" s="1"/>
      <c r="BG249" s="1"/>
    </row>
    <row r="250" spans="15:59">
      <c r="O250" s="1"/>
      <c r="P250" s="1"/>
      <c r="AA250" s="1"/>
      <c r="AB250" s="1"/>
      <c r="AG250" s="1"/>
      <c r="AH250" s="1"/>
      <c r="AK250" s="1"/>
      <c r="AL250" s="1"/>
      <c r="AM250" s="2"/>
      <c r="AN250" s="2"/>
      <c r="AQ250" s="1"/>
      <c r="BG250" s="1"/>
    </row>
    <row r="251" spans="15:59">
      <c r="O251" s="1"/>
      <c r="P251" s="1"/>
      <c r="AA251" s="1"/>
      <c r="AB251" s="1"/>
      <c r="AG251" s="1"/>
      <c r="AH251" s="1"/>
      <c r="AK251" s="1"/>
      <c r="AL251" s="1"/>
      <c r="AM251" s="2"/>
      <c r="AN251" s="2"/>
      <c r="AQ251" s="1"/>
      <c r="BG251" s="1"/>
    </row>
    <row r="252" spans="15:59">
      <c r="O252" s="1"/>
      <c r="P252" s="1"/>
      <c r="AA252" s="1"/>
      <c r="AB252" s="1"/>
      <c r="AG252" s="1"/>
      <c r="AH252" s="1"/>
      <c r="AK252" s="1"/>
      <c r="AL252" s="1"/>
      <c r="AM252" s="2"/>
      <c r="AN252" s="2"/>
      <c r="AQ252" s="1"/>
      <c r="BG252" s="1"/>
    </row>
    <row r="253" spans="15:59">
      <c r="O253" s="1"/>
      <c r="P253" s="1"/>
      <c r="AA253" s="1"/>
      <c r="AB253" s="1"/>
      <c r="AG253" s="1"/>
      <c r="AH253" s="1"/>
      <c r="AK253" s="1"/>
      <c r="AL253" s="1"/>
      <c r="AM253" s="2"/>
      <c r="AN253" s="2"/>
      <c r="AQ253" s="1"/>
      <c r="BG253" s="1"/>
    </row>
    <row r="254" spans="15:59">
      <c r="O254" s="1"/>
      <c r="P254" s="1"/>
      <c r="AA254" s="1"/>
      <c r="AB254" s="1"/>
      <c r="AG254" s="1"/>
      <c r="AH254" s="1"/>
      <c r="AK254" s="1"/>
      <c r="AL254" s="1"/>
      <c r="AM254" s="2"/>
      <c r="AN254" s="2"/>
      <c r="AQ254" s="1"/>
      <c r="BG254" s="1"/>
    </row>
    <row r="255" spans="15:59">
      <c r="O255" s="1"/>
      <c r="P255" s="1"/>
      <c r="AA255" s="1"/>
      <c r="AB255" s="1"/>
      <c r="AG255" s="1"/>
      <c r="AH255" s="1"/>
      <c r="AK255" s="1"/>
      <c r="AL255" s="1"/>
      <c r="AM255" s="2"/>
      <c r="AN255" s="2"/>
      <c r="AQ255" s="1"/>
      <c r="BG255" s="1"/>
    </row>
    <row r="256" spans="15:59">
      <c r="O256" s="1"/>
      <c r="P256" s="1"/>
      <c r="AA256" s="1"/>
      <c r="AB256" s="1"/>
      <c r="AG256" s="1"/>
      <c r="AH256" s="1"/>
      <c r="AK256" s="1"/>
      <c r="AL256" s="1"/>
      <c r="AM256" s="2"/>
      <c r="AN256" s="2"/>
      <c r="AQ256" s="1"/>
      <c r="BG256" s="1"/>
    </row>
    <row r="257" spans="15:59">
      <c r="O257" s="1"/>
      <c r="P257" s="1"/>
      <c r="AA257" s="1"/>
      <c r="AB257" s="1"/>
      <c r="AG257" s="1"/>
      <c r="AH257" s="1"/>
      <c r="AK257" s="1"/>
      <c r="AL257" s="1"/>
      <c r="AM257" s="2"/>
      <c r="AN257" s="2"/>
      <c r="AQ257" s="1"/>
      <c r="BG257" s="1"/>
    </row>
    <row r="258" spans="15:59">
      <c r="O258" s="1"/>
      <c r="P258" s="1"/>
      <c r="AA258" s="1"/>
      <c r="AB258" s="1"/>
      <c r="AG258" s="1"/>
      <c r="AH258" s="1"/>
      <c r="AK258" s="1"/>
      <c r="AL258" s="1"/>
      <c r="AM258" s="2"/>
      <c r="AN258" s="2"/>
      <c r="AQ258" s="1"/>
      <c r="BG258" s="1"/>
    </row>
    <row r="259" spans="15:59">
      <c r="O259" s="1"/>
      <c r="P259" s="1"/>
      <c r="AA259" s="1"/>
      <c r="AB259" s="1"/>
      <c r="AG259" s="1"/>
      <c r="AH259" s="1"/>
      <c r="AK259" s="1"/>
      <c r="AL259" s="1"/>
      <c r="AM259" s="2"/>
      <c r="AN259" s="2"/>
      <c r="AQ259" s="1"/>
      <c r="BG259" s="1"/>
    </row>
    <row r="260" spans="15:59">
      <c r="O260" s="1"/>
      <c r="P260" s="1"/>
      <c r="AA260" s="1"/>
      <c r="AB260" s="1"/>
      <c r="AG260" s="1"/>
      <c r="AH260" s="1"/>
      <c r="AK260" s="1"/>
      <c r="AL260" s="1"/>
      <c r="AM260" s="2"/>
      <c r="AN260" s="2"/>
      <c r="AQ260" s="1"/>
      <c r="BG260" s="1"/>
    </row>
    <row r="261" spans="15:59">
      <c r="O261" s="1"/>
      <c r="P261" s="1"/>
      <c r="AA261" s="1"/>
      <c r="AB261" s="1"/>
      <c r="AG261" s="1"/>
      <c r="AH261" s="1"/>
      <c r="AK261" s="1"/>
      <c r="AL261" s="1"/>
      <c r="AM261" s="2"/>
      <c r="AN261" s="2"/>
      <c r="AQ261" s="1"/>
      <c r="BG261" s="1"/>
    </row>
    <row r="262" spans="15:59">
      <c r="O262" s="1"/>
      <c r="P262" s="1"/>
      <c r="AA262" s="1"/>
      <c r="AB262" s="1"/>
      <c r="AG262" s="1"/>
      <c r="AH262" s="1"/>
      <c r="AK262" s="1"/>
      <c r="AL262" s="1"/>
      <c r="AM262" s="2"/>
      <c r="AN262" s="2"/>
      <c r="AQ262" s="1"/>
      <c r="BG262" s="1"/>
    </row>
    <row r="263" spans="15:59">
      <c r="O263" s="1"/>
      <c r="P263" s="1"/>
      <c r="AA263" s="1"/>
      <c r="AB263" s="1"/>
      <c r="AG263" s="1"/>
      <c r="AH263" s="1"/>
      <c r="AK263" s="1"/>
      <c r="AL263" s="1"/>
      <c r="AM263" s="2"/>
      <c r="AN263" s="2"/>
      <c r="AQ263" s="1"/>
      <c r="BG263" s="1"/>
    </row>
    <row r="264" spans="15:59">
      <c r="O264" s="1"/>
      <c r="P264" s="1"/>
      <c r="AA264" s="1"/>
      <c r="AB264" s="1"/>
      <c r="AG264" s="1"/>
      <c r="AH264" s="1"/>
      <c r="AK264" s="1"/>
      <c r="AL264" s="1"/>
      <c r="AM264" s="2"/>
      <c r="AN264" s="2"/>
      <c r="AQ264" s="1"/>
      <c r="BG264" s="1"/>
    </row>
    <row r="265" spans="15:59">
      <c r="O265" s="1"/>
      <c r="P265" s="1"/>
      <c r="AA265" s="1"/>
      <c r="AB265" s="1"/>
      <c r="AG265" s="1"/>
      <c r="AH265" s="1"/>
      <c r="AK265" s="1"/>
      <c r="AL265" s="1"/>
      <c r="AM265" s="2"/>
      <c r="AN265" s="2"/>
      <c r="AQ265" s="1"/>
      <c r="BG265" s="1"/>
    </row>
    <row r="266" spans="15:59">
      <c r="O266" s="1"/>
      <c r="P266" s="1"/>
      <c r="AA266" s="1"/>
      <c r="AB266" s="1"/>
      <c r="AG266" s="1"/>
      <c r="AH266" s="1"/>
      <c r="AK266" s="1"/>
      <c r="AL266" s="1"/>
      <c r="AM266" s="2"/>
      <c r="AN266" s="2"/>
      <c r="AQ266" s="1"/>
      <c r="BG266" s="1"/>
    </row>
    <row r="267" spans="15:59">
      <c r="O267" s="1"/>
      <c r="P267" s="1"/>
      <c r="AA267" s="1"/>
      <c r="AB267" s="1"/>
      <c r="AG267" s="1"/>
      <c r="AH267" s="1"/>
      <c r="AK267" s="1"/>
      <c r="AL267" s="1"/>
      <c r="AM267" s="2"/>
      <c r="AN267" s="2"/>
      <c r="AQ267" s="1"/>
      <c r="BG267" s="1"/>
    </row>
    <row r="268" spans="15:59">
      <c r="O268" s="1"/>
      <c r="P268" s="1"/>
      <c r="AA268" s="1"/>
      <c r="AB268" s="1"/>
      <c r="AG268" s="1"/>
      <c r="AH268" s="1"/>
      <c r="AK268" s="1"/>
      <c r="AL268" s="1"/>
      <c r="AM268" s="2"/>
      <c r="AN268" s="2"/>
      <c r="AQ268" s="1"/>
      <c r="BG268" s="1"/>
    </row>
    <row r="269" spans="15:59">
      <c r="O269" s="1"/>
      <c r="P269" s="1"/>
      <c r="AA269" s="1"/>
      <c r="AB269" s="1"/>
      <c r="AG269" s="1"/>
      <c r="AH269" s="1"/>
      <c r="AK269" s="1"/>
      <c r="AL269" s="1"/>
      <c r="AM269" s="2"/>
      <c r="AN269" s="2"/>
      <c r="AQ269" s="1"/>
      <c r="BG269" s="1"/>
    </row>
    <row r="270" spans="15:59">
      <c r="O270" s="1"/>
      <c r="P270" s="1"/>
      <c r="AA270" s="1"/>
      <c r="AB270" s="1"/>
      <c r="AG270" s="1"/>
      <c r="AH270" s="1"/>
      <c r="AK270" s="1"/>
      <c r="AL270" s="1"/>
      <c r="AM270" s="2"/>
      <c r="AN270" s="2"/>
      <c r="AQ270" s="1"/>
      <c r="BG270" s="1"/>
    </row>
    <row r="271" spans="15:59">
      <c r="O271" s="1"/>
      <c r="P271" s="1"/>
      <c r="AA271" s="1"/>
      <c r="AB271" s="1"/>
      <c r="AG271" s="1"/>
      <c r="AH271" s="1"/>
      <c r="AK271" s="1"/>
      <c r="AL271" s="1"/>
      <c r="AM271" s="2"/>
      <c r="AN271" s="2"/>
      <c r="AQ271" s="1"/>
      <c r="BG271" s="1"/>
    </row>
    <row r="272" spans="15:59">
      <c r="O272" s="1"/>
      <c r="P272" s="1"/>
      <c r="AA272" s="1"/>
      <c r="AB272" s="1"/>
      <c r="AG272" s="1"/>
      <c r="AH272" s="1"/>
      <c r="AK272" s="1"/>
      <c r="AL272" s="1"/>
      <c r="AM272" s="2"/>
      <c r="AN272" s="2"/>
      <c r="AQ272" s="1"/>
      <c r="BG272" s="1"/>
    </row>
    <row r="273" spans="15:59">
      <c r="O273" s="1"/>
      <c r="P273" s="1"/>
      <c r="AA273" s="1"/>
      <c r="AB273" s="1"/>
      <c r="AG273" s="1"/>
      <c r="AH273" s="1"/>
      <c r="AK273" s="1"/>
      <c r="AL273" s="1"/>
      <c r="AM273" s="2"/>
      <c r="AN273" s="2"/>
      <c r="AQ273" s="1"/>
      <c r="BG273" s="1"/>
    </row>
    <row r="274" spans="15:59">
      <c r="O274" s="1"/>
      <c r="P274" s="1"/>
      <c r="AA274" s="1"/>
      <c r="AB274" s="1"/>
      <c r="AG274" s="1"/>
      <c r="AH274" s="1"/>
      <c r="AK274" s="1"/>
      <c r="AL274" s="1"/>
      <c r="AM274" s="2"/>
      <c r="AN274" s="2"/>
      <c r="AQ274" s="1"/>
      <c r="BG274" s="1"/>
    </row>
    <row r="275" spans="15:59">
      <c r="O275" s="1"/>
      <c r="P275" s="1"/>
      <c r="AA275" s="1"/>
      <c r="AB275" s="1"/>
      <c r="AG275" s="1"/>
      <c r="AH275" s="1"/>
      <c r="AK275" s="1"/>
      <c r="AL275" s="1"/>
      <c r="AM275" s="2"/>
      <c r="AN275" s="2"/>
      <c r="AQ275" s="1"/>
      <c r="BG275" s="1"/>
    </row>
    <row r="276" spans="15:59">
      <c r="O276" s="1"/>
      <c r="P276" s="1"/>
      <c r="AA276" s="1"/>
      <c r="AB276" s="1"/>
      <c r="AG276" s="1"/>
      <c r="AH276" s="1"/>
      <c r="AK276" s="1"/>
      <c r="AL276" s="1"/>
      <c r="AM276" s="2"/>
      <c r="AN276" s="2"/>
      <c r="AQ276" s="1"/>
      <c r="BG276" s="1"/>
    </row>
    <row r="277" spans="15:59">
      <c r="O277" s="1"/>
      <c r="P277" s="1"/>
      <c r="AA277" s="1"/>
      <c r="AB277" s="1"/>
      <c r="AG277" s="1"/>
      <c r="AH277" s="1"/>
      <c r="AK277" s="1"/>
      <c r="AL277" s="1"/>
      <c r="AM277" s="2"/>
      <c r="AN277" s="2"/>
      <c r="AQ277" s="1"/>
      <c r="BG277" s="1"/>
    </row>
    <row r="278" spans="15:59">
      <c r="O278" s="1"/>
      <c r="P278" s="1"/>
      <c r="AA278" s="1"/>
      <c r="AB278" s="1"/>
      <c r="AG278" s="1"/>
      <c r="AH278" s="1"/>
      <c r="AK278" s="1"/>
      <c r="AL278" s="1"/>
      <c r="AM278" s="2"/>
      <c r="AN278" s="2"/>
      <c r="AQ278" s="1"/>
      <c r="BG278" s="1"/>
    </row>
    <row r="279" spans="15:59">
      <c r="O279" s="1"/>
      <c r="P279" s="1"/>
      <c r="AA279" s="1"/>
      <c r="AB279" s="1"/>
      <c r="AG279" s="1"/>
      <c r="AH279" s="1"/>
      <c r="AK279" s="1"/>
      <c r="AL279" s="1"/>
      <c r="AM279" s="2"/>
      <c r="AN279" s="2"/>
      <c r="AQ279" s="1"/>
      <c r="BG279" s="1"/>
    </row>
    <row r="280" spans="15:59">
      <c r="O280" s="1"/>
      <c r="P280" s="1"/>
      <c r="AA280" s="1"/>
      <c r="AB280" s="1"/>
      <c r="AG280" s="1"/>
      <c r="AH280" s="1"/>
      <c r="AK280" s="1"/>
      <c r="AL280" s="1"/>
      <c r="AM280" s="2"/>
      <c r="AN280" s="2"/>
      <c r="AQ280" s="1"/>
      <c r="BG280" s="1"/>
    </row>
    <row r="281" spans="15:59">
      <c r="O281" s="1"/>
      <c r="P281" s="1"/>
      <c r="AA281" s="1"/>
      <c r="AB281" s="1"/>
      <c r="AG281" s="1"/>
      <c r="AH281" s="1"/>
      <c r="AK281" s="1"/>
      <c r="AL281" s="1"/>
      <c r="AM281" s="2"/>
      <c r="AN281" s="2"/>
      <c r="AQ281" s="1"/>
      <c r="BG281" s="1"/>
    </row>
    <row r="282" spans="15:59">
      <c r="O282" s="1"/>
      <c r="P282" s="1"/>
      <c r="AA282" s="1"/>
      <c r="AB282" s="1"/>
      <c r="AG282" s="1"/>
      <c r="AH282" s="1"/>
      <c r="AK282" s="1"/>
      <c r="AL282" s="1"/>
      <c r="AM282" s="2"/>
      <c r="AN282" s="2"/>
      <c r="AQ282" s="1"/>
      <c r="BG282" s="1"/>
    </row>
    <row r="283" spans="15:59">
      <c r="O283" s="1"/>
      <c r="P283" s="1"/>
      <c r="AA283" s="1"/>
      <c r="AB283" s="1"/>
      <c r="AG283" s="1"/>
      <c r="AH283" s="1"/>
      <c r="AK283" s="1"/>
      <c r="AL283" s="1"/>
      <c r="AM283" s="2"/>
      <c r="AN283" s="2"/>
      <c r="AQ283" s="1"/>
      <c r="BG283" s="1"/>
    </row>
    <row r="284" spans="15:59">
      <c r="O284" s="1"/>
      <c r="P284" s="1"/>
      <c r="AA284" s="1"/>
      <c r="AB284" s="1"/>
      <c r="AG284" s="1"/>
      <c r="AH284" s="1"/>
      <c r="AK284" s="1"/>
      <c r="AL284" s="1"/>
      <c r="AM284" s="2"/>
      <c r="AN284" s="2"/>
      <c r="AQ284" s="1"/>
      <c r="BG284" s="1"/>
    </row>
    <row r="285" spans="15:59">
      <c r="O285" s="1"/>
      <c r="P285" s="1"/>
      <c r="AA285" s="1"/>
      <c r="AB285" s="1"/>
      <c r="AG285" s="1"/>
      <c r="AH285" s="1"/>
      <c r="AK285" s="1"/>
      <c r="AL285" s="1"/>
      <c r="AM285" s="2"/>
      <c r="AN285" s="2"/>
      <c r="AQ285" s="1"/>
      <c r="BG285" s="1"/>
    </row>
    <row r="286" spans="15:59">
      <c r="O286" s="1"/>
      <c r="P286" s="1"/>
      <c r="AA286" s="1"/>
      <c r="AB286" s="1"/>
      <c r="AG286" s="1"/>
      <c r="AH286" s="1"/>
      <c r="AK286" s="1"/>
      <c r="AL286" s="1"/>
      <c r="AM286" s="2"/>
      <c r="AN286" s="2"/>
      <c r="AQ286" s="1"/>
      <c r="BG286" s="1"/>
    </row>
    <row r="287" spans="15:59">
      <c r="O287" s="1"/>
      <c r="P287" s="1"/>
      <c r="AA287" s="1"/>
      <c r="AB287" s="1"/>
      <c r="AG287" s="1"/>
      <c r="AH287" s="1"/>
      <c r="AK287" s="1"/>
      <c r="AL287" s="1"/>
      <c r="AM287" s="2"/>
      <c r="AN287" s="2"/>
      <c r="AQ287" s="1"/>
      <c r="BG287" s="1"/>
    </row>
    <row r="288" spans="15:59">
      <c r="O288" s="1"/>
      <c r="P288" s="1"/>
      <c r="AA288" s="1"/>
      <c r="AB288" s="1"/>
      <c r="AG288" s="1"/>
      <c r="AH288" s="1"/>
      <c r="AK288" s="1"/>
      <c r="AL288" s="1"/>
      <c r="AM288" s="2"/>
      <c r="AN288" s="2"/>
      <c r="AQ288" s="1"/>
      <c r="BG288" s="1"/>
    </row>
    <row r="289" spans="15:59">
      <c r="O289" s="1"/>
      <c r="P289" s="1"/>
      <c r="AA289" s="1"/>
      <c r="AB289" s="1"/>
      <c r="AG289" s="1"/>
      <c r="AH289" s="1"/>
      <c r="AK289" s="1"/>
      <c r="AL289" s="1"/>
      <c r="AM289" s="2"/>
      <c r="AN289" s="2"/>
      <c r="AQ289" s="1"/>
      <c r="BG289" s="1"/>
    </row>
    <row r="290" spans="15:59">
      <c r="O290" s="1"/>
      <c r="P290" s="1"/>
      <c r="AA290" s="1"/>
      <c r="AB290" s="1"/>
      <c r="AG290" s="1"/>
      <c r="AH290" s="1"/>
      <c r="AK290" s="1"/>
      <c r="AL290" s="1"/>
      <c r="AM290" s="2"/>
      <c r="AN290" s="2"/>
      <c r="AQ290" s="1"/>
      <c r="BG290" s="1"/>
    </row>
    <row r="291" spans="15:59">
      <c r="O291" s="1"/>
      <c r="P291" s="1"/>
      <c r="AA291" s="1"/>
      <c r="AB291" s="1"/>
      <c r="AG291" s="1"/>
      <c r="AH291" s="1"/>
      <c r="AK291" s="1"/>
      <c r="AL291" s="1"/>
      <c r="AM291" s="2"/>
      <c r="AN291" s="2"/>
      <c r="AQ291" s="1"/>
      <c r="BG291" s="1"/>
    </row>
    <row r="292" spans="15:59">
      <c r="O292" s="1"/>
      <c r="P292" s="1"/>
      <c r="AA292" s="1"/>
      <c r="AB292" s="1"/>
      <c r="AG292" s="1"/>
      <c r="AH292" s="1"/>
      <c r="AK292" s="1"/>
      <c r="AL292" s="1"/>
      <c r="AM292" s="2"/>
      <c r="AN292" s="2"/>
      <c r="AQ292" s="1"/>
      <c r="BG292" s="1"/>
    </row>
    <row r="293" spans="15:59">
      <c r="O293" s="1"/>
      <c r="P293" s="1"/>
      <c r="AA293" s="1"/>
      <c r="AB293" s="1"/>
      <c r="AG293" s="1"/>
      <c r="AH293" s="1"/>
      <c r="AK293" s="1"/>
      <c r="AL293" s="1"/>
      <c r="AM293" s="2"/>
      <c r="AN293" s="2"/>
      <c r="AQ293" s="1"/>
      <c r="BG293" s="1"/>
    </row>
    <row r="294" spans="15:59">
      <c r="O294" s="1"/>
      <c r="P294" s="1"/>
      <c r="AA294" s="1"/>
      <c r="AB294" s="1"/>
      <c r="AG294" s="1"/>
      <c r="AH294" s="1"/>
      <c r="AK294" s="1"/>
      <c r="AL294" s="1"/>
      <c r="AM294" s="2"/>
      <c r="AN294" s="2"/>
      <c r="AQ294" s="1"/>
      <c r="BG294" s="1"/>
    </row>
    <row r="295" spans="15:59">
      <c r="O295" s="1"/>
      <c r="P295" s="1"/>
      <c r="AA295" s="1"/>
      <c r="AB295" s="1"/>
      <c r="AG295" s="1"/>
      <c r="AH295" s="1"/>
      <c r="AK295" s="1"/>
      <c r="AL295" s="1"/>
      <c r="AM295" s="2"/>
      <c r="AN295" s="2"/>
      <c r="AQ295" s="1"/>
      <c r="BG295" s="1"/>
    </row>
    <row r="296" spans="15:59">
      <c r="O296" s="1"/>
      <c r="P296" s="1"/>
      <c r="AA296" s="1"/>
      <c r="AB296" s="1"/>
      <c r="AG296" s="1"/>
      <c r="AH296" s="1"/>
      <c r="AK296" s="1"/>
      <c r="AL296" s="1"/>
      <c r="AM296" s="2"/>
      <c r="AN296" s="2"/>
      <c r="AQ296" s="1"/>
      <c r="BG296" s="1"/>
    </row>
    <row r="297" spans="15:59">
      <c r="O297" s="1"/>
      <c r="P297" s="1"/>
      <c r="AA297" s="1"/>
      <c r="AB297" s="1"/>
      <c r="AG297" s="1"/>
      <c r="AH297" s="1"/>
      <c r="AK297" s="1"/>
      <c r="AL297" s="1"/>
      <c r="AM297" s="2"/>
      <c r="AN297" s="2"/>
      <c r="AQ297" s="1"/>
      <c r="BG297" s="1"/>
    </row>
    <row r="298" spans="15:59">
      <c r="O298" s="1"/>
      <c r="P298" s="1"/>
      <c r="AA298" s="1"/>
      <c r="AB298" s="1"/>
      <c r="AG298" s="1"/>
      <c r="AH298" s="1"/>
      <c r="AK298" s="1"/>
      <c r="AL298" s="1"/>
      <c r="AM298" s="2"/>
      <c r="AN298" s="2"/>
      <c r="AQ298" s="1"/>
      <c r="BG298" s="1"/>
    </row>
    <row r="299" spans="15:59">
      <c r="O299" s="1"/>
      <c r="P299" s="1"/>
      <c r="AA299" s="1"/>
      <c r="AB299" s="1"/>
      <c r="AG299" s="1"/>
      <c r="AH299" s="1"/>
      <c r="AK299" s="1"/>
      <c r="AL299" s="1"/>
      <c r="AM299" s="2"/>
      <c r="AN299" s="2"/>
      <c r="AQ299" s="1"/>
      <c r="BG299" s="1"/>
    </row>
    <row r="300" spans="15:59">
      <c r="O300" s="1"/>
      <c r="P300" s="1"/>
      <c r="AA300" s="1"/>
      <c r="AB300" s="1"/>
      <c r="AG300" s="1"/>
      <c r="AH300" s="1"/>
      <c r="AK300" s="1"/>
      <c r="AL300" s="1"/>
      <c r="AM300" s="2"/>
      <c r="AN300" s="2"/>
      <c r="AQ300" s="1"/>
      <c r="BG300" s="1"/>
    </row>
    <row r="301" spans="15:59">
      <c r="O301" s="1"/>
      <c r="P301" s="1"/>
      <c r="AA301" s="1"/>
      <c r="AB301" s="1"/>
      <c r="AG301" s="1"/>
      <c r="AH301" s="1"/>
      <c r="AK301" s="1"/>
      <c r="AL301" s="1"/>
      <c r="AM301" s="2"/>
      <c r="AN301" s="2"/>
      <c r="AQ301" s="1"/>
      <c r="BG301" s="1"/>
    </row>
    <row r="302" spans="15:59">
      <c r="O302" s="1"/>
      <c r="P302" s="1"/>
      <c r="AA302" s="1"/>
      <c r="AB302" s="1"/>
      <c r="AG302" s="1"/>
      <c r="AH302" s="1"/>
      <c r="AK302" s="1"/>
      <c r="AL302" s="1"/>
      <c r="AM302" s="2"/>
      <c r="AN302" s="2"/>
      <c r="AQ302" s="1"/>
      <c r="BG302" s="1"/>
    </row>
    <row r="303" spans="15:59">
      <c r="O303" s="1"/>
      <c r="P303" s="1"/>
      <c r="AA303" s="1"/>
      <c r="AB303" s="1"/>
      <c r="AG303" s="1"/>
      <c r="AH303" s="1"/>
      <c r="AK303" s="1"/>
      <c r="AL303" s="1"/>
      <c r="AM303" s="2"/>
      <c r="AN303" s="2"/>
      <c r="AQ303" s="1"/>
      <c r="BG303" s="1"/>
    </row>
    <row r="304" spans="15:59">
      <c r="O304" s="1"/>
      <c r="P304" s="1"/>
      <c r="AA304" s="1"/>
      <c r="AB304" s="1"/>
      <c r="AG304" s="1"/>
      <c r="AH304" s="1"/>
      <c r="AK304" s="1"/>
      <c r="AL304" s="1"/>
      <c r="AM304" s="2"/>
      <c r="AN304" s="2"/>
      <c r="AQ304" s="1"/>
      <c r="BG304" s="1"/>
    </row>
    <row r="305" spans="15:59">
      <c r="O305" s="1"/>
      <c r="P305" s="1"/>
      <c r="AA305" s="1"/>
      <c r="AB305" s="1"/>
      <c r="AG305" s="1"/>
      <c r="AH305" s="1"/>
      <c r="AK305" s="1"/>
      <c r="AL305" s="1"/>
      <c r="AM305" s="2"/>
      <c r="AN305" s="2"/>
      <c r="AQ305" s="1"/>
      <c r="BG305" s="1"/>
    </row>
    <row r="306" spans="15:59">
      <c r="O306" s="1"/>
      <c r="P306" s="1"/>
      <c r="AA306" s="1"/>
      <c r="AB306" s="1"/>
      <c r="AG306" s="1"/>
      <c r="AH306" s="1"/>
      <c r="AK306" s="1"/>
      <c r="AL306" s="1"/>
      <c r="AM306" s="2"/>
      <c r="AN306" s="2"/>
      <c r="AQ306" s="1"/>
      <c r="BG306" s="1"/>
    </row>
    <row r="307" spans="15:59">
      <c r="O307" s="1"/>
      <c r="P307" s="1"/>
      <c r="AA307" s="1"/>
      <c r="AB307" s="1"/>
      <c r="AG307" s="1"/>
      <c r="AH307" s="1"/>
      <c r="AK307" s="1"/>
      <c r="AL307" s="1"/>
      <c r="AM307" s="2"/>
      <c r="AN307" s="2"/>
      <c r="AQ307" s="1"/>
      <c r="BG307" s="1"/>
    </row>
    <row r="308" spans="15:59">
      <c r="O308" s="1"/>
      <c r="P308" s="1"/>
      <c r="AA308" s="1"/>
      <c r="AB308" s="1"/>
      <c r="AG308" s="1"/>
      <c r="AH308" s="1"/>
      <c r="AK308" s="1"/>
      <c r="AL308" s="1"/>
      <c r="AM308" s="2"/>
      <c r="AN308" s="2"/>
      <c r="AQ308" s="1"/>
      <c r="BG308" s="1"/>
    </row>
    <row r="309" spans="15:59">
      <c r="O309" s="1"/>
      <c r="P309" s="1"/>
      <c r="AA309" s="1"/>
      <c r="AB309" s="1"/>
      <c r="AG309" s="1"/>
      <c r="AH309" s="1"/>
      <c r="AK309" s="1"/>
      <c r="AL309" s="1"/>
      <c r="AM309" s="2"/>
      <c r="AN309" s="2"/>
      <c r="AQ309" s="1"/>
      <c r="BG309" s="1"/>
    </row>
    <row r="310" spans="15:59">
      <c r="O310" s="1"/>
      <c r="P310" s="1"/>
      <c r="AA310" s="1"/>
      <c r="AB310" s="1"/>
      <c r="AG310" s="1"/>
      <c r="AH310" s="1"/>
      <c r="AK310" s="1"/>
      <c r="AL310" s="1"/>
      <c r="AM310" s="2"/>
      <c r="AN310" s="2"/>
      <c r="AQ310" s="1"/>
      <c r="BG310" s="1"/>
    </row>
    <row r="311" spans="15:59">
      <c r="O311" s="1"/>
      <c r="P311" s="1"/>
      <c r="AA311" s="1"/>
      <c r="AB311" s="1"/>
      <c r="AG311" s="1"/>
      <c r="AH311" s="1"/>
      <c r="AK311" s="1"/>
      <c r="AL311" s="1"/>
      <c r="AM311" s="2"/>
      <c r="AN311" s="2"/>
      <c r="AQ311" s="1"/>
      <c r="BG311" s="1"/>
    </row>
    <row r="312" spans="15:59">
      <c r="O312" s="1"/>
      <c r="P312" s="1"/>
      <c r="AA312" s="1"/>
      <c r="AB312" s="1"/>
      <c r="AG312" s="1"/>
      <c r="AH312" s="1"/>
      <c r="AK312" s="1"/>
      <c r="AL312" s="1"/>
      <c r="AM312" s="2"/>
      <c r="AN312" s="2"/>
      <c r="AQ312" s="1"/>
      <c r="BG312" s="1"/>
    </row>
    <row r="313" spans="15:59">
      <c r="O313" s="1"/>
      <c r="P313" s="1"/>
      <c r="AA313" s="1"/>
      <c r="AB313" s="1"/>
      <c r="AG313" s="1"/>
      <c r="AH313" s="1"/>
      <c r="AK313" s="1"/>
      <c r="AL313" s="1"/>
      <c r="AM313" s="2"/>
      <c r="AN313" s="2"/>
      <c r="AQ313" s="1"/>
      <c r="BG313" s="1"/>
    </row>
    <row r="314" spans="15:59">
      <c r="O314" s="1"/>
      <c r="P314" s="1"/>
      <c r="AA314" s="1"/>
      <c r="AB314" s="1"/>
      <c r="AG314" s="1"/>
      <c r="AH314" s="1"/>
      <c r="AK314" s="1"/>
      <c r="AL314" s="1"/>
      <c r="AM314" s="2"/>
      <c r="AN314" s="2"/>
      <c r="AQ314" s="1"/>
      <c r="BG314" s="1"/>
    </row>
    <row r="315" spans="15:59">
      <c r="O315" s="1"/>
      <c r="P315" s="1"/>
      <c r="AA315" s="1"/>
      <c r="AB315" s="1"/>
      <c r="AG315" s="1"/>
      <c r="AH315" s="1"/>
      <c r="AK315" s="1"/>
      <c r="AL315" s="1"/>
      <c r="AM315" s="2"/>
      <c r="AN315" s="2"/>
      <c r="AQ315" s="1"/>
      <c r="BG315" s="1"/>
    </row>
    <row r="316" spans="15:59">
      <c r="O316" s="1"/>
      <c r="P316" s="1"/>
      <c r="AA316" s="1"/>
      <c r="AB316" s="1"/>
      <c r="AG316" s="1"/>
      <c r="AH316" s="1"/>
      <c r="AK316" s="1"/>
      <c r="AL316" s="1"/>
      <c r="AM316" s="2"/>
      <c r="AN316" s="2"/>
      <c r="AQ316" s="1"/>
      <c r="BG316" s="1"/>
    </row>
    <row r="317" spans="15:59">
      <c r="O317" s="1"/>
      <c r="P317" s="1"/>
      <c r="AA317" s="1"/>
      <c r="AB317" s="1"/>
      <c r="AG317" s="1"/>
      <c r="AH317" s="1"/>
      <c r="AK317" s="1"/>
      <c r="AL317" s="1"/>
      <c r="AM317" s="2"/>
      <c r="AN317" s="2"/>
      <c r="AQ317" s="1"/>
      <c r="BG317" s="1"/>
    </row>
    <row r="318" spans="15:59">
      <c r="O318" s="1"/>
      <c r="P318" s="1"/>
      <c r="AA318" s="1"/>
      <c r="AB318" s="1"/>
      <c r="AG318" s="1"/>
      <c r="AH318" s="1"/>
      <c r="AK318" s="1"/>
      <c r="AL318" s="1"/>
      <c r="AM318" s="2"/>
      <c r="AN318" s="2"/>
      <c r="AQ318" s="1"/>
      <c r="BG318" s="1"/>
    </row>
    <row r="319" spans="15:59">
      <c r="O319" s="1"/>
      <c r="P319" s="1"/>
      <c r="AA319" s="1"/>
      <c r="AB319" s="1"/>
      <c r="AG319" s="1"/>
      <c r="AH319" s="1"/>
      <c r="AK319" s="1"/>
      <c r="AL319" s="1"/>
      <c r="AM319" s="2"/>
      <c r="AN319" s="2"/>
      <c r="AQ319" s="1"/>
      <c r="BG319" s="1"/>
    </row>
    <row r="320" spans="15:59">
      <c r="O320" s="1"/>
      <c r="P320" s="1"/>
      <c r="AA320" s="1"/>
      <c r="AB320" s="1"/>
      <c r="AG320" s="1"/>
      <c r="AH320" s="1"/>
      <c r="AK320" s="1"/>
      <c r="AL320" s="1"/>
      <c r="AM320" s="2"/>
      <c r="AN320" s="2"/>
      <c r="AQ320" s="1"/>
      <c r="BG320" s="1"/>
    </row>
    <row r="321" spans="15:59">
      <c r="O321" s="1"/>
      <c r="P321" s="1"/>
      <c r="AA321" s="1"/>
      <c r="AB321" s="1"/>
      <c r="AG321" s="1"/>
      <c r="AH321" s="1"/>
      <c r="AK321" s="1"/>
      <c r="AL321" s="1"/>
      <c r="AM321" s="2"/>
      <c r="AN321" s="2"/>
      <c r="AQ321" s="1"/>
      <c r="BG321" s="1"/>
    </row>
    <row r="322" spans="15:59">
      <c r="O322" s="1"/>
      <c r="P322" s="1"/>
      <c r="AA322" s="1"/>
      <c r="AB322" s="1"/>
      <c r="AG322" s="1"/>
      <c r="AH322" s="1"/>
      <c r="AK322" s="1"/>
      <c r="AL322" s="1"/>
      <c r="AM322" s="2"/>
      <c r="AN322" s="2"/>
      <c r="AQ322" s="1"/>
      <c r="BG322" s="1"/>
    </row>
    <row r="323" spans="15:59">
      <c r="O323" s="1"/>
      <c r="P323" s="1"/>
      <c r="AA323" s="1"/>
      <c r="AB323" s="1"/>
      <c r="AG323" s="1"/>
      <c r="AH323" s="1"/>
      <c r="AK323" s="1"/>
      <c r="AL323" s="1"/>
      <c r="AM323" s="2"/>
      <c r="AN323" s="2"/>
      <c r="AQ323" s="1"/>
      <c r="BG323" s="1"/>
    </row>
    <row r="324" spans="15:59">
      <c r="O324" s="1"/>
      <c r="P324" s="1"/>
      <c r="AA324" s="1"/>
      <c r="AB324" s="1"/>
      <c r="AG324" s="1"/>
      <c r="AH324" s="1"/>
      <c r="AK324" s="1"/>
      <c r="AL324" s="1"/>
      <c r="AM324" s="2"/>
      <c r="AN324" s="2"/>
      <c r="AQ324" s="1"/>
      <c r="BG324" s="1"/>
    </row>
    <row r="325" spans="15:59">
      <c r="O325" s="1"/>
      <c r="P325" s="1"/>
      <c r="AA325" s="1"/>
      <c r="AB325" s="1"/>
      <c r="AG325" s="1"/>
      <c r="AH325" s="1"/>
      <c r="AK325" s="1"/>
      <c r="AL325" s="1"/>
      <c r="AM325" s="2"/>
      <c r="AN325" s="2"/>
      <c r="AQ325" s="1"/>
      <c r="BG325" s="1"/>
    </row>
    <row r="326" spans="15:59">
      <c r="O326" s="1"/>
      <c r="P326" s="1"/>
      <c r="AA326" s="1"/>
      <c r="AB326" s="1"/>
      <c r="AG326" s="1"/>
      <c r="AH326" s="1"/>
      <c r="AK326" s="1"/>
      <c r="AL326" s="1"/>
      <c r="AM326" s="2"/>
      <c r="AN326" s="2"/>
      <c r="AQ326" s="1"/>
      <c r="BG326" s="1"/>
    </row>
    <row r="327" spans="15:59">
      <c r="O327" s="1"/>
      <c r="P327" s="1"/>
      <c r="AA327" s="1"/>
      <c r="AB327" s="1"/>
      <c r="AG327" s="1"/>
      <c r="AH327" s="1"/>
      <c r="AK327" s="1"/>
      <c r="AL327" s="1"/>
      <c r="AM327" s="2"/>
      <c r="AN327" s="2"/>
      <c r="AQ327" s="1"/>
      <c r="BG327" s="1"/>
    </row>
    <row r="328" spans="15:59">
      <c r="O328" s="1"/>
      <c r="P328" s="1"/>
      <c r="AA328" s="1"/>
      <c r="AB328" s="1"/>
      <c r="AG328" s="1"/>
      <c r="AH328" s="1"/>
      <c r="AK328" s="1"/>
      <c r="AL328" s="1"/>
      <c r="AM328" s="2"/>
      <c r="AN328" s="2"/>
      <c r="AQ328" s="1"/>
      <c r="BG328" s="1"/>
    </row>
    <row r="329" spans="15:59">
      <c r="O329" s="1"/>
      <c r="P329" s="1"/>
      <c r="AA329" s="1"/>
      <c r="AB329" s="1"/>
      <c r="AG329" s="1"/>
      <c r="AH329" s="1"/>
      <c r="AK329" s="1"/>
      <c r="AL329" s="1"/>
      <c r="AM329" s="2"/>
      <c r="AN329" s="2"/>
      <c r="AQ329" s="1"/>
      <c r="BG329" s="1"/>
    </row>
    <row r="330" spans="15:59">
      <c r="O330" s="1"/>
      <c r="P330" s="1"/>
      <c r="AA330" s="1"/>
      <c r="AB330" s="1"/>
      <c r="AG330" s="1"/>
      <c r="AH330" s="1"/>
      <c r="AK330" s="1"/>
      <c r="AL330" s="1"/>
      <c r="AM330" s="2"/>
      <c r="AN330" s="2"/>
      <c r="AQ330" s="1"/>
      <c r="BG330" s="1"/>
    </row>
    <row r="331" spans="15:59">
      <c r="O331" s="1"/>
      <c r="P331" s="1"/>
      <c r="AA331" s="1"/>
      <c r="AB331" s="1"/>
      <c r="AG331" s="1"/>
      <c r="AH331" s="1"/>
      <c r="AK331" s="1"/>
      <c r="AL331" s="1"/>
      <c r="AM331" s="2"/>
      <c r="AN331" s="2"/>
      <c r="AQ331" s="1"/>
      <c r="BG331" s="1"/>
    </row>
    <row r="332" spans="15:59">
      <c r="O332" s="1"/>
      <c r="P332" s="1"/>
      <c r="AA332" s="1"/>
      <c r="AB332" s="1"/>
      <c r="AG332" s="1"/>
      <c r="AH332" s="1"/>
      <c r="AK332" s="1"/>
      <c r="AL332" s="1"/>
      <c r="AM332" s="2"/>
      <c r="AN332" s="2"/>
      <c r="AQ332" s="1"/>
      <c r="BG332" s="1"/>
    </row>
    <row r="333" spans="15:59">
      <c r="O333" s="1"/>
      <c r="P333" s="1"/>
      <c r="AA333" s="1"/>
      <c r="AB333" s="1"/>
      <c r="AG333" s="1"/>
      <c r="AH333" s="1"/>
      <c r="AK333" s="1"/>
      <c r="AL333" s="1"/>
      <c r="AM333" s="2"/>
      <c r="AN333" s="2"/>
      <c r="AQ333" s="1"/>
      <c r="BG333" s="1"/>
    </row>
    <row r="334" spans="15:59">
      <c r="O334" s="1"/>
      <c r="P334" s="1"/>
      <c r="AA334" s="1"/>
      <c r="AB334" s="1"/>
      <c r="AG334" s="1"/>
      <c r="AH334" s="1"/>
      <c r="AK334" s="1"/>
      <c r="AL334" s="1"/>
      <c r="AM334" s="2"/>
      <c r="AN334" s="2"/>
      <c r="AQ334" s="1"/>
      <c r="BG334" s="1"/>
    </row>
    <row r="335" spans="15:59">
      <c r="O335" s="1"/>
      <c r="P335" s="1"/>
      <c r="AA335" s="1"/>
      <c r="AB335" s="1"/>
      <c r="AG335" s="1"/>
      <c r="AH335" s="1"/>
      <c r="AK335" s="1"/>
      <c r="AL335" s="1"/>
      <c r="AM335" s="2"/>
      <c r="AN335" s="2"/>
      <c r="AQ335" s="1"/>
      <c r="BG335" s="1"/>
    </row>
    <row r="336" spans="15:59">
      <c r="O336" s="1"/>
      <c r="P336" s="1"/>
      <c r="AA336" s="1"/>
      <c r="AB336" s="1"/>
      <c r="AG336" s="1"/>
      <c r="AH336" s="1"/>
      <c r="AK336" s="1"/>
      <c r="AL336" s="1"/>
      <c r="AM336" s="2"/>
      <c r="AN336" s="2"/>
      <c r="AQ336" s="1"/>
      <c r="BG336" s="1"/>
    </row>
    <row r="337" spans="15:59">
      <c r="O337" s="1"/>
      <c r="P337" s="1"/>
      <c r="AA337" s="1"/>
      <c r="AB337" s="1"/>
      <c r="AG337" s="1"/>
      <c r="AH337" s="1"/>
      <c r="AK337" s="1"/>
      <c r="AL337" s="1"/>
      <c r="AM337" s="2"/>
      <c r="AN337" s="2"/>
      <c r="AQ337" s="1"/>
      <c r="BG337" s="1"/>
    </row>
    <row r="338" spans="15:59">
      <c r="O338" s="1"/>
      <c r="P338" s="1"/>
      <c r="AA338" s="1"/>
      <c r="AB338" s="1"/>
      <c r="AG338" s="1"/>
      <c r="AH338" s="1"/>
      <c r="AK338" s="1"/>
      <c r="AL338" s="1"/>
      <c r="AM338" s="2"/>
      <c r="AN338" s="2"/>
      <c r="AQ338" s="1"/>
      <c r="BG338" s="1"/>
    </row>
    <row r="339" spans="15:59">
      <c r="O339" s="1"/>
      <c r="P339" s="1"/>
      <c r="AA339" s="1"/>
      <c r="AB339" s="1"/>
      <c r="AG339" s="1"/>
      <c r="AH339" s="1"/>
      <c r="AK339" s="1"/>
      <c r="AL339" s="1"/>
      <c r="AM339" s="2"/>
      <c r="AN339" s="2"/>
      <c r="AQ339" s="1"/>
      <c r="BG339" s="1"/>
    </row>
    <row r="340" spans="15:59">
      <c r="O340" s="1"/>
      <c r="P340" s="1"/>
      <c r="AA340" s="1"/>
      <c r="AB340" s="1"/>
      <c r="AG340" s="1"/>
      <c r="AH340" s="1"/>
      <c r="AK340" s="1"/>
      <c r="AL340" s="1"/>
      <c r="AM340" s="2"/>
      <c r="AN340" s="2"/>
      <c r="AQ340" s="1"/>
      <c r="BG340" s="1"/>
    </row>
    <row r="341" spans="15:59">
      <c r="O341" s="1"/>
      <c r="P341" s="1"/>
      <c r="AA341" s="1"/>
      <c r="AB341" s="1"/>
      <c r="AG341" s="1"/>
      <c r="AH341" s="1"/>
      <c r="AK341" s="1"/>
      <c r="AL341" s="1"/>
      <c r="AM341" s="2"/>
      <c r="AN341" s="2"/>
      <c r="AQ341" s="1"/>
      <c r="BG341" s="1"/>
    </row>
    <row r="342" spans="15:59">
      <c r="O342" s="1"/>
      <c r="P342" s="1"/>
      <c r="AA342" s="1"/>
      <c r="AB342" s="1"/>
      <c r="AG342" s="1"/>
      <c r="AH342" s="1"/>
      <c r="AK342" s="1"/>
      <c r="AL342" s="1"/>
      <c r="AM342" s="2"/>
      <c r="AN342" s="2"/>
      <c r="AQ342" s="1"/>
      <c r="BG342" s="1"/>
    </row>
    <row r="343" spans="15:59">
      <c r="O343" s="1"/>
      <c r="P343" s="1"/>
      <c r="AA343" s="1"/>
      <c r="AB343" s="1"/>
      <c r="AG343" s="1"/>
      <c r="AH343" s="1"/>
      <c r="AK343" s="1"/>
      <c r="AL343" s="1"/>
      <c r="AM343" s="2"/>
      <c r="AN343" s="2"/>
      <c r="AQ343" s="1"/>
      <c r="BG343" s="1"/>
    </row>
    <row r="344" spans="15:59">
      <c r="O344" s="1"/>
      <c r="P344" s="1"/>
      <c r="AA344" s="1"/>
      <c r="AB344" s="1"/>
      <c r="AG344" s="1"/>
      <c r="AH344" s="1"/>
      <c r="AK344" s="1"/>
      <c r="AL344" s="1"/>
      <c r="AM344" s="2"/>
      <c r="AN344" s="2"/>
      <c r="AQ344" s="1"/>
      <c r="BG344" s="1"/>
    </row>
    <row r="345" spans="15:59">
      <c r="O345" s="1"/>
      <c r="P345" s="1"/>
      <c r="AA345" s="1"/>
      <c r="AB345" s="1"/>
      <c r="AG345" s="1"/>
      <c r="AH345" s="1"/>
      <c r="AK345" s="1"/>
      <c r="AL345" s="1"/>
      <c r="AM345" s="2"/>
      <c r="AN345" s="2"/>
      <c r="AQ345" s="1"/>
      <c r="BG345" s="1"/>
    </row>
    <row r="346" spans="15:59">
      <c r="O346" s="1"/>
      <c r="P346" s="1"/>
      <c r="AA346" s="1"/>
      <c r="AB346" s="1"/>
      <c r="AG346" s="1"/>
      <c r="AH346" s="1"/>
      <c r="AK346" s="1"/>
      <c r="AL346" s="1"/>
      <c r="AM346" s="2"/>
      <c r="AN346" s="2"/>
      <c r="AQ346" s="1"/>
      <c r="BG346" s="1"/>
    </row>
    <row r="347" spans="15:59">
      <c r="O347" s="1"/>
      <c r="P347" s="1"/>
      <c r="AA347" s="1"/>
      <c r="AB347" s="1"/>
      <c r="AG347" s="1"/>
      <c r="AH347" s="1"/>
      <c r="AK347" s="1"/>
      <c r="AL347" s="1"/>
      <c r="AM347" s="2"/>
      <c r="AN347" s="2"/>
      <c r="AQ347" s="1"/>
      <c r="BG347" s="1"/>
    </row>
    <row r="348" spans="15:59">
      <c r="O348" s="1"/>
      <c r="P348" s="1"/>
      <c r="AA348" s="1"/>
      <c r="AB348" s="1"/>
      <c r="AG348" s="1"/>
      <c r="AH348" s="1"/>
      <c r="AK348" s="1"/>
      <c r="AL348" s="1"/>
      <c r="AM348" s="2"/>
      <c r="AN348" s="2"/>
      <c r="AQ348" s="1"/>
      <c r="BG348" s="1"/>
    </row>
    <row r="349" spans="15:59">
      <c r="O349" s="1"/>
      <c r="P349" s="1"/>
      <c r="AA349" s="1"/>
      <c r="AB349" s="1"/>
      <c r="AG349" s="1"/>
      <c r="AH349" s="1"/>
      <c r="AK349" s="1"/>
      <c r="AL349" s="1"/>
      <c r="AM349" s="2"/>
      <c r="AN349" s="2"/>
      <c r="AQ349" s="1"/>
      <c r="BG349" s="1"/>
    </row>
    <row r="350" spans="15:59">
      <c r="O350" s="1"/>
      <c r="P350" s="1"/>
      <c r="AA350" s="1"/>
      <c r="AB350" s="1"/>
      <c r="AG350" s="1"/>
      <c r="AH350" s="1"/>
      <c r="AK350" s="1"/>
      <c r="AL350" s="1"/>
      <c r="AM350" s="2"/>
      <c r="AN350" s="2"/>
      <c r="AQ350" s="1"/>
      <c r="BG350" s="1"/>
    </row>
    <row r="351" spans="15:59">
      <c r="O351" s="1"/>
      <c r="P351" s="1"/>
      <c r="AA351" s="1"/>
      <c r="AB351" s="1"/>
      <c r="AG351" s="1"/>
      <c r="AH351" s="1"/>
      <c r="AK351" s="1"/>
      <c r="AL351" s="1"/>
      <c r="AM351" s="2"/>
      <c r="AN351" s="2"/>
      <c r="AQ351" s="1"/>
      <c r="BG351" s="1"/>
    </row>
    <row r="352" spans="15:59">
      <c r="O352" s="1"/>
      <c r="P352" s="1"/>
      <c r="AA352" s="1"/>
      <c r="AB352" s="1"/>
      <c r="AG352" s="1"/>
      <c r="AH352" s="1"/>
      <c r="AK352" s="1"/>
      <c r="AL352" s="1"/>
      <c r="AM352" s="2"/>
      <c r="AN352" s="2"/>
      <c r="AQ352" s="1"/>
      <c r="BG352" s="1"/>
    </row>
    <row r="353" spans="15:59">
      <c r="O353" s="1"/>
      <c r="P353" s="1"/>
      <c r="AA353" s="1"/>
      <c r="AB353" s="1"/>
      <c r="AG353" s="1"/>
      <c r="AH353" s="1"/>
      <c r="AK353" s="1"/>
      <c r="AL353" s="1"/>
      <c r="AM353" s="2"/>
      <c r="AN353" s="2"/>
      <c r="AQ353" s="1"/>
      <c r="BG353" s="1"/>
    </row>
    <row r="354" spans="15:59">
      <c r="O354" s="1"/>
      <c r="P354" s="1"/>
      <c r="AA354" s="1"/>
      <c r="AB354" s="1"/>
      <c r="AG354" s="1"/>
      <c r="AH354" s="1"/>
      <c r="AK354" s="1"/>
      <c r="AL354" s="1"/>
      <c r="AM354" s="2"/>
      <c r="AN354" s="2"/>
      <c r="AQ354" s="1"/>
      <c r="BG354" s="1"/>
    </row>
    <row r="355" spans="15:59">
      <c r="O355" s="1"/>
      <c r="P355" s="1"/>
      <c r="AA355" s="1"/>
      <c r="AB355" s="1"/>
      <c r="AG355" s="1"/>
      <c r="AH355" s="1"/>
      <c r="AK355" s="1"/>
      <c r="AL355" s="1"/>
      <c r="AM355" s="2"/>
      <c r="AN355" s="2"/>
      <c r="AQ355" s="1"/>
      <c r="BG355" s="1"/>
    </row>
    <row r="356" spans="15:59">
      <c r="O356" s="1"/>
      <c r="P356" s="1"/>
      <c r="AA356" s="1"/>
      <c r="AB356" s="1"/>
      <c r="AG356" s="1"/>
      <c r="AH356" s="1"/>
      <c r="AK356" s="1"/>
      <c r="AL356" s="1"/>
      <c r="AM356" s="2"/>
      <c r="AN356" s="2"/>
      <c r="AQ356" s="1"/>
      <c r="BG356" s="1"/>
    </row>
    <row r="357" spans="15:59">
      <c r="O357" s="1"/>
      <c r="P357" s="1"/>
      <c r="AA357" s="1"/>
      <c r="AB357" s="1"/>
      <c r="AG357" s="1"/>
      <c r="AH357" s="1"/>
      <c r="AK357" s="1"/>
      <c r="AL357" s="1"/>
      <c r="AM357" s="2"/>
      <c r="AN357" s="2"/>
      <c r="AQ357" s="1"/>
      <c r="BG357" s="1"/>
    </row>
    <row r="358" spans="15:59">
      <c r="O358" s="1"/>
      <c r="P358" s="1"/>
      <c r="AA358" s="1"/>
      <c r="AB358" s="1"/>
      <c r="AG358" s="1"/>
      <c r="AH358" s="1"/>
      <c r="AK358" s="1"/>
      <c r="AL358" s="1"/>
      <c r="AM358" s="2"/>
      <c r="AN358" s="2"/>
      <c r="AQ358" s="1"/>
      <c r="BG358" s="1"/>
    </row>
    <row r="359" spans="15:59">
      <c r="O359" s="1"/>
      <c r="P359" s="1"/>
      <c r="AA359" s="1"/>
      <c r="AB359" s="1"/>
      <c r="AG359" s="1"/>
      <c r="AH359" s="1"/>
      <c r="AK359" s="1"/>
      <c r="AL359" s="1"/>
      <c r="AM359" s="2"/>
      <c r="AN359" s="2"/>
      <c r="AQ359" s="1"/>
      <c r="BG359" s="1"/>
    </row>
    <row r="360" spans="15:59">
      <c r="O360" s="1"/>
      <c r="P360" s="1"/>
      <c r="AA360" s="1"/>
      <c r="AB360" s="1"/>
      <c r="AG360" s="1"/>
      <c r="AH360" s="1"/>
      <c r="AK360" s="1"/>
      <c r="AL360" s="1"/>
      <c r="AM360" s="2"/>
      <c r="AN360" s="2"/>
      <c r="AQ360" s="1"/>
      <c r="BG360" s="1"/>
    </row>
    <row r="361" spans="15:59">
      <c r="O361" s="1"/>
      <c r="P361" s="1"/>
      <c r="AA361" s="1"/>
      <c r="AB361" s="1"/>
      <c r="AG361" s="1"/>
      <c r="AH361" s="1"/>
      <c r="AK361" s="1"/>
      <c r="AL361" s="1"/>
      <c r="AM361" s="2"/>
      <c r="AN361" s="2"/>
      <c r="AQ361" s="1"/>
      <c r="BG361" s="1"/>
    </row>
    <row r="362" spans="15:59">
      <c r="O362" s="1"/>
      <c r="P362" s="1"/>
      <c r="AA362" s="1"/>
      <c r="AB362" s="1"/>
      <c r="AG362" s="1"/>
      <c r="AH362" s="1"/>
      <c r="AK362" s="1"/>
      <c r="AL362" s="1"/>
      <c r="AM362" s="2"/>
      <c r="AN362" s="2"/>
      <c r="AQ362" s="1"/>
      <c r="BG362" s="1"/>
    </row>
    <row r="363" spans="15:59">
      <c r="O363" s="1"/>
      <c r="P363" s="1"/>
      <c r="AA363" s="1"/>
      <c r="AB363" s="1"/>
      <c r="AG363" s="1"/>
      <c r="AH363" s="1"/>
      <c r="AK363" s="1"/>
      <c r="AL363" s="1"/>
      <c r="AM363" s="2"/>
      <c r="AN363" s="2"/>
      <c r="AQ363" s="1"/>
      <c r="BG363" s="1"/>
    </row>
    <row r="364" spans="15:59">
      <c r="O364" s="1"/>
      <c r="P364" s="1"/>
      <c r="AA364" s="1"/>
      <c r="AB364" s="1"/>
      <c r="AG364" s="1"/>
      <c r="AH364" s="1"/>
      <c r="AK364" s="1"/>
      <c r="AL364" s="1"/>
      <c r="AM364" s="2"/>
      <c r="AN364" s="2"/>
      <c r="AQ364" s="1"/>
      <c r="BG364" s="1"/>
    </row>
    <row r="365" spans="15:59">
      <c r="O365" s="1"/>
      <c r="P365" s="1"/>
      <c r="AA365" s="1"/>
      <c r="AB365" s="1"/>
      <c r="AG365" s="1"/>
      <c r="AH365" s="1"/>
      <c r="AK365" s="1"/>
      <c r="AL365" s="1"/>
      <c r="AM365" s="2"/>
      <c r="AN365" s="2"/>
      <c r="AQ365" s="1"/>
      <c r="BG365" s="1"/>
    </row>
    <row r="366" spans="15:59">
      <c r="O366" s="1"/>
      <c r="P366" s="1"/>
      <c r="AA366" s="1"/>
      <c r="AB366" s="1"/>
      <c r="AG366" s="1"/>
      <c r="AH366" s="1"/>
      <c r="AK366" s="1"/>
      <c r="AL366" s="1"/>
      <c r="AM366" s="2"/>
      <c r="AN366" s="2"/>
      <c r="AQ366" s="1"/>
      <c r="BG366" s="1"/>
    </row>
    <row r="367" spans="15:59">
      <c r="O367" s="1"/>
      <c r="P367" s="1"/>
      <c r="AA367" s="1"/>
      <c r="AB367" s="1"/>
      <c r="AG367" s="1"/>
      <c r="AH367" s="1"/>
      <c r="AK367" s="1"/>
      <c r="AL367" s="1"/>
      <c r="AM367" s="2"/>
      <c r="AN367" s="2"/>
      <c r="AQ367" s="1"/>
      <c r="BG367" s="1"/>
    </row>
    <row r="368" spans="15:59">
      <c r="O368" s="1"/>
      <c r="P368" s="1"/>
      <c r="AA368" s="1"/>
      <c r="AB368" s="1"/>
      <c r="AG368" s="1"/>
      <c r="AH368" s="1"/>
      <c r="AK368" s="1"/>
      <c r="AL368" s="1"/>
      <c r="AM368" s="2"/>
      <c r="AN368" s="2"/>
      <c r="AQ368" s="1"/>
      <c r="BG368" s="1"/>
    </row>
    <row r="369" spans="15:59">
      <c r="O369" s="1"/>
      <c r="P369" s="1"/>
      <c r="AA369" s="1"/>
      <c r="AB369" s="1"/>
      <c r="AG369" s="1"/>
      <c r="AH369" s="1"/>
      <c r="AK369" s="1"/>
      <c r="AL369" s="1"/>
      <c r="AM369" s="2"/>
      <c r="AN369" s="2"/>
      <c r="AQ369" s="1"/>
      <c r="BG369" s="1"/>
    </row>
    <row r="370" spans="15:59">
      <c r="O370" s="1"/>
      <c r="P370" s="1"/>
      <c r="AA370" s="1"/>
      <c r="AB370" s="1"/>
      <c r="AG370" s="1"/>
      <c r="AH370" s="1"/>
      <c r="AK370" s="1"/>
      <c r="AL370" s="1"/>
      <c r="AM370" s="2"/>
      <c r="AN370" s="2"/>
      <c r="AQ370" s="1"/>
      <c r="BG370" s="1"/>
    </row>
    <row r="371" spans="15:59">
      <c r="O371" s="1"/>
      <c r="P371" s="1"/>
      <c r="AA371" s="1"/>
      <c r="AB371" s="1"/>
      <c r="AG371" s="1"/>
      <c r="AH371" s="1"/>
      <c r="AK371" s="1"/>
      <c r="AL371" s="1"/>
      <c r="AM371" s="2"/>
      <c r="AN371" s="2"/>
      <c r="AQ371" s="1"/>
      <c r="BG371" s="1"/>
    </row>
    <row r="372" spans="15:59">
      <c r="O372" s="1"/>
      <c r="P372" s="1"/>
      <c r="AA372" s="1"/>
      <c r="AB372" s="1"/>
      <c r="AG372" s="1"/>
      <c r="AH372" s="1"/>
      <c r="AK372" s="1"/>
      <c r="AL372" s="1"/>
      <c r="AM372" s="2"/>
      <c r="AN372" s="2"/>
      <c r="AQ372" s="1"/>
      <c r="BG372" s="1"/>
    </row>
    <row r="373" spans="15:59">
      <c r="O373" s="1"/>
      <c r="P373" s="1"/>
      <c r="AA373" s="1"/>
      <c r="AB373" s="1"/>
      <c r="AG373" s="1"/>
      <c r="AH373" s="1"/>
      <c r="AK373" s="1"/>
      <c r="AL373" s="1"/>
      <c r="AM373" s="2"/>
      <c r="AN373" s="2"/>
      <c r="AQ373" s="1"/>
      <c r="BG373" s="1"/>
    </row>
    <row r="374" spans="15:59">
      <c r="O374" s="1"/>
      <c r="P374" s="1"/>
      <c r="AA374" s="1"/>
      <c r="AB374" s="1"/>
      <c r="AG374" s="1"/>
      <c r="AH374" s="1"/>
      <c r="AK374" s="1"/>
      <c r="AL374" s="1"/>
      <c r="AM374" s="2"/>
      <c r="AN374" s="2"/>
      <c r="AQ374" s="1"/>
      <c r="BG374" s="1"/>
    </row>
    <row r="375" spans="15:59">
      <c r="O375" s="1"/>
      <c r="P375" s="1"/>
      <c r="AA375" s="1"/>
      <c r="AB375" s="1"/>
      <c r="AG375" s="1"/>
      <c r="AH375" s="1"/>
      <c r="AK375" s="1"/>
      <c r="AL375" s="1"/>
      <c r="AM375" s="2"/>
      <c r="AN375" s="2"/>
      <c r="AQ375" s="1"/>
      <c r="BG375" s="1"/>
    </row>
    <row r="376" spans="15:59">
      <c r="O376" s="1"/>
      <c r="P376" s="1"/>
      <c r="AA376" s="1"/>
      <c r="AB376" s="1"/>
      <c r="AG376" s="1"/>
      <c r="AH376" s="1"/>
      <c r="AK376" s="1"/>
      <c r="AL376" s="1"/>
      <c r="AM376" s="2"/>
      <c r="AN376" s="2"/>
      <c r="AQ376" s="1"/>
      <c r="BG376" s="1"/>
    </row>
    <row r="377" spans="15:59">
      <c r="O377" s="1"/>
      <c r="P377" s="1"/>
      <c r="AA377" s="1"/>
      <c r="AB377" s="1"/>
      <c r="AG377" s="1"/>
      <c r="AH377" s="1"/>
      <c r="AK377" s="1"/>
      <c r="AL377" s="1"/>
      <c r="AM377" s="2"/>
      <c r="AN377" s="2"/>
      <c r="AQ377" s="1"/>
      <c r="BG377" s="1"/>
    </row>
    <row r="378" spans="15:59">
      <c r="O378" s="1"/>
      <c r="P378" s="1"/>
      <c r="AA378" s="1"/>
      <c r="AB378" s="1"/>
      <c r="AG378" s="1"/>
      <c r="AH378" s="1"/>
      <c r="AK378" s="1"/>
      <c r="AL378" s="1"/>
      <c r="AM378" s="2"/>
      <c r="AN378" s="2"/>
      <c r="AQ378" s="1"/>
      <c r="BG378" s="1"/>
    </row>
    <row r="379" spans="15:59">
      <c r="O379" s="1"/>
      <c r="P379" s="1"/>
      <c r="AA379" s="1"/>
      <c r="AB379" s="1"/>
      <c r="AG379" s="1"/>
      <c r="AH379" s="1"/>
      <c r="AK379" s="1"/>
      <c r="AL379" s="1"/>
      <c r="AM379" s="2"/>
      <c r="AN379" s="2"/>
      <c r="AQ379" s="1"/>
      <c r="BG379" s="1"/>
    </row>
    <row r="380" spans="15:59">
      <c r="O380" s="1"/>
      <c r="P380" s="1"/>
      <c r="AA380" s="1"/>
      <c r="AB380" s="1"/>
      <c r="AG380" s="1"/>
      <c r="AH380" s="1"/>
      <c r="AK380" s="1"/>
      <c r="AL380" s="1"/>
      <c r="AM380" s="2"/>
      <c r="AN380" s="2"/>
      <c r="AQ380" s="1"/>
      <c r="BG380" s="1"/>
    </row>
    <row r="381" spans="15:59">
      <c r="O381" s="1"/>
      <c r="P381" s="1"/>
      <c r="AA381" s="1"/>
      <c r="AB381" s="1"/>
      <c r="AG381" s="1"/>
      <c r="AH381" s="1"/>
      <c r="AK381" s="1"/>
      <c r="AL381" s="1"/>
      <c r="AM381" s="2"/>
      <c r="AN381" s="2"/>
      <c r="AQ381" s="1"/>
      <c r="BG381" s="1"/>
    </row>
    <row r="382" spans="15:59">
      <c r="O382" s="1"/>
      <c r="P382" s="1"/>
      <c r="AA382" s="1"/>
      <c r="AB382" s="1"/>
      <c r="AG382" s="1"/>
      <c r="AH382" s="1"/>
      <c r="AK382" s="1"/>
      <c r="AL382" s="1"/>
      <c r="AM382" s="2"/>
      <c r="AN382" s="2"/>
      <c r="AQ382" s="1"/>
      <c r="BG382" s="1"/>
    </row>
    <row r="383" spans="15:59">
      <c r="O383" s="1"/>
      <c r="P383" s="1"/>
      <c r="AA383" s="1"/>
      <c r="AB383" s="1"/>
      <c r="AG383" s="1"/>
      <c r="AH383" s="1"/>
      <c r="AK383" s="1"/>
      <c r="AL383" s="1"/>
      <c r="AM383" s="2"/>
      <c r="AN383" s="2"/>
      <c r="AQ383" s="1"/>
      <c r="BG383" s="1"/>
    </row>
    <row r="384" spans="15:59">
      <c r="O384" s="1"/>
      <c r="P384" s="1"/>
      <c r="AA384" s="1"/>
      <c r="AB384" s="1"/>
      <c r="AG384" s="1"/>
      <c r="AH384" s="1"/>
      <c r="AK384" s="1"/>
      <c r="AL384" s="1"/>
      <c r="AM384" s="2"/>
      <c r="AN384" s="2"/>
      <c r="AQ384" s="1"/>
      <c r="BG384" s="1"/>
    </row>
    <row r="385" spans="15:59">
      <c r="O385" s="1"/>
      <c r="P385" s="1"/>
      <c r="AA385" s="1"/>
      <c r="AB385" s="1"/>
      <c r="AG385" s="1"/>
      <c r="AH385" s="1"/>
      <c r="AK385" s="1"/>
      <c r="AL385" s="1"/>
      <c r="AM385" s="2"/>
      <c r="AN385" s="2"/>
      <c r="AQ385" s="1"/>
      <c r="BG385" s="1"/>
    </row>
    <row r="386" spans="15:59">
      <c r="O386" s="1"/>
      <c r="P386" s="1"/>
      <c r="AA386" s="1"/>
      <c r="AB386" s="1"/>
      <c r="AG386" s="1"/>
      <c r="AH386" s="1"/>
      <c r="AK386" s="1"/>
      <c r="AL386" s="1"/>
      <c r="AM386" s="2"/>
      <c r="AN386" s="2"/>
      <c r="AQ386" s="1"/>
      <c r="BG386" s="1"/>
    </row>
    <row r="387" spans="15:59">
      <c r="O387" s="1"/>
      <c r="P387" s="1"/>
      <c r="AA387" s="1"/>
      <c r="AB387" s="1"/>
      <c r="AG387" s="1"/>
      <c r="AH387" s="1"/>
      <c r="AK387" s="1"/>
      <c r="AL387" s="1"/>
      <c r="AM387" s="2"/>
      <c r="AN387" s="2"/>
      <c r="AQ387" s="1"/>
      <c r="BG387" s="1"/>
    </row>
    <row r="388" spans="15:59">
      <c r="O388" s="1"/>
      <c r="P388" s="1"/>
      <c r="AA388" s="1"/>
      <c r="AB388" s="1"/>
      <c r="AG388" s="1"/>
      <c r="AH388" s="1"/>
      <c r="AK388" s="1"/>
      <c r="AL388" s="1"/>
      <c r="AM388" s="2"/>
      <c r="AN388" s="2"/>
      <c r="AQ388" s="1"/>
      <c r="BG388" s="1"/>
    </row>
    <row r="389" spans="15:59">
      <c r="O389" s="1"/>
      <c r="P389" s="1"/>
      <c r="AA389" s="1"/>
      <c r="AB389" s="1"/>
      <c r="AG389" s="1"/>
      <c r="AH389" s="1"/>
      <c r="AK389" s="1"/>
      <c r="AL389" s="1"/>
      <c r="AM389" s="2"/>
      <c r="AN389" s="2"/>
      <c r="AQ389" s="1"/>
      <c r="BG389" s="1"/>
    </row>
    <row r="390" spans="15:59">
      <c r="O390" s="1"/>
      <c r="P390" s="1"/>
      <c r="AA390" s="1"/>
      <c r="AB390" s="1"/>
      <c r="AG390" s="1"/>
      <c r="AH390" s="1"/>
      <c r="AK390" s="1"/>
      <c r="AL390" s="1"/>
      <c r="AM390" s="2"/>
      <c r="AN390" s="2"/>
      <c r="AQ390" s="1"/>
      <c r="BG390" s="1"/>
    </row>
    <row r="391" spans="15:59">
      <c r="O391" s="1"/>
      <c r="P391" s="1"/>
      <c r="AA391" s="1"/>
      <c r="AB391" s="1"/>
      <c r="AG391" s="1"/>
      <c r="AH391" s="1"/>
      <c r="AK391" s="1"/>
      <c r="AL391" s="1"/>
      <c r="AM391" s="2"/>
      <c r="AN391" s="2"/>
      <c r="AQ391" s="1"/>
      <c r="BG391" s="1"/>
    </row>
    <row r="392" spans="15:59">
      <c r="O392" s="1"/>
      <c r="P392" s="1"/>
      <c r="AA392" s="1"/>
      <c r="AB392" s="1"/>
      <c r="AG392" s="1"/>
      <c r="AH392" s="1"/>
      <c r="AK392" s="1"/>
      <c r="AL392" s="1"/>
      <c r="AM392" s="2"/>
      <c r="AN392" s="2"/>
      <c r="AQ392" s="1"/>
      <c r="BG392" s="1"/>
    </row>
    <row r="393" spans="15:59">
      <c r="O393" s="1"/>
      <c r="P393" s="1"/>
      <c r="AA393" s="1"/>
      <c r="AB393" s="1"/>
      <c r="AG393" s="1"/>
      <c r="AH393" s="1"/>
      <c r="AK393" s="1"/>
      <c r="AL393" s="1"/>
      <c r="AM393" s="2"/>
      <c r="AN393" s="2"/>
      <c r="AQ393" s="1"/>
      <c r="BG393" s="1"/>
    </row>
    <row r="394" spans="15:59">
      <c r="O394" s="1"/>
      <c r="P394" s="1"/>
      <c r="AA394" s="1"/>
      <c r="AB394" s="1"/>
      <c r="AG394" s="1"/>
      <c r="AH394" s="1"/>
      <c r="AK394" s="1"/>
      <c r="AL394" s="1"/>
      <c r="AM394" s="2"/>
      <c r="AN394" s="2"/>
      <c r="AQ394" s="1"/>
      <c r="BG394" s="1"/>
    </row>
    <row r="395" spans="15:59">
      <c r="O395" s="1"/>
      <c r="P395" s="1"/>
      <c r="AA395" s="1"/>
      <c r="AB395" s="1"/>
      <c r="AG395" s="1"/>
      <c r="AH395" s="1"/>
      <c r="AK395" s="1"/>
      <c r="AL395" s="1"/>
      <c r="AM395" s="2"/>
      <c r="AN395" s="2"/>
      <c r="AQ395" s="1"/>
      <c r="BG395" s="1"/>
    </row>
    <row r="396" spans="15:59">
      <c r="O396" s="1"/>
      <c r="P396" s="1"/>
      <c r="AA396" s="1"/>
      <c r="AB396" s="1"/>
      <c r="AG396" s="1"/>
      <c r="AH396" s="1"/>
      <c r="AK396" s="1"/>
      <c r="AL396" s="1"/>
      <c r="AM396" s="2"/>
      <c r="AN396" s="2"/>
      <c r="AQ396" s="1"/>
      <c r="BG396" s="1"/>
    </row>
    <row r="397" spans="15:59">
      <c r="O397" s="1"/>
      <c r="P397" s="1"/>
      <c r="AA397" s="1"/>
      <c r="AB397" s="1"/>
      <c r="AG397" s="1"/>
      <c r="AH397" s="1"/>
      <c r="AK397" s="1"/>
      <c r="AL397" s="1"/>
      <c r="AM397" s="2"/>
      <c r="AN397" s="2"/>
      <c r="AQ397" s="1"/>
      <c r="BG397" s="1"/>
    </row>
    <row r="398" spans="15:59">
      <c r="O398" s="1"/>
      <c r="P398" s="1"/>
      <c r="AA398" s="1"/>
      <c r="AB398" s="1"/>
      <c r="AG398" s="1"/>
      <c r="AH398" s="1"/>
      <c r="AK398" s="1"/>
      <c r="AL398" s="1"/>
      <c r="AM398" s="2"/>
      <c r="AN398" s="2"/>
      <c r="AQ398" s="1"/>
      <c r="BG398" s="1"/>
    </row>
    <row r="399" spans="15:59">
      <c r="O399" s="1"/>
      <c r="P399" s="1"/>
      <c r="AA399" s="1"/>
      <c r="AB399" s="1"/>
      <c r="AG399" s="1"/>
      <c r="AH399" s="1"/>
      <c r="AK399" s="1"/>
      <c r="AL399" s="1"/>
      <c r="AM399" s="2"/>
      <c r="AN399" s="2"/>
      <c r="AQ399" s="1"/>
      <c r="BG399" s="1"/>
    </row>
    <row r="400" spans="15:59">
      <c r="O400" s="1"/>
      <c r="P400" s="1"/>
      <c r="AA400" s="1"/>
      <c r="AB400" s="1"/>
      <c r="AG400" s="1"/>
      <c r="AH400" s="1"/>
      <c r="AK400" s="1"/>
      <c r="AL400" s="1"/>
      <c r="AM400" s="2"/>
      <c r="AN400" s="2"/>
      <c r="AQ400" s="1"/>
      <c r="BG400" s="1"/>
    </row>
    <row r="401" spans="15:59">
      <c r="O401" s="1"/>
      <c r="P401" s="1"/>
      <c r="AA401" s="1"/>
      <c r="AB401" s="1"/>
      <c r="AG401" s="1"/>
      <c r="AH401" s="1"/>
      <c r="AK401" s="1"/>
      <c r="AL401" s="1"/>
      <c r="AM401" s="2"/>
      <c r="AN401" s="2"/>
      <c r="AQ401" s="1"/>
      <c r="BG401" s="1"/>
    </row>
    <row r="402" spans="15:59">
      <c r="O402" s="1"/>
      <c r="P402" s="1"/>
      <c r="AA402" s="1"/>
      <c r="AB402" s="1"/>
      <c r="AG402" s="1"/>
      <c r="AH402" s="1"/>
      <c r="AK402" s="1"/>
      <c r="AL402" s="1"/>
      <c r="AM402" s="2"/>
      <c r="AN402" s="2"/>
      <c r="AQ402" s="1"/>
      <c r="BG402" s="1"/>
    </row>
    <row r="403" spans="15:59">
      <c r="O403" s="1"/>
      <c r="P403" s="1"/>
      <c r="AA403" s="1"/>
      <c r="AB403" s="1"/>
      <c r="AG403" s="1"/>
      <c r="AH403" s="1"/>
      <c r="AK403" s="1"/>
      <c r="AL403" s="1"/>
      <c r="AM403" s="2"/>
      <c r="AN403" s="2"/>
      <c r="AQ403" s="1"/>
      <c r="BG403" s="1"/>
    </row>
    <row r="404" spans="15:59">
      <c r="O404" s="1"/>
      <c r="P404" s="1"/>
      <c r="AA404" s="1"/>
      <c r="AB404" s="1"/>
      <c r="AG404" s="1"/>
      <c r="AH404" s="1"/>
      <c r="AK404" s="1"/>
      <c r="AL404" s="1"/>
      <c r="AM404" s="2"/>
      <c r="AN404" s="2"/>
      <c r="AQ404" s="1"/>
      <c r="BG404" s="1"/>
    </row>
    <row r="405" spans="15:59">
      <c r="O405" s="1"/>
      <c r="P405" s="1"/>
      <c r="AA405" s="1"/>
      <c r="AB405" s="1"/>
      <c r="AG405" s="1"/>
      <c r="AH405" s="1"/>
      <c r="AK405" s="1"/>
      <c r="AL405" s="1"/>
      <c r="AM405" s="2"/>
      <c r="AN405" s="2"/>
      <c r="AQ405" s="1"/>
      <c r="BG405" s="1"/>
    </row>
    <row r="406" spans="15:59">
      <c r="O406" s="1"/>
      <c r="P406" s="1"/>
      <c r="AA406" s="1"/>
      <c r="AB406" s="1"/>
      <c r="AG406" s="1"/>
      <c r="AH406" s="1"/>
      <c r="AK406" s="1"/>
      <c r="AL406" s="1"/>
      <c r="AM406" s="2"/>
      <c r="AN406" s="2"/>
      <c r="AQ406" s="1"/>
      <c r="BG406" s="1"/>
    </row>
    <row r="407" spans="15:59">
      <c r="O407" s="1"/>
      <c r="P407" s="1"/>
      <c r="AA407" s="1"/>
      <c r="AB407" s="1"/>
      <c r="AG407" s="1"/>
      <c r="AH407" s="1"/>
      <c r="AK407" s="1"/>
      <c r="AL407" s="1"/>
      <c r="AM407" s="2"/>
      <c r="AN407" s="2"/>
      <c r="AQ407" s="1"/>
      <c r="BG407" s="1"/>
    </row>
    <row r="408" spans="15:59">
      <c r="O408" s="1"/>
      <c r="P408" s="1"/>
      <c r="AA408" s="1"/>
      <c r="AB408" s="1"/>
      <c r="AG408" s="1"/>
      <c r="AH408" s="1"/>
      <c r="AK408" s="1"/>
      <c r="AL408" s="1"/>
      <c r="AM408" s="2"/>
      <c r="AN408" s="2"/>
      <c r="AQ408" s="1"/>
      <c r="BG408" s="1"/>
    </row>
    <row r="409" spans="15:59">
      <c r="O409" s="1"/>
      <c r="P409" s="1"/>
      <c r="AA409" s="1"/>
      <c r="AB409" s="1"/>
      <c r="AG409" s="1"/>
      <c r="AH409" s="1"/>
      <c r="AK409" s="1"/>
      <c r="AL409" s="1"/>
      <c r="AM409" s="2"/>
      <c r="AN409" s="2"/>
      <c r="AQ409" s="1"/>
      <c r="BG409" s="1"/>
    </row>
    <row r="410" spans="15:59">
      <c r="O410" s="1"/>
      <c r="P410" s="1"/>
      <c r="AA410" s="1"/>
      <c r="AB410" s="1"/>
      <c r="AG410" s="1"/>
      <c r="AH410" s="1"/>
      <c r="AK410" s="1"/>
      <c r="AL410" s="1"/>
      <c r="AM410" s="2"/>
      <c r="AN410" s="2"/>
      <c r="AQ410" s="1"/>
      <c r="BG410" s="1"/>
    </row>
    <row r="411" spans="15:59">
      <c r="O411" s="1"/>
      <c r="P411" s="1"/>
      <c r="AA411" s="1"/>
      <c r="AB411" s="1"/>
      <c r="AG411" s="1"/>
      <c r="AH411" s="1"/>
      <c r="AK411" s="1"/>
      <c r="AL411" s="1"/>
      <c r="AM411" s="2"/>
      <c r="AN411" s="2"/>
      <c r="AQ411" s="1"/>
      <c r="BG411" s="1"/>
    </row>
    <row r="412" spans="15:59">
      <c r="O412" s="1"/>
      <c r="P412" s="1"/>
      <c r="AA412" s="1"/>
      <c r="AB412" s="1"/>
      <c r="AG412" s="1"/>
      <c r="AH412" s="1"/>
      <c r="AK412" s="1"/>
      <c r="AL412" s="1"/>
      <c r="AM412" s="2"/>
      <c r="AN412" s="2"/>
      <c r="AQ412" s="1"/>
      <c r="BG412" s="1"/>
    </row>
    <row r="413" spans="15:59">
      <c r="O413" s="1"/>
      <c r="P413" s="1"/>
      <c r="AA413" s="1"/>
      <c r="AB413" s="1"/>
      <c r="AG413" s="1"/>
      <c r="AH413" s="1"/>
      <c r="AK413" s="1"/>
      <c r="AL413" s="1"/>
      <c r="AM413" s="2"/>
      <c r="AN413" s="2"/>
      <c r="AQ413" s="1"/>
      <c r="BG413" s="1"/>
    </row>
    <row r="414" spans="15:59">
      <c r="O414" s="1"/>
      <c r="P414" s="1"/>
      <c r="AA414" s="1"/>
      <c r="AB414" s="1"/>
      <c r="AG414" s="1"/>
      <c r="AH414" s="1"/>
      <c r="AK414" s="1"/>
      <c r="AL414" s="1"/>
      <c r="AM414" s="2"/>
      <c r="AN414" s="2"/>
      <c r="AQ414" s="1"/>
      <c r="BG414" s="1"/>
    </row>
    <row r="415" spans="15:59">
      <c r="O415" s="1"/>
      <c r="P415" s="1"/>
      <c r="AA415" s="1"/>
      <c r="AB415" s="1"/>
      <c r="AG415" s="1"/>
      <c r="AH415" s="1"/>
      <c r="AK415" s="1"/>
      <c r="AL415" s="1"/>
      <c r="AM415" s="2"/>
      <c r="AN415" s="2"/>
      <c r="AQ415" s="1"/>
      <c r="BG415" s="1"/>
    </row>
    <row r="416" spans="15:59">
      <c r="O416" s="1"/>
      <c r="P416" s="1"/>
      <c r="AA416" s="1"/>
      <c r="AB416" s="1"/>
      <c r="AG416" s="1"/>
      <c r="AH416" s="1"/>
      <c r="AK416" s="1"/>
      <c r="AL416" s="1"/>
      <c r="AM416" s="2"/>
      <c r="AN416" s="2"/>
      <c r="AQ416" s="1"/>
      <c r="BG416" s="1"/>
    </row>
    <row r="417" spans="15:59">
      <c r="O417" s="1"/>
      <c r="P417" s="1"/>
      <c r="AA417" s="1"/>
      <c r="AB417" s="1"/>
      <c r="AG417" s="1"/>
      <c r="AH417" s="1"/>
      <c r="AK417" s="1"/>
      <c r="AL417" s="1"/>
      <c r="AM417" s="2"/>
      <c r="AN417" s="2"/>
      <c r="AQ417" s="1"/>
      <c r="BG417" s="1"/>
    </row>
    <row r="418" spans="15:59">
      <c r="O418" s="1"/>
      <c r="P418" s="1"/>
      <c r="AA418" s="1"/>
      <c r="AB418" s="1"/>
      <c r="AG418" s="1"/>
      <c r="AH418" s="1"/>
      <c r="AK418" s="1"/>
      <c r="AL418" s="1"/>
      <c r="AM418" s="2"/>
      <c r="AN418" s="2"/>
      <c r="AQ418" s="1"/>
      <c r="BG418" s="1"/>
    </row>
    <row r="419" spans="15:59">
      <c r="O419" s="1"/>
      <c r="P419" s="1"/>
      <c r="AA419" s="1"/>
      <c r="AB419" s="1"/>
      <c r="AG419" s="1"/>
      <c r="AH419" s="1"/>
      <c r="AK419" s="1"/>
      <c r="AL419" s="1"/>
      <c r="AM419" s="2"/>
      <c r="AN419" s="2"/>
      <c r="AQ419" s="1"/>
      <c r="BG419" s="1"/>
    </row>
    <row r="420" spans="15:59">
      <c r="O420" s="1"/>
      <c r="P420" s="1"/>
      <c r="AA420" s="1"/>
      <c r="AB420" s="1"/>
      <c r="AG420" s="1"/>
      <c r="AH420" s="1"/>
      <c r="AK420" s="1"/>
      <c r="AL420" s="1"/>
      <c r="AM420" s="2"/>
      <c r="AN420" s="2"/>
      <c r="AQ420" s="1"/>
      <c r="BG420" s="1"/>
    </row>
    <row r="421" spans="15:59">
      <c r="O421" s="1"/>
      <c r="P421" s="1"/>
      <c r="AA421" s="1"/>
      <c r="AB421" s="1"/>
      <c r="AG421" s="1"/>
      <c r="AH421" s="1"/>
      <c r="AK421" s="1"/>
      <c r="AL421" s="1"/>
      <c r="AM421" s="2"/>
      <c r="AN421" s="2"/>
      <c r="AQ421" s="1"/>
      <c r="BG421" s="1"/>
    </row>
    <row r="422" spans="15:59">
      <c r="O422" s="1"/>
      <c r="P422" s="1"/>
      <c r="AA422" s="1"/>
      <c r="AB422" s="1"/>
      <c r="AG422" s="1"/>
      <c r="AH422" s="1"/>
      <c r="AK422" s="1"/>
      <c r="AL422" s="1"/>
      <c r="AM422" s="2"/>
      <c r="AN422" s="2"/>
      <c r="AQ422" s="1"/>
      <c r="BG422" s="1"/>
    </row>
    <row r="423" spans="15:59">
      <c r="O423" s="1"/>
      <c r="P423" s="1"/>
      <c r="AA423" s="1"/>
      <c r="AB423" s="1"/>
      <c r="AG423" s="1"/>
      <c r="AH423" s="1"/>
      <c r="AK423" s="1"/>
      <c r="AL423" s="1"/>
      <c r="AM423" s="2"/>
      <c r="AN423" s="2"/>
      <c r="AQ423" s="1"/>
      <c r="BG423" s="1"/>
    </row>
    <row r="424" spans="15:59">
      <c r="O424" s="1"/>
      <c r="P424" s="1"/>
      <c r="AA424" s="1"/>
      <c r="AB424" s="1"/>
      <c r="AG424" s="1"/>
      <c r="AH424" s="1"/>
      <c r="AK424" s="1"/>
      <c r="AL424" s="1"/>
      <c r="AM424" s="2"/>
      <c r="AN424" s="2"/>
      <c r="AQ424" s="1"/>
      <c r="BG424" s="1"/>
    </row>
    <row r="425" spans="15:59">
      <c r="O425" s="1"/>
      <c r="P425" s="1"/>
      <c r="AA425" s="1"/>
      <c r="AB425" s="1"/>
      <c r="AG425" s="1"/>
      <c r="AH425" s="1"/>
      <c r="AK425" s="1"/>
      <c r="AL425" s="1"/>
      <c r="AM425" s="2"/>
      <c r="AN425" s="2"/>
      <c r="AQ425" s="1"/>
      <c r="BG425" s="1"/>
    </row>
    <row r="426" spans="15:59">
      <c r="O426" s="1"/>
      <c r="P426" s="1"/>
      <c r="AA426" s="1"/>
      <c r="AB426" s="1"/>
      <c r="AG426" s="1"/>
      <c r="AH426" s="1"/>
      <c r="AK426" s="1"/>
      <c r="AL426" s="1"/>
      <c r="AM426" s="2"/>
      <c r="AN426" s="2"/>
      <c r="AQ426" s="1"/>
      <c r="BG426" s="1"/>
    </row>
    <row r="427" spans="15:59">
      <c r="O427" s="1"/>
      <c r="P427" s="1"/>
      <c r="AA427" s="1"/>
      <c r="AB427" s="1"/>
      <c r="AG427" s="1"/>
      <c r="AH427" s="1"/>
      <c r="AK427" s="1"/>
      <c r="AL427" s="1"/>
      <c r="AM427" s="2"/>
      <c r="AN427" s="2"/>
      <c r="AQ427" s="1"/>
      <c r="BG427" s="1"/>
    </row>
    <row r="428" spans="15:59">
      <c r="O428" s="1"/>
      <c r="P428" s="1"/>
      <c r="AA428" s="1"/>
      <c r="AB428" s="1"/>
      <c r="AG428" s="1"/>
      <c r="AH428" s="1"/>
      <c r="AK428" s="1"/>
      <c r="AL428" s="1"/>
      <c r="AM428" s="2"/>
      <c r="AN428" s="2"/>
      <c r="AQ428" s="1"/>
      <c r="BG428" s="1"/>
    </row>
    <row r="429" spans="15:59">
      <c r="O429" s="1"/>
      <c r="P429" s="1"/>
      <c r="AA429" s="1"/>
      <c r="AB429" s="1"/>
      <c r="AG429" s="1"/>
      <c r="AH429" s="1"/>
      <c r="AK429" s="1"/>
      <c r="AL429" s="1"/>
      <c r="AM429" s="2"/>
      <c r="AN429" s="2"/>
      <c r="AQ429" s="1"/>
      <c r="BG429" s="1"/>
    </row>
    <row r="430" spans="15:59">
      <c r="O430" s="1"/>
      <c r="P430" s="1"/>
      <c r="AA430" s="1"/>
      <c r="AB430" s="1"/>
      <c r="AG430" s="1"/>
      <c r="AH430" s="1"/>
      <c r="AK430" s="1"/>
      <c r="AL430" s="1"/>
      <c r="AM430" s="2"/>
      <c r="AN430" s="2"/>
      <c r="AQ430" s="1"/>
      <c r="BG430" s="1"/>
    </row>
    <row r="431" spans="15:59">
      <c r="O431" s="1"/>
      <c r="P431" s="1"/>
      <c r="AA431" s="1"/>
      <c r="AB431" s="1"/>
      <c r="AG431" s="1"/>
      <c r="AH431" s="1"/>
      <c r="AK431" s="1"/>
      <c r="AL431" s="1"/>
      <c r="AM431" s="2"/>
      <c r="AN431" s="2"/>
      <c r="AQ431" s="1"/>
      <c r="BG431" s="1"/>
    </row>
    <row r="432" spans="15:59">
      <c r="O432" s="1"/>
      <c r="P432" s="1"/>
      <c r="AA432" s="1"/>
      <c r="AB432" s="1"/>
      <c r="AG432" s="1"/>
      <c r="AH432" s="1"/>
      <c r="AK432" s="1"/>
      <c r="AL432" s="1"/>
      <c r="AM432" s="2"/>
      <c r="AN432" s="2"/>
      <c r="AQ432" s="1"/>
      <c r="BG432" s="1"/>
    </row>
    <row r="433" spans="15:59">
      <c r="O433" s="1"/>
      <c r="P433" s="1"/>
      <c r="AA433" s="1"/>
      <c r="AB433" s="1"/>
      <c r="AG433" s="1"/>
      <c r="AH433" s="1"/>
      <c r="AK433" s="1"/>
      <c r="AL433" s="1"/>
      <c r="AM433" s="2"/>
      <c r="AN433" s="2"/>
      <c r="AQ433" s="1"/>
      <c r="BG433" s="1"/>
    </row>
    <row r="434" spans="15:59">
      <c r="O434" s="1"/>
      <c r="P434" s="1"/>
      <c r="AA434" s="1"/>
      <c r="AB434" s="1"/>
      <c r="AG434" s="1"/>
      <c r="AH434" s="1"/>
      <c r="AK434" s="1"/>
      <c r="AL434" s="1"/>
      <c r="AM434" s="2"/>
      <c r="AN434" s="2"/>
      <c r="AQ434" s="1"/>
      <c r="BG434" s="1"/>
    </row>
    <row r="435" spans="15:59">
      <c r="O435" s="1"/>
      <c r="P435" s="1"/>
      <c r="AA435" s="1"/>
      <c r="AB435" s="1"/>
      <c r="AG435" s="1"/>
      <c r="AH435" s="1"/>
      <c r="AK435" s="1"/>
      <c r="AL435" s="1"/>
      <c r="AM435" s="2"/>
      <c r="AN435" s="2"/>
      <c r="AQ435" s="1"/>
      <c r="BG435" s="1"/>
    </row>
    <row r="436" spans="15:59">
      <c r="O436" s="1"/>
      <c r="P436" s="1"/>
      <c r="AA436" s="1"/>
      <c r="AB436" s="1"/>
      <c r="AG436" s="1"/>
      <c r="AH436" s="1"/>
      <c r="AK436" s="1"/>
      <c r="AL436" s="1"/>
      <c r="AM436" s="2"/>
      <c r="AN436" s="2"/>
      <c r="AQ436" s="1"/>
      <c r="BG436" s="1"/>
    </row>
    <row r="437" spans="15:59">
      <c r="O437" s="1"/>
      <c r="P437" s="1"/>
      <c r="AA437" s="1"/>
      <c r="AB437" s="1"/>
      <c r="AG437" s="1"/>
      <c r="AH437" s="1"/>
      <c r="AK437" s="1"/>
      <c r="AL437" s="1"/>
      <c r="AM437" s="2"/>
      <c r="AN437" s="2"/>
      <c r="AQ437" s="1"/>
      <c r="BG437" s="1"/>
    </row>
    <row r="438" spans="15:59">
      <c r="O438" s="1"/>
      <c r="P438" s="1"/>
      <c r="AA438" s="1"/>
      <c r="AB438" s="1"/>
      <c r="AG438" s="1"/>
      <c r="AH438" s="1"/>
      <c r="AK438" s="1"/>
      <c r="AL438" s="1"/>
      <c r="AM438" s="2"/>
      <c r="AN438" s="2"/>
      <c r="AQ438" s="1"/>
      <c r="BG438" s="1"/>
    </row>
    <row r="439" spans="15:59">
      <c r="O439" s="1"/>
      <c r="P439" s="1"/>
      <c r="AA439" s="1"/>
      <c r="AB439" s="1"/>
      <c r="AG439" s="1"/>
      <c r="AH439" s="1"/>
      <c r="AK439" s="1"/>
      <c r="AL439" s="1"/>
      <c r="AM439" s="2"/>
      <c r="AN439" s="2"/>
      <c r="AQ439" s="1"/>
      <c r="BG439" s="1"/>
    </row>
    <row r="440" spans="15:59">
      <c r="O440" s="1"/>
      <c r="P440" s="1"/>
      <c r="AA440" s="1"/>
      <c r="AB440" s="1"/>
      <c r="AG440" s="1"/>
      <c r="AH440" s="1"/>
      <c r="AK440" s="1"/>
      <c r="AL440" s="1"/>
      <c r="AM440" s="2"/>
      <c r="AN440" s="2"/>
      <c r="AQ440" s="1"/>
      <c r="BG440" s="1"/>
    </row>
    <row r="441" spans="15:59">
      <c r="O441" s="1"/>
      <c r="P441" s="1"/>
      <c r="AA441" s="1"/>
      <c r="AB441" s="1"/>
      <c r="AG441" s="1"/>
      <c r="AH441" s="1"/>
      <c r="AK441" s="1"/>
      <c r="AL441" s="1"/>
      <c r="AM441" s="2"/>
      <c r="AN441" s="2"/>
      <c r="AQ441" s="1"/>
      <c r="BG441" s="1"/>
    </row>
    <row r="442" spans="15:59">
      <c r="O442" s="1"/>
      <c r="P442" s="1"/>
      <c r="AA442" s="1"/>
      <c r="AB442" s="1"/>
      <c r="AG442" s="1"/>
      <c r="AH442" s="1"/>
      <c r="AK442" s="1"/>
      <c r="AL442" s="1"/>
      <c r="AM442" s="2"/>
      <c r="AN442" s="2"/>
      <c r="AQ442" s="1"/>
      <c r="BG442" s="1"/>
    </row>
    <row r="443" spans="15:59">
      <c r="O443" s="1"/>
      <c r="P443" s="1"/>
      <c r="AA443" s="1"/>
      <c r="AB443" s="1"/>
      <c r="AG443" s="1"/>
      <c r="AH443" s="1"/>
      <c r="AK443" s="1"/>
      <c r="AL443" s="1"/>
      <c r="AM443" s="2"/>
      <c r="AN443" s="2"/>
      <c r="AQ443" s="1"/>
      <c r="BG443" s="1"/>
    </row>
    <row r="444" spans="15:59">
      <c r="O444" s="1"/>
      <c r="P444" s="1"/>
      <c r="AA444" s="1"/>
      <c r="AB444" s="1"/>
      <c r="AG444" s="1"/>
      <c r="AH444" s="1"/>
      <c r="AK444" s="1"/>
      <c r="AL444" s="1"/>
      <c r="AM444" s="2"/>
      <c r="AN444" s="2"/>
      <c r="AQ444" s="1"/>
      <c r="BG444" s="1"/>
    </row>
    <row r="445" spans="15:59">
      <c r="O445" s="1"/>
      <c r="P445" s="1"/>
      <c r="AA445" s="1"/>
      <c r="AB445" s="1"/>
      <c r="AG445" s="1"/>
      <c r="AH445" s="1"/>
      <c r="AK445" s="1"/>
      <c r="AL445" s="1"/>
      <c r="AM445" s="2"/>
      <c r="AN445" s="2"/>
      <c r="AQ445" s="1"/>
      <c r="BG445" s="1"/>
    </row>
    <row r="446" spans="15:59">
      <c r="O446" s="1"/>
      <c r="P446" s="1"/>
      <c r="AA446" s="1"/>
      <c r="AB446" s="1"/>
      <c r="AG446" s="1"/>
      <c r="AH446" s="1"/>
      <c r="AK446" s="1"/>
      <c r="AL446" s="1"/>
      <c r="AM446" s="2"/>
      <c r="AN446" s="2"/>
      <c r="AQ446" s="1"/>
      <c r="BG446" s="1"/>
    </row>
    <row r="447" spans="15:59">
      <c r="O447" s="1"/>
      <c r="P447" s="1"/>
      <c r="AA447" s="1"/>
      <c r="AB447" s="1"/>
      <c r="AG447" s="1"/>
      <c r="AH447" s="1"/>
      <c r="AK447" s="1"/>
      <c r="AL447" s="1"/>
      <c r="AM447" s="2"/>
      <c r="AN447" s="2"/>
      <c r="AQ447" s="1"/>
      <c r="BG447" s="1"/>
    </row>
    <row r="448" spans="15:59">
      <c r="O448" s="1"/>
      <c r="P448" s="1"/>
      <c r="AA448" s="1"/>
      <c r="AB448" s="1"/>
      <c r="AG448" s="1"/>
      <c r="AH448" s="1"/>
      <c r="AK448" s="1"/>
      <c r="AL448" s="1"/>
      <c r="AM448" s="2"/>
      <c r="AN448" s="2"/>
      <c r="AQ448" s="1"/>
      <c r="BG448" s="1"/>
    </row>
    <row r="449" spans="15:59">
      <c r="O449" s="1"/>
      <c r="P449" s="1"/>
      <c r="AA449" s="1"/>
      <c r="AB449" s="1"/>
      <c r="AG449" s="1"/>
      <c r="AH449" s="1"/>
      <c r="AK449" s="1"/>
      <c r="AL449" s="1"/>
      <c r="AM449" s="2"/>
      <c r="AN449" s="2"/>
      <c r="AQ449" s="1"/>
      <c r="BG449" s="1"/>
    </row>
    <row r="450" spans="15:59">
      <c r="O450" s="1"/>
      <c r="P450" s="1"/>
      <c r="AA450" s="1"/>
      <c r="AB450" s="1"/>
      <c r="AG450" s="1"/>
      <c r="AH450" s="1"/>
      <c r="AK450" s="1"/>
      <c r="AL450" s="1"/>
      <c r="AM450" s="2"/>
      <c r="AN450" s="2"/>
      <c r="AQ450" s="1"/>
      <c r="BG450" s="1"/>
    </row>
    <row r="451" spans="15:59">
      <c r="O451" s="1"/>
      <c r="P451" s="1"/>
      <c r="AA451" s="1"/>
      <c r="AB451" s="1"/>
      <c r="AG451" s="1"/>
      <c r="AH451" s="1"/>
      <c r="AK451" s="1"/>
      <c r="AL451" s="1"/>
      <c r="AM451" s="2"/>
      <c r="AN451" s="2"/>
      <c r="AQ451" s="1"/>
      <c r="BG451" s="1"/>
    </row>
    <row r="452" spans="15:59">
      <c r="O452" s="1"/>
      <c r="P452" s="1"/>
      <c r="AA452" s="1"/>
      <c r="AB452" s="1"/>
      <c r="AG452" s="1"/>
      <c r="AH452" s="1"/>
      <c r="AK452" s="1"/>
      <c r="AL452" s="1"/>
      <c r="AM452" s="2"/>
      <c r="AN452" s="2"/>
      <c r="AQ452" s="1"/>
      <c r="BG452" s="1"/>
    </row>
    <row r="453" spans="15:59">
      <c r="O453" s="1"/>
      <c r="P453" s="1"/>
      <c r="AA453" s="1"/>
      <c r="AB453" s="1"/>
      <c r="AG453" s="1"/>
      <c r="AH453" s="1"/>
      <c r="AK453" s="1"/>
      <c r="AL453" s="1"/>
      <c r="AM453" s="2"/>
      <c r="AN453" s="2"/>
      <c r="AQ453" s="1"/>
      <c r="BG453" s="1"/>
    </row>
    <row r="454" spans="15:59">
      <c r="O454" s="1"/>
      <c r="P454" s="1"/>
      <c r="AA454" s="1"/>
      <c r="AB454" s="1"/>
      <c r="AG454" s="1"/>
      <c r="AH454" s="1"/>
      <c r="AK454" s="1"/>
      <c r="AL454" s="1"/>
      <c r="AM454" s="2"/>
      <c r="AN454" s="2"/>
      <c r="AQ454" s="1"/>
      <c r="BG454" s="1"/>
    </row>
    <row r="455" spans="15:59">
      <c r="O455" s="1"/>
      <c r="P455" s="1"/>
      <c r="AA455" s="1"/>
      <c r="AB455" s="1"/>
      <c r="AG455" s="1"/>
      <c r="AH455" s="1"/>
      <c r="AK455" s="1"/>
      <c r="AL455" s="1"/>
      <c r="AM455" s="2"/>
      <c r="AN455" s="2"/>
      <c r="AQ455" s="1"/>
      <c r="BG455" s="1"/>
    </row>
    <row r="456" spans="15:59">
      <c r="O456" s="1"/>
      <c r="P456" s="1"/>
      <c r="AA456" s="1"/>
      <c r="AB456" s="1"/>
      <c r="AG456" s="1"/>
      <c r="AH456" s="1"/>
      <c r="AK456" s="1"/>
      <c r="AL456" s="1"/>
      <c r="AM456" s="2"/>
      <c r="AN456" s="2"/>
      <c r="AQ456" s="1"/>
      <c r="BG456" s="1"/>
    </row>
    <row r="457" spans="15:59">
      <c r="O457" s="1"/>
      <c r="P457" s="1"/>
      <c r="AA457" s="1"/>
      <c r="AB457" s="1"/>
      <c r="AG457" s="1"/>
      <c r="AH457" s="1"/>
      <c r="AK457" s="1"/>
      <c r="AL457" s="1"/>
      <c r="AM457" s="2"/>
      <c r="AN457" s="2"/>
      <c r="AQ457" s="1"/>
      <c r="BG457" s="1"/>
    </row>
    <row r="458" spans="15:59">
      <c r="O458" s="1"/>
      <c r="P458" s="1"/>
      <c r="AA458" s="1"/>
      <c r="AB458" s="1"/>
      <c r="AG458" s="1"/>
      <c r="AH458" s="1"/>
      <c r="AK458" s="1"/>
      <c r="AL458" s="1"/>
      <c r="AM458" s="2"/>
      <c r="AN458" s="2"/>
      <c r="AQ458" s="1"/>
      <c r="BG458" s="1"/>
    </row>
    <row r="459" spans="15:59">
      <c r="O459" s="1"/>
      <c r="P459" s="1"/>
      <c r="AA459" s="1"/>
      <c r="AB459" s="1"/>
      <c r="AG459" s="1"/>
      <c r="AH459" s="1"/>
      <c r="AK459" s="1"/>
      <c r="AL459" s="1"/>
      <c r="AM459" s="2"/>
      <c r="AN459" s="2"/>
      <c r="AQ459" s="1"/>
      <c r="BG459" s="1"/>
    </row>
    <row r="460" spans="15:59">
      <c r="O460" s="1"/>
      <c r="P460" s="1"/>
      <c r="AA460" s="1"/>
      <c r="AB460" s="1"/>
      <c r="AG460" s="1"/>
      <c r="AH460" s="1"/>
      <c r="AK460" s="1"/>
      <c r="AL460" s="1"/>
      <c r="AM460" s="2"/>
      <c r="AN460" s="2"/>
      <c r="AQ460" s="1"/>
      <c r="BG460" s="1"/>
    </row>
    <row r="461" spans="15:59">
      <c r="O461" s="1"/>
      <c r="P461" s="1"/>
      <c r="AA461" s="1"/>
      <c r="AB461" s="1"/>
      <c r="AG461" s="1"/>
      <c r="AH461" s="1"/>
      <c r="AK461" s="1"/>
      <c r="AL461" s="1"/>
      <c r="AM461" s="2"/>
      <c r="AN461" s="2"/>
      <c r="AQ461" s="1"/>
      <c r="BG461" s="1"/>
    </row>
    <row r="462" spans="15:59">
      <c r="O462" s="1"/>
      <c r="P462" s="1"/>
      <c r="AA462" s="1"/>
      <c r="AB462" s="1"/>
      <c r="AG462" s="1"/>
      <c r="AH462" s="1"/>
      <c r="AK462" s="1"/>
      <c r="AL462" s="1"/>
      <c r="AM462" s="2"/>
      <c r="AN462" s="2"/>
      <c r="AQ462" s="1"/>
      <c r="BG462" s="1"/>
    </row>
    <row r="463" spans="15:59">
      <c r="O463" s="1"/>
      <c r="P463" s="1"/>
      <c r="AA463" s="1"/>
      <c r="AB463" s="1"/>
      <c r="AG463" s="1"/>
      <c r="AH463" s="1"/>
      <c r="AK463" s="1"/>
      <c r="AL463" s="1"/>
      <c r="AM463" s="2"/>
      <c r="AN463" s="2"/>
      <c r="AQ463" s="1"/>
      <c r="BG463" s="1"/>
    </row>
    <row r="464" spans="15:59">
      <c r="O464" s="1"/>
      <c r="P464" s="1"/>
      <c r="AA464" s="1"/>
      <c r="AB464" s="1"/>
      <c r="AG464" s="1"/>
      <c r="AH464" s="1"/>
      <c r="AK464" s="1"/>
      <c r="AL464" s="1"/>
      <c r="AM464" s="2"/>
      <c r="AN464" s="2"/>
      <c r="AQ464" s="1"/>
      <c r="BG464" s="1"/>
    </row>
    <row r="465" spans="15:59">
      <c r="O465" s="1"/>
      <c r="P465" s="1"/>
      <c r="AA465" s="1"/>
      <c r="AB465" s="1"/>
      <c r="AG465" s="1"/>
      <c r="AH465" s="1"/>
      <c r="AK465" s="1"/>
      <c r="AL465" s="1"/>
      <c r="AM465" s="2"/>
      <c r="AN465" s="2"/>
      <c r="AQ465" s="1"/>
      <c r="BG465" s="1"/>
    </row>
    <row r="466" spans="15:59">
      <c r="O466" s="1"/>
      <c r="P466" s="1"/>
      <c r="AA466" s="1"/>
      <c r="AB466" s="1"/>
      <c r="AG466" s="1"/>
      <c r="AH466" s="1"/>
      <c r="AK466" s="1"/>
      <c r="AL466" s="1"/>
      <c r="AM466" s="2"/>
      <c r="AN466" s="2"/>
      <c r="AQ466" s="1"/>
      <c r="BG466" s="1"/>
    </row>
    <row r="467" spans="15:59">
      <c r="O467" s="1"/>
      <c r="P467" s="1"/>
      <c r="AA467" s="1"/>
      <c r="AB467" s="1"/>
      <c r="AG467" s="1"/>
      <c r="AH467" s="1"/>
      <c r="AK467" s="1"/>
      <c r="AL467" s="1"/>
      <c r="AM467" s="2"/>
      <c r="AN467" s="2"/>
      <c r="AQ467" s="1"/>
      <c r="BG467" s="1"/>
    </row>
    <row r="468" spans="15:59">
      <c r="O468" s="1"/>
      <c r="P468" s="1"/>
      <c r="AA468" s="1"/>
      <c r="AB468" s="1"/>
      <c r="AG468" s="1"/>
      <c r="AH468" s="1"/>
      <c r="AK468" s="1"/>
      <c r="AL468" s="1"/>
      <c r="AM468" s="2"/>
      <c r="AN468" s="2"/>
      <c r="AQ468" s="1"/>
      <c r="BG468" s="1"/>
    </row>
    <row r="469" spans="15:59">
      <c r="O469" s="1"/>
      <c r="P469" s="1"/>
      <c r="AA469" s="1"/>
      <c r="AB469" s="1"/>
      <c r="AG469" s="1"/>
      <c r="AH469" s="1"/>
      <c r="AK469" s="1"/>
      <c r="AL469" s="1"/>
      <c r="AM469" s="2"/>
      <c r="AN469" s="2"/>
      <c r="AQ469" s="1"/>
      <c r="BG469" s="1"/>
    </row>
    <row r="470" spans="15:59">
      <c r="O470" s="1"/>
      <c r="P470" s="1"/>
      <c r="AA470" s="1"/>
      <c r="AB470" s="1"/>
      <c r="AG470" s="1"/>
      <c r="AH470" s="1"/>
      <c r="AK470" s="1"/>
      <c r="AL470" s="1"/>
      <c r="AM470" s="2"/>
      <c r="AN470" s="2"/>
      <c r="AQ470" s="1"/>
      <c r="BG470" s="1"/>
    </row>
    <row r="471" spans="15:59">
      <c r="O471" s="1"/>
      <c r="P471" s="1"/>
      <c r="AA471" s="1"/>
      <c r="AB471" s="1"/>
      <c r="AG471" s="1"/>
      <c r="AH471" s="1"/>
      <c r="AK471" s="1"/>
      <c r="AL471" s="1"/>
      <c r="AM471" s="2"/>
      <c r="AN471" s="2"/>
      <c r="AQ471" s="1"/>
      <c r="BG471" s="1"/>
    </row>
    <row r="472" spans="15:59">
      <c r="O472" s="1"/>
      <c r="P472" s="1"/>
      <c r="AA472" s="1"/>
      <c r="AB472" s="1"/>
      <c r="AG472" s="1"/>
      <c r="AH472" s="1"/>
      <c r="AK472" s="1"/>
      <c r="AL472" s="1"/>
      <c r="AM472" s="2"/>
      <c r="AN472" s="2"/>
      <c r="AQ472" s="1"/>
      <c r="BG472" s="1"/>
    </row>
    <row r="473" spans="15:59">
      <c r="O473" s="1"/>
      <c r="P473" s="1"/>
      <c r="AA473" s="1"/>
      <c r="AB473" s="1"/>
      <c r="AG473" s="1"/>
      <c r="AH473" s="1"/>
      <c r="AK473" s="1"/>
      <c r="AL473" s="1"/>
      <c r="AM473" s="2"/>
      <c r="AN473" s="2"/>
      <c r="AQ473" s="1"/>
      <c r="BG473" s="1"/>
    </row>
    <row r="474" spans="15:59">
      <c r="O474" s="1"/>
      <c r="P474" s="1"/>
      <c r="AA474" s="1"/>
      <c r="AB474" s="1"/>
      <c r="AG474" s="1"/>
      <c r="AH474" s="1"/>
      <c r="AK474" s="1"/>
      <c r="AL474" s="1"/>
      <c r="AM474" s="2"/>
      <c r="AN474" s="2"/>
      <c r="AQ474" s="1"/>
      <c r="BG474" s="1"/>
    </row>
    <row r="475" spans="15:59">
      <c r="O475" s="1"/>
      <c r="P475" s="1"/>
      <c r="AA475" s="1"/>
      <c r="AB475" s="1"/>
      <c r="AG475" s="1"/>
      <c r="AH475" s="1"/>
      <c r="AK475" s="1"/>
      <c r="AL475" s="1"/>
      <c r="AM475" s="2"/>
      <c r="AN475" s="2"/>
      <c r="AQ475" s="1"/>
      <c r="BG475" s="1"/>
    </row>
    <row r="476" spans="15:59">
      <c r="O476" s="1"/>
      <c r="P476" s="1"/>
      <c r="AA476" s="1"/>
      <c r="AB476" s="1"/>
      <c r="AG476" s="1"/>
      <c r="AH476" s="1"/>
      <c r="AK476" s="1"/>
      <c r="AL476" s="1"/>
      <c r="AM476" s="2"/>
      <c r="AN476" s="2"/>
      <c r="AQ476" s="1"/>
      <c r="BG476" s="1"/>
    </row>
    <row r="477" spans="15:59">
      <c r="O477" s="1"/>
      <c r="P477" s="1"/>
      <c r="AA477" s="1"/>
      <c r="AB477" s="1"/>
      <c r="AG477" s="1"/>
      <c r="AH477" s="1"/>
      <c r="AK477" s="1"/>
      <c r="AL477" s="1"/>
      <c r="AM477" s="2"/>
      <c r="AN477" s="2"/>
      <c r="AQ477" s="1"/>
      <c r="BG477" s="1"/>
    </row>
    <row r="478" spans="15:59">
      <c r="O478" s="1"/>
      <c r="P478" s="1"/>
      <c r="AA478" s="1"/>
      <c r="AB478" s="1"/>
      <c r="AG478" s="1"/>
      <c r="AH478" s="1"/>
      <c r="AK478" s="1"/>
      <c r="AL478" s="1"/>
      <c r="AM478" s="2"/>
      <c r="AN478" s="2"/>
      <c r="AQ478" s="1"/>
      <c r="BG478" s="1"/>
    </row>
    <row r="479" spans="15:59">
      <c r="O479" s="1"/>
      <c r="P479" s="1"/>
      <c r="AA479" s="1"/>
      <c r="AB479" s="1"/>
      <c r="AG479" s="1"/>
      <c r="AH479" s="1"/>
      <c r="AK479" s="1"/>
      <c r="AL479" s="1"/>
      <c r="AM479" s="2"/>
      <c r="AN479" s="2"/>
      <c r="AQ479" s="1"/>
      <c r="BG479" s="1"/>
    </row>
    <row r="480" spans="15:59">
      <c r="O480" s="1"/>
      <c r="P480" s="1"/>
      <c r="AA480" s="1"/>
      <c r="AB480" s="1"/>
      <c r="AG480" s="1"/>
      <c r="AH480" s="1"/>
      <c r="AK480" s="1"/>
      <c r="AL480" s="1"/>
      <c r="AM480" s="2"/>
      <c r="AN480" s="2"/>
      <c r="AQ480" s="1"/>
      <c r="BG480" s="1"/>
    </row>
    <row r="481" spans="15:59">
      <c r="O481" s="1"/>
      <c r="P481" s="1"/>
      <c r="AA481" s="1"/>
      <c r="AB481" s="1"/>
      <c r="AG481" s="1"/>
      <c r="AH481" s="1"/>
      <c r="AK481" s="1"/>
      <c r="AL481" s="1"/>
      <c r="AM481" s="2"/>
      <c r="AN481" s="2"/>
      <c r="AQ481" s="1"/>
      <c r="BG481" s="1"/>
    </row>
    <row r="482" spans="15:59">
      <c r="O482" s="1"/>
      <c r="P482" s="1"/>
      <c r="AA482" s="1"/>
      <c r="AB482" s="1"/>
      <c r="AG482" s="1"/>
      <c r="AH482" s="1"/>
      <c r="AK482" s="1"/>
      <c r="AL482" s="1"/>
      <c r="AM482" s="2"/>
      <c r="AN482" s="2"/>
      <c r="AQ482" s="1"/>
      <c r="BG482" s="1"/>
    </row>
    <row r="483" spans="15:59">
      <c r="O483" s="1"/>
      <c r="P483" s="1"/>
      <c r="AA483" s="1"/>
      <c r="AB483" s="1"/>
      <c r="AG483" s="1"/>
      <c r="AH483" s="1"/>
      <c r="AK483" s="1"/>
      <c r="AL483" s="1"/>
      <c r="AM483" s="2"/>
      <c r="AN483" s="2"/>
      <c r="AQ483" s="1"/>
      <c r="BG483" s="1"/>
    </row>
    <row r="484" spans="15:59">
      <c r="O484" s="1"/>
      <c r="P484" s="1"/>
      <c r="AA484" s="1"/>
      <c r="AB484" s="1"/>
      <c r="AG484" s="1"/>
      <c r="AH484" s="1"/>
      <c r="AK484" s="1"/>
      <c r="AL484" s="1"/>
      <c r="AM484" s="2"/>
      <c r="AN484" s="2"/>
      <c r="AQ484" s="1"/>
      <c r="BG484" s="1"/>
    </row>
    <row r="485" spans="15:59">
      <c r="O485" s="1"/>
      <c r="P485" s="1"/>
      <c r="AA485" s="1"/>
      <c r="AB485" s="1"/>
      <c r="AG485" s="1"/>
      <c r="AH485" s="1"/>
      <c r="AK485" s="1"/>
      <c r="AL485" s="1"/>
      <c r="AM485" s="2"/>
      <c r="AN485" s="2"/>
      <c r="AQ485" s="1"/>
      <c r="BG485" s="1"/>
    </row>
    <row r="486" spans="15:59">
      <c r="O486" s="1"/>
      <c r="P486" s="1"/>
      <c r="AA486" s="1"/>
      <c r="AB486" s="1"/>
      <c r="AG486" s="1"/>
      <c r="AH486" s="1"/>
      <c r="AK486" s="1"/>
      <c r="AL486" s="1"/>
      <c r="AM486" s="2"/>
      <c r="AN486" s="2"/>
      <c r="AQ486" s="1"/>
      <c r="BG486" s="1"/>
    </row>
    <row r="487" spans="15:59">
      <c r="O487" s="1"/>
      <c r="P487" s="1"/>
      <c r="AA487" s="1"/>
      <c r="AB487" s="1"/>
      <c r="AG487" s="1"/>
      <c r="AH487" s="1"/>
      <c r="AK487" s="1"/>
      <c r="AL487" s="1"/>
      <c r="AM487" s="2"/>
      <c r="AN487" s="2"/>
      <c r="AQ487" s="1"/>
      <c r="BG487" s="1"/>
    </row>
    <row r="488" spans="15:59">
      <c r="O488" s="1"/>
      <c r="P488" s="1"/>
      <c r="AA488" s="1"/>
      <c r="AB488" s="1"/>
      <c r="AG488" s="1"/>
      <c r="AH488" s="1"/>
      <c r="AK488" s="1"/>
      <c r="AL488" s="1"/>
      <c r="AM488" s="2"/>
      <c r="AN488" s="2"/>
      <c r="AQ488" s="1"/>
      <c r="BG488" s="1"/>
    </row>
    <row r="489" spans="15:59">
      <c r="O489" s="1"/>
      <c r="P489" s="1"/>
      <c r="AA489" s="1"/>
      <c r="AB489" s="1"/>
      <c r="AG489" s="1"/>
      <c r="AH489" s="1"/>
      <c r="AK489" s="1"/>
      <c r="AL489" s="1"/>
      <c r="AM489" s="2"/>
      <c r="AN489" s="2"/>
      <c r="AQ489" s="1"/>
      <c r="BG489" s="1"/>
    </row>
    <row r="490" spans="15:59">
      <c r="O490" s="1"/>
      <c r="P490" s="1"/>
      <c r="AA490" s="1"/>
      <c r="AB490" s="1"/>
      <c r="AG490" s="1"/>
      <c r="AH490" s="1"/>
      <c r="AK490" s="1"/>
      <c r="AL490" s="1"/>
      <c r="AM490" s="2"/>
      <c r="AN490" s="2"/>
      <c r="AQ490" s="1"/>
      <c r="BG490" s="1"/>
    </row>
    <row r="491" spans="15:59">
      <c r="O491" s="1"/>
      <c r="P491" s="1"/>
      <c r="AA491" s="1"/>
      <c r="AB491" s="1"/>
      <c r="AG491" s="1"/>
      <c r="AH491" s="1"/>
      <c r="AK491" s="1"/>
      <c r="AL491" s="1"/>
      <c r="AM491" s="2"/>
      <c r="AN491" s="2"/>
      <c r="AQ491" s="1"/>
      <c r="BG491" s="1"/>
    </row>
    <row r="492" spans="15:59">
      <c r="O492" s="1"/>
      <c r="P492" s="1"/>
      <c r="AA492" s="1"/>
      <c r="AB492" s="1"/>
      <c r="AG492" s="1"/>
      <c r="AH492" s="1"/>
      <c r="AK492" s="1"/>
      <c r="AL492" s="1"/>
      <c r="AM492" s="2"/>
      <c r="AN492" s="2"/>
      <c r="AQ492" s="1"/>
      <c r="BG492" s="1"/>
    </row>
    <row r="493" spans="15:59">
      <c r="O493" s="1"/>
      <c r="P493" s="1"/>
      <c r="AA493" s="1"/>
      <c r="AB493" s="1"/>
      <c r="AG493" s="1"/>
      <c r="AH493" s="1"/>
      <c r="AK493" s="1"/>
      <c r="AL493" s="1"/>
      <c r="AM493" s="2"/>
      <c r="AN493" s="2"/>
      <c r="AQ493" s="1"/>
      <c r="BG493" s="1"/>
    </row>
    <row r="494" spans="15:59">
      <c r="O494" s="1"/>
      <c r="P494" s="1"/>
      <c r="AA494" s="1"/>
      <c r="AB494" s="1"/>
      <c r="AG494" s="1"/>
      <c r="AH494" s="1"/>
      <c r="AK494" s="1"/>
      <c r="AL494" s="1"/>
      <c r="AM494" s="2"/>
      <c r="AN494" s="2"/>
      <c r="AQ494" s="1"/>
      <c r="BG494" s="1"/>
    </row>
    <row r="495" spans="15:59">
      <c r="O495" s="1"/>
      <c r="P495" s="1"/>
      <c r="AA495" s="1"/>
      <c r="AB495" s="1"/>
      <c r="AG495" s="1"/>
      <c r="AH495" s="1"/>
      <c r="AK495" s="1"/>
      <c r="AL495" s="1"/>
      <c r="AM495" s="2"/>
      <c r="AN495" s="2"/>
      <c r="AQ495" s="1"/>
      <c r="BG495" s="1"/>
    </row>
    <row r="496" spans="15:59">
      <c r="O496" s="1"/>
      <c r="P496" s="1"/>
      <c r="AA496" s="1"/>
      <c r="AB496" s="1"/>
      <c r="AG496" s="1"/>
      <c r="AH496" s="1"/>
      <c r="AK496" s="1"/>
      <c r="AL496" s="1"/>
      <c r="AM496" s="2"/>
      <c r="AN496" s="2"/>
      <c r="AQ496" s="1"/>
      <c r="BG496" s="1"/>
    </row>
    <row r="497" spans="15:59">
      <c r="O497" s="1"/>
      <c r="P497" s="1"/>
      <c r="AA497" s="1"/>
      <c r="AB497" s="1"/>
      <c r="AG497" s="1"/>
      <c r="AH497" s="1"/>
      <c r="AK497" s="1"/>
      <c r="AL497" s="1"/>
      <c r="AM497" s="2"/>
      <c r="AN497" s="2"/>
      <c r="AQ497" s="1"/>
      <c r="BG497" s="1"/>
    </row>
    <row r="498" spans="15:59">
      <c r="O498" s="1"/>
      <c r="P498" s="1"/>
      <c r="AA498" s="1"/>
      <c r="AB498" s="1"/>
      <c r="AG498" s="1"/>
      <c r="AH498" s="1"/>
      <c r="AK498" s="1"/>
      <c r="AL498" s="1"/>
      <c r="AM498" s="2"/>
      <c r="AN498" s="2"/>
      <c r="AQ498" s="1"/>
      <c r="BG498" s="1"/>
    </row>
    <row r="499" spans="15:59">
      <c r="O499" s="1"/>
      <c r="P499" s="1"/>
      <c r="AA499" s="1"/>
      <c r="AB499" s="1"/>
      <c r="AG499" s="1"/>
      <c r="AH499" s="1"/>
      <c r="AK499" s="1"/>
      <c r="AL499" s="1"/>
      <c r="AM499" s="2"/>
      <c r="AN499" s="2"/>
      <c r="AQ499" s="1"/>
      <c r="BG499" s="1"/>
    </row>
    <row r="500" spans="15:59">
      <c r="O500" s="1"/>
      <c r="P500" s="1"/>
      <c r="AA500" s="1"/>
      <c r="AB500" s="1"/>
      <c r="AG500" s="1"/>
      <c r="AH500" s="1"/>
      <c r="AK500" s="1"/>
      <c r="AL500" s="1"/>
      <c r="AM500" s="2"/>
      <c r="AN500" s="2"/>
      <c r="AQ500" s="1"/>
      <c r="BG500" s="1"/>
    </row>
    <row r="501" spans="15:59">
      <c r="O501" s="1"/>
      <c r="P501" s="1"/>
      <c r="AA501" s="1"/>
      <c r="AB501" s="1"/>
      <c r="AG501" s="1"/>
      <c r="AH501" s="1"/>
      <c r="AK501" s="1"/>
      <c r="AL501" s="1"/>
      <c r="AM501" s="2"/>
      <c r="AN501" s="2"/>
      <c r="AQ501" s="1"/>
      <c r="BG501" s="1"/>
    </row>
    <row r="502" spans="15:59">
      <c r="O502" s="1"/>
      <c r="P502" s="1"/>
      <c r="AA502" s="1"/>
      <c r="AB502" s="1"/>
      <c r="AG502" s="1"/>
      <c r="AH502" s="1"/>
      <c r="AK502" s="1"/>
      <c r="AL502" s="1"/>
      <c r="AM502" s="2"/>
      <c r="AN502" s="2"/>
      <c r="AQ502" s="1"/>
      <c r="BG502" s="1"/>
    </row>
    <row r="503" spans="15:59">
      <c r="O503" s="1"/>
      <c r="P503" s="1"/>
      <c r="AA503" s="1"/>
      <c r="AB503" s="1"/>
      <c r="AG503" s="1"/>
      <c r="AH503" s="1"/>
      <c r="AK503" s="1"/>
      <c r="AL503" s="1"/>
      <c r="AM503" s="2"/>
      <c r="AN503" s="2"/>
      <c r="AQ503" s="1"/>
      <c r="BG503" s="1"/>
    </row>
    <row r="504" spans="15:59">
      <c r="O504" s="1"/>
      <c r="P504" s="1"/>
      <c r="AA504" s="1"/>
      <c r="AB504" s="1"/>
      <c r="AG504" s="1"/>
      <c r="AH504" s="1"/>
      <c r="AK504" s="1"/>
      <c r="AL504" s="1"/>
      <c r="AM504" s="2"/>
      <c r="AN504" s="2"/>
      <c r="AQ504" s="1"/>
      <c r="BG504" s="1"/>
    </row>
    <row r="505" spans="15:59">
      <c r="O505" s="1"/>
      <c r="P505" s="1"/>
      <c r="AA505" s="1"/>
      <c r="AB505" s="1"/>
      <c r="AG505" s="1"/>
      <c r="AH505" s="1"/>
      <c r="AK505" s="1"/>
      <c r="AL505" s="1"/>
      <c r="AM505" s="2"/>
      <c r="AN505" s="2"/>
      <c r="AQ505" s="1"/>
      <c r="BG505" s="1"/>
    </row>
    <row r="506" spans="15:59">
      <c r="O506" s="1"/>
      <c r="P506" s="1"/>
      <c r="AA506" s="1"/>
      <c r="AB506" s="1"/>
      <c r="AG506" s="1"/>
      <c r="AH506" s="1"/>
      <c r="AK506" s="1"/>
      <c r="AL506" s="1"/>
      <c r="AM506" s="2"/>
      <c r="AN506" s="2"/>
      <c r="AQ506" s="1"/>
      <c r="BG506" s="1"/>
    </row>
    <row r="507" spans="15:59">
      <c r="O507" s="1"/>
      <c r="P507" s="1"/>
      <c r="AA507" s="1"/>
      <c r="AB507" s="1"/>
      <c r="AG507" s="1"/>
      <c r="AH507" s="1"/>
      <c r="AK507" s="1"/>
      <c r="AL507" s="1"/>
      <c r="AM507" s="2"/>
      <c r="AN507" s="2"/>
      <c r="AQ507" s="1"/>
      <c r="BG507" s="1"/>
    </row>
    <row r="508" spans="15:59">
      <c r="O508" s="1"/>
      <c r="P508" s="1"/>
      <c r="AA508" s="1"/>
      <c r="AB508" s="1"/>
      <c r="AG508" s="1"/>
      <c r="AH508" s="1"/>
      <c r="AK508" s="1"/>
      <c r="AL508" s="1"/>
      <c r="AM508" s="2"/>
      <c r="AN508" s="2"/>
      <c r="AQ508" s="1"/>
      <c r="BG508" s="1"/>
    </row>
    <row r="509" spans="15:59">
      <c r="O509" s="1"/>
      <c r="P509" s="1"/>
      <c r="AA509" s="1"/>
      <c r="AB509" s="1"/>
      <c r="AG509" s="1"/>
      <c r="AH509" s="1"/>
      <c r="AK509" s="1"/>
      <c r="AL509" s="1"/>
      <c r="AM509" s="2"/>
      <c r="AN509" s="2"/>
      <c r="AQ509" s="1"/>
      <c r="BG509" s="1"/>
    </row>
    <row r="510" spans="15:59">
      <c r="O510" s="1"/>
      <c r="P510" s="1"/>
      <c r="AA510" s="1"/>
      <c r="AB510" s="1"/>
      <c r="AG510" s="1"/>
      <c r="AH510" s="1"/>
      <c r="AK510" s="1"/>
      <c r="AL510" s="1"/>
      <c r="AM510" s="2"/>
      <c r="AN510" s="2"/>
      <c r="AQ510" s="1"/>
      <c r="BG510" s="1"/>
    </row>
    <row r="511" spans="15:59">
      <c r="O511" s="1"/>
      <c r="P511" s="1"/>
      <c r="AA511" s="1"/>
      <c r="AB511" s="1"/>
      <c r="AG511" s="1"/>
      <c r="AH511" s="1"/>
      <c r="AK511" s="1"/>
      <c r="AL511" s="1"/>
      <c r="AM511" s="2"/>
      <c r="AN511" s="2"/>
      <c r="AQ511" s="1"/>
      <c r="BG511" s="1"/>
    </row>
    <row r="512" spans="15:59">
      <c r="O512" s="1"/>
      <c r="P512" s="1"/>
      <c r="AA512" s="1"/>
      <c r="AB512" s="1"/>
      <c r="AG512" s="1"/>
      <c r="AH512" s="1"/>
      <c r="AK512" s="1"/>
      <c r="AL512" s="1"/>
      <c r="AM512" s="2"/>
      <c r="AN512" s="2"/>
      <c r="AQ512" s="1"/>
      <c r="BG512" s="1"/>
    </row>
    <row r="513" spans="15:59">
      <c r="O513" s="1"/>
      <c r="P513" s="1"/>
      <c r="AA513" s="1"/>
      <c r="AB513" s="1"/>
      <c r="AG513" s="1"/>
      <c r="AH513" s="1"/>
      <c r="AK513" s="1"/>
      <c r="AL513" s="1"/>
      <c r="AM513" s="2"/>
      <c r="AN513" s="2"/>
      <c r="AQ513" s="1"/>
      <c r="BG513" s="1"/>
    </row>
    <row r="514" spans="15:59">
      <c r="O514" s="1"/>
      <c r="P514" s="1"/>
      <c r="AA514" s="1"/>
      <c r="AB514" s="1"/>
      <c r="AG514" s="1"/>
      <c r="AH514" s="1"/>
      <c r="AK514" s="1"/>
      <c r="AL514" s="1"/>
      <c r="AM514" s="2"/>
      <c r="AN514" s="2"/>
      <c r="AQ514" s="1"/>
      <c r="BG514" s="1"/>
    </row>
    <row r="515" spans="15:59">
      <c r="O515" s="1"/>
      <c r="P515" s="1"/>
      <c r="AA515" s="1"/>
      <c r="AB515" s="1"/>
      <c r="AG515" s="1"/>
      <c r="AH515" s="1"/>
      <c r="AK515" s="1"/>
      <c r="AL515" s="1"/>
      <c r="AM515" s="2"/>
      <c r="AN515" s="2"/>
      <c r="AQ515" s="1"/>
      <c r="BG515" s="1"/>
    </row>
    <row r="516" spans="15:59">
      <c r="O516" s="1"/>
      <c r="P516" s="1"/>
      <c r="AA516" s="1"/>
      <c r="AB516" s="1"/>
      <c r="AG516" s="1"/>
      <c r="AH516" s="1"/>
      <c r="AK516" s="1"/>
      <c r="AL516" s="1"/>
      <c r="AM516" s="2"/>
      <c r="AN516" s="2"/>
      <c r="AQ516" s="1"/>
      <c r="BG516" s="1"/>
    </row>
    <row r="517" spans="15:59">
      <c r="O517" s="1"/>
      <c r="P517" s="1"/>
      <c r="AA517" s="1"/>
      <c r="AB517" s="1"/>
      <c r="AG517" s="1"/>
      <c r="AH517" s="1"/>
      <c r="AK517" s="1"/>
      <c r="AL517" s="1"/>
      <c r="AM517" s="2"/>
      <c r="AN517" s="2"/>
      <c r="AQ517" s="1"/>
      <c r="BG517" s="1"/>
    </row>
    <row r="518" spans="15:59">
      <c r="O518" s="1"/>
      <c r="P518" s="1"/>
      <c r="AA518" s="1"/>
      <c r="AB518" s="1"/>
      <c r="AG518" s="1"/>
      <c r="AH518" s="1"/>
      <c r="AK518" s="1"/>
      <c r="AL518" s="1"/>
      <c r="AM518" s="2"/>
      <c r="AN518" s="2"/>
      <c r="AQ518" s="1"/>
      <c r="BG518" s="1"/>
    </row>
    <row r="519" spans="15:59">
      <c r="O519" s="1"/>
      <c r="P519" s="1"/>
      <c r="AA519" s="1"/>
      <c r="AB519" s="1"/>
      <c r="AG519" s="1"/>
      <c r="AH519" s="1"/>
      <c r="AK519" s="1"/>
      <c r="AL519" s="1"/>
      <c r="AM519" s="2"/>
      <c r="AN519" s="2"/>
      <c r="AQ519" s="1"/>
      <c r="BG519" s="1"/>
    </row>
    <row r="520" spans="15:59">
      <c r="O520" s="1"/>
      <c r="P520" s="1"/>
      <c r="AA520" s="1"/>
      <c r="AB520" s="1"/>
      <c r="AG520" s="1"/>
      <c r="AH520" s="1"/>
      <c r="AK520" s="1"/>
      <c r="AL520" s="1"/>
      <c r="AM520" s="2"/>
      <c r="AN520" s="2"/>
      <c r="AQ520" s="1"/>
      <c r="BG520" s="1"/>
    </row>
    <row r="521" spans="15:59">
      <c r="O521" s="1"/>
      <c r="P521" s="1"/>
      <c r="AA521" s="1"/>
      <c r="AB521" s="1"/>
      <c r="AG521" s="1"/>
      <c r="AH521" s="1"/>
      <c r="AK521" s="1"/>
      <c r="AL521" s="1"/>
      <c r="AM521" s="2"/>
      <c r="AN521" s="2"/>
      <c r="AQ521" s="1"/>
      <c r="BG521" s="1"/>
    </row>
    <row r="522" spans="15:59">
      <c r="O522" s="1"/>
      <c r="P522" s="1"/>
      <c r="AA522" s="1"/>
      <c r="AB522" s="1"/>
      <c r="AG522" s="1"/>
      <c r="AH522" s="1"/>
      <c r="AK522" s="1"/>
      <c r="AL522" s="1"/>
      <c r="AM522" s="2"/>
      <c r="AN522" s="2"/>
      <c r="AQ522" s="1"/>
      <c r="BG522" s="1"/>
    </row>
    <row r="523" spans="15:59">
      <c r="O523" s="1"/>
      <c r="P523" s="1"/>
      <c r="AA523" s="1"/>
      <c r="AB523" s="1"/>
      <c r="AG523" s="1"/>
      <c r="AH523" s="1"/>
      <c r="AK523" s="1"/>
      <c r="AL523" s="1"/>
      <c r="AM523" s="2"/>
      <c r="AN523" s="2"/>
      <c r="AQ523" s="1"/>
      <c r="BG523" s="1"/>
    </row>
    <row r="524" spans="15:59">
      <c r="O524" s="1"/>
      <c r="P524" s="1"/>
      <c r="AA524" s="1"/>
      <c r="AB524" s="1"/>
      <c r="AG524" s="1"/>
      <c r="AH524" s="1"/>
      <c r="AK524" s="1"/>
      <c r="AL524" s="1"/>
      <c r="AM524" s="2"/>
      <c r="AN524" s="2"/>
      <c r="AQ524" s="1"/>
      <c r="BG524" s="1"/>
    </row>
    <row r="525" spans="15:59">
      <c r="O525" s="1"/>
      <c r="P525" s="1"/>
      <c r="AA525" s="1"/>
      <c r="AB525" s="1"/>
      <c r="AG525" s="1"/>
      <c r="AH525" s="1"/>
      <c r="AK525" s="1"/>
      <c r="AL525" s="1"/>
      <c r="AM525" s="2"/>
      <c r="AN525" s="2"/>
      <c r="AQ525" s="1"/>
      <c r="BG525" s="1"/>
    </row>
    <row r="526" spans="15:59">
      <c r="O526" s="1"/>
      <c r="P526" s="1"/>
      <c r="AA526" s="1"/>
      <c r="AB526" s="1"/>
      <c r="AG526" s="1"/>
      <c r="AH526" s="1"/>
      <c r="AK526" s="1"/>
      <c r="AL526" s="1"/>
      <c r="AM526" s="2"/>
      <c r="AN526" s="2"/>
      <c r="AQ526" s="1"/>
      <c r="BG526" s="1"/>
    </row>
    <row r="527" spans="15:59">
      <c r="O527" s="1"/>
      <c r="P527" s="1"/>
      <c r="AA527" s="1"/>
      <c r="AB527" s="1"/>
      <c r="AG527" s="1"/>
      <c r="AH527" s="1"/>
      <c r="AK527" s="1"/>
      <c r="AL527" s="1"/>
      <c r="AM527" s="2"/>
      <c r="AN527" s="2"/>
      <c r="AQ527" s="1"/>
      <c r="BG527" s="1"/>
    </row>
    <row r="528" spans="15:59">
      <c r="O528" s="1"/>
      <c r="P528" s="1"/>
      <c r="AA528" s="1"/>
      <c r="AB528" s="1"/>
      <c r="AG528" s="1"/>
      <c r="AH528" s="1"/>
      <c r="AK528" s="1"/>
      <c r="AL528" s="1"/>
      <c r="AM528" s="2"/>
      <c r="AN528" s="2"/>
      <c r="AQ528" s="1"/>
      <c r="BG528" s="1"/>
    </row>
    <row r="529" spans="15:59">
      <c r="O529" s="1"/>
      <c r="P529" s="1"/>
      <c r="AA529" s="1"/>
      <c r="AB529" s="1"/>
      <c r="AG529" s="1"/>
      <c r="AH529" s="1"/>
      <c r="AK529" s="1"/>
      <c r="AL529" s="1"/>
      <c r="AM529" s="2"/>
      <c r="AN529" s="2"/>
      <c r="AQ529" s="1"/>
      <c r="BG529" s="1"/>
    </row>
    <row r="530" spans="15:59">
      <c r="O530" s="1"/>
      <c r="P530" s="1"/>
      <c r="AA530" s="1"/>
      <c r="AB530" s="1"/>
      <c r="AG530" s="1"/>
      <c r="AH530" s="1"/>
      <c r="AK530" s="1"/>
      <c r="AL530" s="1"/>
      <c r="AM530" s="2"/>
      <c r="AN530" s="2"/>
      <c r="AQ530" s="1"/>
      <c r="BG530" s="1"/>
    </row>
    <row r="531" spans="15:59">
      <c r="O531" s="1"/>
      <c r="P531" s="1"/>
      <c r="AA531" s="1"/>
      <c r="AB531" s="1"/>
      <c r="AG531" s="1"/>
      <c r="AH531" s="1"/>
      <c r="AK531" s="1"/>
      <c r="AL531" s="1"/>
      <c r="AM531" s="2"/>
      <c r="AN531" s="2"/>
      <c r="AQ531" s="1"/>
      <c r="BG531" s="1"/>
    </row>
    <row r="532" spans="15:59">
      <c r="O532" s="1"/>
      <c r="P532" s="1"/>
      <c r="AA532" s="1"/>
      <c r="AB532" s="1"/>
      <c r="AG532" s="1"/>
      <c r="AH532" s="1"/>
      <c r="AK532" s="1"/>
      <c r="AL532" s="1"/>
      <c r="AM532" s="2"/>
      <c r="AN532" s="2"/>
      <c r="AQ532" s="1"/>
      <c r="BG532" s="1"/>
    </row>
    <row r="533" spans="15:59">
      <c r="O533" s="1"/>
      <c r="P533" s="1"/>
      <c r="AA533" s="1"/>
      <c r="AB533" s="1"/>
      <c r="AG533" s="1"/>
      <c r="AH533" s="1"/>
      <c r="AK533" s="1"/>
      <c r="AL533" s="1"/>
      <c r="AM533" s="2"/>
      <c r="AN533" s="2"/>
      <c r="AQ533" s="1"/>
      <c r="BG533" s="1"/>
    </row>
    <row r="534" spans="15:59">
      <c r="O534" s="1"/>
      <c r="P534" s="1"/>
      <c r="AA534" s="1"/>
      <c r="AB534" s="1"/>
      <c r="AG534" s="1"/>
      <c r="AH534" s="1"/>
      <c r="AK534" s="1"/>
      <c r="AL534" s="1"/>
      <c r="AM534" s="2"/>
      <c r="AN534" s="2"/>
      <c r="AQ534" s="1"/>
      <c r="BG534" s="1"/>
    </row>
    <row r="535" spans="15:59">
      <c r="O535" s="1"/>
      <c r="P535" s="1"/>
      <c r="AA535" s="1"/>
      <c r="AB535" s="1"/>
      <c r="AG535" s="1"/>
      <c r="AH535" s="1"/>
      <c r="AK535" s="1"/>
      <c r="AL535" s="1"/>
      <c r="AM535" s="2"/>
      <c r="AN535" s="2"/>
      <c r="AQ535" s="1"/>
      <c r="BG535" s="1"/>
    </row>
    <row r="536" spans="15:59">
      <c r="O536" s="1"/>
      <c r="P536" s="1"/>
      <c r="AA536" s="1"/>
      <c r="AB536" s="1"/>
      <c r="AG536" s="1"/>
      <c r="AH536" s="1"/>
      <c r="AK536" s="1"/>
      <c r="AL536" s="1"/>
      <c r="AM536" s="2"/>
      <c r="AN536" s="2"/>
      <c r="AQ536" s="1"/>
      <c r="BG536" s="1"/>
    </row>
    <row r="537" spans="15:59">
      <c r="O537" s="1"/>
      <c r="P537" s="1"/>
      <c r="AA537" s="1"/>
      <c r="AB537" s="1"/>
      <c r="AG537" s="1"/>
      <c r="AH537" s="1"/>
      <c r="AK537" s="1"/>
      <c r="AL537" s="1"/>
      <c r="AM537" s="2"/>
      <c r="AN537" s="2"/>
      <c r="AQ537" s="1"/>
      <c r="BG537" s="1"/>
    </row>
    <row r="538" spans="15:59">
      <c r="O538" s="1"/>
      <c r="P538" s="1"/>
      <c r="AA538" s="1"/>
      <c r="AB538" s="1"/>
      <c r="AG538" s="1"/>
      <c r="AH538" s="1"/>
      <c r="AK538" s="1"/>
      <c r="AL538" s="1"/>
      <c r="AM538" s="2"/>
      <c r="AN538" s="2"/>
      <c r="AQ538" s="1"/>
      <c r="BG538" s="1"/>
    </row>
    <row r="539" spans="15:59">
      <c r="O539" s="1"/>
      <c r="P539" s="1"/>
      <c r="AA539" s="1"/>
      <c r="AB539" s="1"/>
      <c r="AG539" s="1"/>
      <c r="AH539" s="1"/>
      <c r="AK539" s="1"/>
      <c r="AL539" s="1"/>
      <c r="AM539" s="2"/>
      <c r="AN539" s="2"/>
      <c r="AQ539" s="1"/>
      <c r="BG539" s="1"/>
    </row>
    <row r="540" spans="15:59">
      <c r="O540" s="1"/>
      <c r="P540" s="1"/>
      <c r="AA540" s="1"/>
      <c r="AB540" s="1"/>
      <c r="AG540" s="1"/>
      <c r="AH540" s="1"/>
      <c r="AK540" s="1"/>
      <c r="AL540" s="1"/>
      <c r="AM540" s="2"/>
      <c r="AN540" s="2"/>
      <c r="AQ540" s="1"/>
      <c r="BG540" s="1"/>
    </row>
    <row r="541" spans="15:59">
      <c r="O541" s="1"/>
      <c r="P541" s="1"/>
      <c r="AA541" s="1"/>
      <c r="AB541" s="1"/>
      <c r="AG541" s="1"/>
      <c r="AH541" s="1"/>
      <c r="AK541" s="1"/>
      <c r="AL541" s="1"/>
      <c r="AM541" s="2"/>
      <c r="AN541" s="2"/>
      <c r="AQ541" s="1"/>
      <c r="BG541" s="1"/>
    </row>
    <row r="542" spans="15:59">
      <c r="O542" s="1"/>
      <c r="P542" s="1"/>
      <c r="AA542" s="1"/>
      <c r="AB542" s="1"/>
      <c r="AG542" s="1"/>
      <c r="AH542" s="1"/>
      <c r="AK542" s="1"/>
      <c r="AL542" s="1"/>
      <c r="AM542" s="2"/>
      <c r="AN542" s="2"/>
      <c r="AQ542" s="1"/>
      <c r="BG542" s="1"/>
    </row>
    <row r="543" spans="15:59">
      <c r="O543" s="1"/>
      <c r="P543" s="1"/>
      <c r="AA543" s="1"/>
      <c r="AB543" s="1"/>
      <c r="AG543" s="1"/>
      <c r="AH543" s="1"/>
      <c r="AK543" s="1"/>
      <c r="AL543" s="1"/>
      <c r="AM543" s="2"/>
      <c r="AN543" s="2"/>
      <c r="AQ543" s="1"/>
      <c r="BG543" s="1"/>
    </row>
    <row r="544" spans="15:59">
      <c r="O544" s="1"/>
      <c r="P544" s="1"/>
      <c r="AA544" s="1"/>
      <c r="AB544" s="1"/>
      <c r="AG544" s="1"/>
      <c r="AH544" s="1"/>
      <c r="AK544" s="1"/>
      <c r="AL544" s="1"/>
      <c r="AM544" s="2"/>
      <c r="AN544" s="2"/>
      <c r="AQ544" s="1"/>
      <c r="BG544" s="1"/>
    </row>
    <row r="545" spans="15:59">
      <c r="O545" s="1"/>
      <c r="P545" s="1"/>
      <c r="AA545" s="1"/>
      <c r="AB545" s="1"/>
      <c r="AG545" s="1"/>
      <c r="AH545" s="1"/>
      <c r="AK545" s="1"/>
      <c r="AL545" s="1"/>
      <c r="AM545" s="2"/>
      <c r="AN545" s="2"/>
      <c r="AQ545" s="1"/>
      <c r="BG545" s="1"/>
    </row>
    <row r="546" spans="15:59">
      <c r="O546" s="1"/>
      <c r="P546" s="1"/>
      <c r="AA546" s="1"/>
      <c r="AB546" s="1"/>
      <c r="AG546" s="1"/>
      <c r="AH546" s="1"/>
      <c r="AK546" s="1"/>
      <c r="AL546" s="1"/>
      <c r="AM546" s="2"/>
      <c r="AN546" s="2"/>
      <c r="AQ546" s="1"/>
      <c r="BG546" s="1"/>
    </row>
    <row r="547" spans="15:59">
      <c r="O547" s="1"/>
      <c r="P547" s="1"/>
      <c r="AA547" s="1"/>
      <c r="AB547" s="1"/>
      <c r="AG547" s="1"/>
      <c r="AH547" s="1"/>
      <c r="AK547" s="1"/>
      <c r="AL547" s="1"/>
      <c r="AM547" s="2"/>
      <c r="AN547" s="2"/>
      <c r="AQ547" s="1"/>
      <c r="BG547" s="1"/>
    </row>
    <row r="548" spans="15:59">
      <c r="O548" s="1"/>
      <c r="P548" s="1"/>
      <c r="AA548" s="1"/>
      <c r="AB548" s="1"/>
      <c r="AG548" s="1"/>
      <c r="AH548" s="1"/>
      <c r="AK548" s="1"/>
      <c r="AL548" s="1"/>
      <c r="AM548" s="2"/>
      <c r="AN548" s="2"/>
      <c r="AQ548" s="1"/>
      <c r="BG548" s="1"/>
    </row>
    <row r="549" spans="15:59">
      <c r="O549" s="1"/>
      <c r="P549" s="1"/>
      <c r="AA549" s="1"/>
      <c r="AB549" s="1"/>
      <c r="AG549" s="1"/>
      <c r="AH549" s="1"/>
      <c r="AK549" s="1"/>
      <c r="AL549" s="1"/>
      <c r="AM549" s="2"/>
      <c r="AN549" s="2"/>
      <c r="AQ549" s="1"/>
      <c r="BG549" s="1"/>
    </row>
    <row r="550" spans="15:59">
      <c r="O550" s="1"/>
      <c r="P550" s="1"/>
      <c r="AA550" s="1"/>
      <c r="AB550" s="1"/>
      <c r="AG550" s="1"/>
      <c r="AH550" s="1"/>
      <c r="AK550" s="1"/>
      <c r="AL550" s="1"/>
      <c r="AM550" s="2"/>
      <c r="AN550" s="2"/>
      <c r="AQ550" s="1"/>
      <c r="BG550" s="1"/>
    </row>
    <row r="551" spans="15:59">
      <c r="O551" s="1"/>
      <c r="P551" s="1"/>
      <c r="AA551" s="1"/>
      <c r="AB551" s="1"/>
      <c r="AG551" s="1"/>
      <c r="AH551" s="1"/>
      <c r="AK551" s="1"/>
      <c r="AL551" s="1"/>
      <c r="AM551" s="2"/>
      <c r="AN551" s="2"/>
      <c r="AQ551" s="1"/>
      <c r="BG551" s="1"/>
    </row>
    <row r="552" spans="15:59">
      <c r="O552" s="1"/>
      <c r="P552" s="1"/>
      <c r="AA552" s="1"/>
      <c r="AB552" s="1"/>
      <c r="AG552" s="1"/>
      <c r="AH552" s="1"/>
      <c r="AK552" s="1"/>
      <c r="AL552" s="1"/>
      <c r="AM552" s="2"/>
      <c r="AN552" s="2"/>
      <c r="AQ552" s="1"/>
      <c r="BG552" s="1"/>
    </row>
    <row r="553" spans="15:59">
      <c r="O553" s="1"/>
      <c r="P553" s="1"/>
      <c r="AA553" s="1"/>
      <c r="AB553" s="1"/>
      <c r="AG553" s="1"/>
      <c r="AH553" s="1"/>
      <c r="AK553" s="1"/>
      <c r="AL553" s="1"/>
      <c r="AM553" s="2"/>
      <c r="AN553" s="2"/>
      <c r="AQ553" s="1"/>
      <c r="BG553" s="1"/>
    </row>
    <row r="554" spans="15:59">
      <c r="O554" s="1"/>
      <c r="P554" s="1"/>
      <c r="AA554" s="1"/>
      <c r="AB554" s="1"/>
      <c r="AG554" s="1"/>
      <c r="AH554" s="1"/>
      <c r="AK554" s="1"/>
      <c r="AL554" s="1"/>
      <c r="AM554" s="2"/>
      <c r="AN554" s="2"/>
      <c r="AQ554" s="1"/>
      <c r="BG554" s="1"/>
    </row>
    <row r="555" spans="15:59">
      <c r="O555" s="1"/>
      <c r="P555" s="1"/>
      <c r="AA555" s="1"/>
      <c r="AB555" s="1"/>
      <c r="AG555" s="1"/>
      <c r="AH555" s="1"/>
      <c r="AK555" s="1"/>
      <c r="AL555" s="1"/>
      <c r="AM555" s="2"/>
      <c r="AN555" s="2"/>
      <c r="AQ555" s="1"/>
      <c r="BG555" s="1"/>
    </row>
    <row r="556" spans="15:59">
      <c r="O556" s="1"/>
      <c r="P556" s="1"/>
      <c r="AA556" s="1"/>
      <c r="AB556" s="1"/>
      <c r="AG556" s="1"/>
      <c r="AH556" s="1"/>
      <c r="AK556" s="1"/>
      <c r="AL556" s="1"/>
      <c r="AM556" s="2"/>
      <c r="AN556" s="2"/>
      <c r="AQ556" s="1"/>
      <c r="BG556" s="1"/>
    </row>
    <row r="557" spans="15:59">
      <c r="O557" s="1"/>
      <c r="P557" s="1"/>
      <c r="AA557" s="1"/>
      <c r="AB557" s="1"/>
      <c r="AG557" s="1"/>
      <c r="AH557" s="1"/>
      <c r="AK557" s="1"/>
      <c r="AL557" s="1"/>
      <c r="AM557" s="2"/>
      <c r="AN557" s="2"/>
      <c r="AQ557" s="1"/>
      <c r="BG557" s="1"/>
    </row>
    <row r="558" spans="15:59">
      <c r="O558" s="1"/>
      <c r="P558" s="1"/>
      <c r="AA558" s="1"/>
      <c r="AB558" s="1"/>
      <c r="AG558" s="1"/>
      <c r="AH558" s="1"/>
      <c r="AK558" s="1"/>
      <c r="AL558" s="1"/>
      <c r="AM558" s="2"/>
      <c r="AN558" s="2"/>
      <c r="AQ558" s="1"/>
      <c r="BG558" s="1"/>
    </row>
    <row r="559" spans="15:59">
      <c r="O559" s="1"/>
      <c r="P559" s="1"/>
      <c r="AA559" s="1"/>
      <c r="AB559" s="1"/>
      <c r="AG559" s="1"/>
      <c r="AH559" s="1"/>
      <c r="AK559" s="1"/>
      <c r="AL559" s="1"/>
      <c r="AM559" s="2"/>
      <c r="AN559" s="2"/>
      <c r="AQ559" s="1"/>
      <c r="BG559" s="1"/>
    </row>
    <row r="560" spans="15:59">
      <c r="O560" s="1"/>
      <c r="P560" s="1"/>
      <c r="AA560" s="1"/>
      <c r="AB560" s="1"/>
      <c r="AG560" s="1"/>
      <c r="AH560" s="1"/>
      <c r="AK560" s="1"/>
      <c r="AL560" s="1"/>
      <c r="AM560" s="2"/>
      <c r="AN560" s="2"/>
      <c r="AQ560" s="1"/>
      <c r="BG560" s="1"/>
    </row>
    <row r="561" spans="15:59">
      <c r="O561" s="1"/>
      <c r="P561" s="1"/>
      <c r="AA561" s="1"/>
      <c r="AB561" s="1"/>
      <c r="AG561" s="1"/>
      <c r="AH561" s="1"/>
      <c r="AK561" s="1"/>
      <c r="AL561" s="1"/>
      <c r="AM561" s="2"/>
      <c r="AN561" s="2"/>
      <c r="AQ561" s="1"/>
      <c r="BG561" s="1"/>
    </row>
    <row r="562" spans="15:59">
      <c r="O562" s="1"/>
      <c r="P562" s="1"/>
      <c r="AA562" s="1"/>
      <c r="AB562" s="1"/>
      <c r="AG562" s="1"/>
      <c r="AH562" s="1"/>
      <c r="AK562" s="1"/>
      <c r="AL562" s="1"/>
      <c r="AM562" s="2"/>
      <c r="AN562" s="2"/>
      <c r="AQ562" s="1"/>
      <c r="BG562" s="1"/>
    </row>
    <row r="563" spans="15:59">
      <c r="O563" s="1"/>
      <c r="P563" s="1"/>
      <c r="AA563" s="1"/>
      <c r="AB563" s="1"/>
      <c r="AG563" s="1"/>
      <c r="AH563" s="1"/>
      <c r="AK563" s="1"/>
      <c r="AL563" s="1"/>
      <c r="AM563" s="2"/>
      <c r="AN563" s="2"/>
      <c r="AQ563" s="1"/>
      <c r="BG563" s="1"/>
    </row>
    <row r="564" spans="15:59">
      <c r="O564" s="1"/>
      <c r="P564" s="1"/>
      <c r="AA564" s="1"/>
      <c r="AB564" s="1"/>
      <c r="AG564" s="1"/>
      <c r="AH564" s="1"/>
      <c r="AK564" s="1"/>
      <c r="AL564" s="1"/>
      <c r="AM564" s="2"/>
      <c r="AN564" s="2"/>
      <c r="AQ564" s="1"/>
      <c r="BG564" s="1"/>
    </row>
    <row r="565" spans="15:59">
      <c r="O565" s="1"/>
      <c r="P565" s="1"/>
      <c r="AA565" s="1"/>
      <c r="AB565" s="1"/>
      <c r="AG565" s="1"/>
      <c r="AH565" s="1"/>
      <c r="AK565" s="1"/>
      <c r="AL565" s="1"/>
      <c r="AM565" s="2"/>
      <c r="AN565" s="2"/>
      <c r="AQ565" s="1"/>
      <c r="BG565" s="1"/>
    </row>
    <row r="566" spans="15:59">
      <c r="O566" s="1"/>
      <c r="P566" s="1"/>
      <c r="AA566" s="1"/>
      <c r="AB566" s="1"/>
      <c r="AG566" s="1"/>
      <c r="AH566" s="1"/>
      <c r="AK566" s="1"/>
      <c r="AL566" s="1"/>
      <c r="AM566" s="2"/>
      <c r="AN566" s="2"/>
      <c r="AQ566" s="1"/>
      <c r="BG566" s="1"/>
    </row>
    <row r="567" spans="15:59">
      <c r="O567" s="1"/>
      <c r="P567" s="1"/>
      <c r="AA567" s="1"/>
      <c r="AB567" s="1"/>
      <c r="AG567" s="1"/>
      <c r="AH567" s="1"/>
      <c r="AK567" s="1"/>
      <c r="AL567" s="1"/>
      <c r="AM567" s="2"/>
      <c r="AN567" s="2"/>
      <c r="AQ567" s="1"/>
      <c r="BG567" s="1"/>
    </row>
    <row r="568" spans="15:59">
      <c r="O568" s="1"/>
      <c r="P568" s="1"/>
      <c r="AA568" s="1"/>
      <c r="AB568" s="1"/>
      <c r="AG568" s="1"/>
      <c r="AH568" s="1"/>
      <c r="AK568" s="1"/>
      <c r="AL568" s="1"/>
      <c r="AM568" s="2"/>
      <c r="AN568" s="2"/>
      <c r="AQ568" s="1"/>
      <c r="BG568" s="1"/>
    </row>
    <row r="569" spans="15:59">
      <c r="O569" s="1"/>
      <c r="P569" s="1"/>
      <c r="AA569" s="1"/>
      <c r="AB569" s="1"/>
      <c r="AG569" s="1"/>
      <c r="AH569" s="1"/>
      <c r="AK569" s="1"/>
      <c r="AL569" s="1"/>
      <c r="AM569" s="2"/>
      <c r="AN569" s="2"/>
      <c r="AQ569" s="1"/>
      <c r="BG569" s="1"/>
    </row>
    <row r="570" spans="15:59">
      <c r="O570" s="1"/>
      <c r="P570" s="1"/>
      <c r="AA570" s="1"/>
      <c r="AB570" s="1"/>
      <c r="AG570" s="1"/>
      <c r="AH570" s="1"/>
      <c r="AK570" s="1"/>
      <c r="AL570" s="1"/>
      <c r="AM570" s="2"/>
      <c r="AN570" s="2"/>
      <c r="AQ570" s="1"/>
      <c r="BG570" s="1"/>
    </row>
    <row r="571" spans="15:59">
      <c r="O571" s="1"/>
      <c r="P571" s="1"/>
      <c r="AA571" s="1"/>
      <c r="AB571" s="1"/>
      <c r="AG571" s="1"/>
      <c r="AH571" s="1"/>
      <c r="AK571" s="1"/>
      <c r="AL571" s="1"/>
      <c r="AM571" s="2"/>
      <c r="AN571" s="2"/>
      <c r="AQ571" s="1"/>
      <c r="BG571" s="1"/>
    </row>
    <row r="572" spans="15:59">
      <c r="O572" s="1"/>
      <c r="P572" s="1"/>
      <c r="AA572" s="1"/>
      <c r="AB572" s="1"/>
      <c r="AG572" s="1"/>
      <c r="AH572" s="1"/>
      <c r="AK572" s="1"/>
      <c r="AL572" s="1"/>
      <c r="AM572" s="2"/>
      <c r="AN572" s="2"/>
      <c r="AQ572" s="1"/>
      <c r="BG572" s="1"/>
    </row>
    <row r="573" spans="15:59">
      <c r="O573" s="1"/>
      <c r="P573" s="1"/>
      <c r="AA573" s="1"/>
      <c r="AB573" s="1"/>
      <c r="AG573" s="1"/>
      <c r="AH573" s="1"/>
      <c r="AK573" s="1"/>
      <c r="AL573" s="1"/>
      <c r="AM573" s="2"/>
      <c r="AN573" s="2"/>
      <c r="AQ573" s="1"/>
      <c r="BG573" s="1"/>
    </row>
    <row r="574" spans="15:59">
      <c r="O574" s="1"/>
      <c r="P574" s="1"/>
      <c r="AA574" s="1"/>
      <c r="AB574" s="1"/>
      <c r="AG574" s="1"/>
      <c r="AH574" s="1"/>
      <c r="AK574" s="1"/>
      <c r="AL574" s="1"/>
      <c r="AM574" s="2"/>
      <c r="AN574" s="2"/>
      <c r="AQ574" s="1"/>
      <c r="BG574" s="1"/>
    </row>
    <row r="575" spans="15:59">
      <c r="O575" s="1"/>
      <c r="P575" s="1"/>
      <c r="AA575" s="1"/>
      <c r="AB575" s="1"/>
      <c r="AG575" s="1"/>
      <c r="AH575" s="1"/>
      <c r="AK575" s="1"/>
      <c r="AL575" s="1"/>
      <c r="AM575" s="2"/>
      <c r="AN575" s="2"/>
      <c r="AQ575" s="1"/>
      <c r="BG575" s="1"/>
    </row>
    <row r="576" spans="15:59">
      <c r="O576" s="1"/>
      <c r="P576" s="1"/>
      <c r="AA576" s="1"/>
      <c r="AB576" s="1"/>
      <c r="AG576" s="1"/>
      <c r="AH576" s="1"/>
      <c r="AK576" s="1"/>
      <c r="AL576" s="1"/>
      <c r="AM576" s="2"/>
      <c r="AN576" s="2"/>
      <c r="AQ576" s="1"/>
      <c r="BG576" s="1"/>
    </row>
    <row r="577" spans="15:59">
      <c r="O577" s="1"/>
      <c r="P577" s="1"/>
      <c r="AA577" s="1"/>
      <c r="AB577" s="1"/>
      <c r="AG577" s="1"/>
      <c r="AH577" s="1"/>
      <c r="AK577" s="1"/>
      <c r="AL577" s="1"/>
      <c r="AM577" s="2"/>
      <c r="AN577" s="2"/>
      <c r="AQ577" s="1"/>
      <c r="BG577" s="1"/>
    </row>
    <row r="578" spans="15:59">
      <c r="O578" s="1"/>
      <c r="P578" s="1"/>
      <c r="AA578" s="1"/>
      <c r="AB578" s="1"/>
      <c r="AG578" s="1"/>
      <c r="AH578" s="1"/>
      <c r="AK578" s="1"/>
      <c r="AL578" s="1"/>
      <c r="AM578" s="2"/>
      <c r="AN578" s="2"/>
      <c r="AQ578" s="1"/>
      <c r="BG578" s="1"/>
    </row>
    <row r="579" spans="15:59">
      <c r="O579" s="1"/>
      <c r="P579" s="1"/>
      <c r="AA579" s="1"/>
      <c r="AB579" s="1"/>
      <c r="AG579" s="1"/>
      <c r="AH579" s="1"/>
      <c r="AK579" s="1"/>
      <c r="AL579" s="1"/>
      <c r="AM579" s="2"/>
      <c r="AN579" s="2"/>
      <c r="AQ579" s="1"/>
      <c r="BG579" s="1"/>
    </row>
    <row r="580" spans="15:59">
      <c r="O580" s="1"/>
      <c r="P580" s="1"/>
      <c r="AA580" s="1"/>
      <c r="AB580" s="1"/>
      <c r="AG580" s="1"/>
      <c r="AH580" s="1"/>
      <c r="AK580" s="1"/>
      <c r="AL580" s="1"/>
      <c r="AM580" s="2"/>
      <c r="AN580" s="2"/>
      <c r="AQ580" s="1"/>
      <c r="BG580" s="1"/>
    </row>
    <row r="581" spans="15:59">
      <c r="O581" s="1"/>
      <c r="P581" s="1"/>
      <c r="AA581" s="1"/>
      <c r="AB581" s="1"/>
      <c r="AG581" s="1"/>
      <c r="AH581" s="1"/>
      <c r="AK581" s="1"/>
      <c r="AL581" s="1"/>
      <c r="AM581" s="2"/>
      <c r="AN581" s="2"/>
      <c r="AQ581" s="1"/>
      <c r="BG581" s="1"/>
    </row>
    <row r="582" spans="15:59">
      <c r="O582" s="1"/>
      <c r="P582" s="1"/>
      <c r="AA582" s="1"/>
      <c r="AB582" s="1"/>
      <c r="AG582" s="1"/>
      <c r="AH582" s="1"/>
      <c r="AK582" s="1"/>
      <c r="AL582" s="1"/>
      <c r="AM582" s="2"/>
      <c r="AN582" s="2"/>
      <c r="AQ582" s="1"/>
      <c r="BG582" s="1"/>
    </row>
    <row r="583" spans="15:59">
      <c r="O583" s="1"/>
      <c r="P583" s="1"/>
      <c r="AA583" s="1"/>
      <c r="AB583" s="1"/>
      <c r="AG583" s="1"/>
      <c r="AH583" s="1"/>
      <c r="AK583" s="1"/>
      <c r="AL583" s="1"/>
      <c r="AM583" s="2"/>
      <c r="AN583" s="2"/>
      <c r="AQ583" s="1"/>
      <c r="BG583" s="1"/>
    </row>
    <row r="584" spans="15:59">
      <c r="O584" s="1"/>
      <c r="P584" s="1"/>
      <c r="AA584" s="1"/>
      <c r="AB584" s="1"/>
      <c r="AG584" s="1"/>
      <c r="AH584" s="1"/>
      <c r="AK584" s="1"/>
      <c r="AL584" s="1"/>
      <c r="AM584" s="2"/>
      <c r="AN584" s="2"/>
      <c r="AQ584" s="1"/>
      <c r="BG584" s="1"/>
    </row>
    <row r="585" spans="15:59">
      <c r="O585" s="1"/>
      <c r="P585" s="1"/>
      <c r="AA585" s="1"/>
      <c r="AB585" s="1"/>
      <c r="AG585" s="1"/>
      <c r="AH585" s="1"/>
      <c r="AK585" s="1"/>
      <c r="AL585" s="1"/>
      <c r="AM585" s="2"/>
      <c r="AN585" s="2"/>
      <c r="AQ585" s="1"/>
      <c r="BG585" s="1"/>
    </row>
    <row r="586" spans="15:59">
      <c r="O586" s="1"/>
      <c r="P586" s="1"/>
      <c r="AA586" s="1"/>
      <c r="AB586" s="1"/>
      <c r="AG586" s="1"/>
      <c r="AH586" s="1"/>
      <c r="AK586" s="1"/>
      <c r="AL586" s="1"/>
      <c r="AM586" s="2"/>
      <c r="AN586" s="2"/>
      <c r="AQ586" s="1"/>
      <c r="BG586" s="1"/>
    </row>
    <row r="587" spans="15:59">
      <c r="O587" s="1"/>
      <c r="P587" s="1"/>
      <c r="AA587" s="1"/>
      <c r="AB587" s="1"/>
      <c r="AG587" s="1"/>
      <c r="AH587" s="1"/>
      <c r="AK587" s="1"/>
      <c r="AL587" s="1"/>
      <c r="AM587" s="2"/>
      <c r="AN587" s="2"/>
      <c r="AQ587" s="1"/>
      <c r="BG587" s="1"/>
    </row>
    <row r="588" spans="15:59">
      <c r="O588" s="1"/>
      <c r="P588" s="1"/>
      <c r="AA588" s="1"/>
      <c r="AB588" s="1"/>
      <c r="AG588" s="1"/>
      <c r="AH588" s="1"/>
      <c r="AK588" s="1"/>
      <c r="AL588" s="1"/>
      <c r="AM588" s="2"/>
      <c r="AN588" s="2"/>
      <c r="AQ588" s="1"/>
      <c r="BG588" s="1"/>
    </row>
    <row r="589" spans="15:59">
      <c r="O589" s="1"/>
      <c r="P589" s="1"/>
      <c r="AA589" s="1"/>
      <c r="AB589" s="1"/>
      <c r="AG589" s="1"/>
      <c r="AH589" s="1"/>
      <c r="AK589" s="1"/>
      <c r="AL589" s="1"/>
      <c r="AM589" s="2"/>
      <c r="AN589" s="2"/>
      <c r="AQ589" s="1"/>
      <c r="BG589" s="1"/>
    </row>
    <row r="590" spans="15:59">
      <c r="O590" s="1"/>
      <c r="P590" s="1"/>
      <c r="AA590" s="1"/>
      <c r="AB590" s="1"/>
      <c r="AG590" s="1"/>
      <c r="AH590" s="1"/>
      <c r="AK590" s="1"/>
      <c r="AL590" s="1"/>
      <c r="AM590" s="2"/>
      <c r="AN590" s="2"/>
      <c r="AQ590" s="1"/>
      <c r="BG590" s="1"/>
    </row>
    <row r="591" spans="15:59">
      <c r="O591" s="1"/>
      <c r="P591" s="1"/>
      <c r="AA591" s="1"/>
      <c r="AB591" s="1"/>
      <c r="AG591" s="1"/>
      <c r="AH591" s="1"/>
      <c r="AK591" s="1"/>
      <c r="AL591" s="1"/>
      <c r="AM591" s="2"/>
      <c r="AN591" s="2"/>
      <c r="AQ591" s="1"/>
      <c r="BG591" s="1"/>
    </row>
    <row r="592" spans="15:59">
      <c r="O592" s="1"/>
      <c r="P592" s="1"/>
      <c r="AA592" s="1"/>
      <c r="AB592" s="1"/>
      <c r="AG592" s="1"/>
      <c r="AH592" s="1"/>
      <c r="AK592" s="1"/>
      <c r="AL592" s="1"/>
      <c r="AM592" s="2"/>
      <c r="AN592" s="2"/>
      <c r="AQ592" s="1"/>
      <c r="BG592" s="1"/>
    </row>
    <row r="593" spans="15:59">
      <c r="O593" s="1"/>
      <c r="P593" s="1"/>
      <c r="AA593" s="1"/>
      <c r="AB593" s="1"/>
      <c r="AG593" s="1"/>
      <c r="AH593" s="1"/>
      <c r="AK593" s="1"/>
      <c r="AL593" s="1"/>
      <c r="AM593" s="2"/>
      <c r="AN593" s="2"/>
      <c r="AQ593" s="1"/>
      <c r="BG593" s="1"/>
    </row>
    <row r="594" spans="15:59">
      <c r="O594" s="1"/>
      <c r="P594" s="1"/>
      <c r="AA594" s="1"/>
      <c r="AB594" s="1"/>
      <c r="AG594" s="1"/>
      <c r="AH594" s="1"/>
      <c r="AK594" s="1"/>
      <c r="AL594" s="1"/>
      <c r="AM594" s="2"/>
      <c r="AN594" s="2"/>
      <c r="AQ594" s="1"/>
      <c r="BG594" s="1"/>
    </row>
    <row r="595" spans="15:59">
      <c r="O595" s="1"/>
      <c r="P595" s="1"/>
      <c r="AA595" s="1"/>
      <c r="AB595" s="1"/>
      <c r="AG595" s="1"/>
      <c r="AH595" s="1"/>
      <c r="AK595" s="1"/>
      <c r="AL595" s="1"/>
      <c r="AM595" s="2"/>
      <c r="AN595" s="2"/>
      <c r="AQ595" s="1"/>
      <c r="BG595" s="1"/>
    </row>
    <row r="596" spans="15:59">
      <c r="O596" s="1"/>
      <c r="P596" s="1"/>
      <c r="AA596" s="1"/>
      <c r="AB596" s="1"/>
      <c r="AG596" s="1"/>
      <c r="AH596" s="1"/>
      <c r="AK596" s="1"/>
      <c r="AL596" s="1"/>
      <c r="AM596" s="2"/>
      <c r="AN596" s="2"/>
      <c r="AQ596" s="1"/>
      <c r="BG596" s="1"/>
    </row>
    <row r="597" spans="15:59">
      <c r="O597" s="1"/>
      <c r="P597" s="1"/>
      <c r="AA597" s="1"/>
      <c r="AB597" s="1"/>
      <c r="AG597" s="1"/>
      <c r="AH597" s="1"/>
      <c r="AK597" s="1"/>
      <c r="AL597" s="1"/>
      <c r="AM597" s="2"/>
      <c r="AN597" s="2"/>
      <c r="AQ597" s="1"/>
      <c r="BG597" s="1"/>
    </row>
    <row r="598" spans="15:59">
      <c r="O598" s="1"/>
      <c r="P598" s="1"/>
      <c r="AA598" s="1"/>
      <c r="AB598" s="1"/>
      <c r="AG598" s="1"/>
      <c r="AH598" s="1"/>
      <c r="AK598" s="1"/>
      <c r="AL598" s="1"/>
      <c r="AM598" s="2"/>
      <c r="AN598" s="2"/>
      <c r="AQ598" s="1"/>
      <c r="BG598" s="1"/>
    </row>
    <row r="599" spans="15:59">
      <c r="O599" s="1"/>
      <c r="P599" s="1"/>
      <c r="AA599" s="1"/>
      <c r="AB599" s="1"/>
      <c r="AG599" s="1"/>
      <c r="AH599" s="1"/>
      <c r="AK599" s="1"/>
      <c r="AL599" s="1"/>
      <c r="AM599" s="2"/>
      <c r="AN599" s="2"/>
      <c r="AQ599" s="1"/>
      <c r="BG599" s="1"/>
    </row>
    <row r="600" spans="15:59">
      <c r="O600" s="1"/>
      <c r="P600" s="1"/>
      <c r="AA600" s="1"/>
      <c r="AB600" s="1"/>
      <c r="AG600" s="1"/>
      <c r="AH600" s="1"/>
      <c r="AK600" s="1"/>
      <c r="AL600" s="1"/>
      <c r="AM600" s="2"/>
      <c r="AN600" s="2"/>
      <c r="AQ600" s="1"/>
      <c r="BG600" s="1"/>
    </row>
    <row r="601" spans="15:59">
      <c r="O601" s="1"/>
      <c r="P601" s="1"/>
      <c r="AA601" s="1"/>
      <c r="AB601" s="1"/>
      <c r="AG601" s="1"/>
      <c r="AH601" s="1"/>
      <c r="AK601" s="1"/>
      <c r="AL601" s="1"/>
      <c r="AM601" s="2"/>
      <c r="AN601" s="2"/>
      <c r="AQ601" s="1"/>
      <c r="BG601" s="1"/>
    </row>
    <row r="602" spans="15:59">
      <c r="O602" s="1"/>
      <c r="P602" s="1"/>
      <c r="AA602" s="1"/>
      <c r="AB602" s="1"/>
      <c r="AG602" s="1"/>
      <c r="AH602" s="1"/>
      <c r="AK602" s="1"/>
      <c r="AL602" s="1"/>
      <c r="AM602" s="2"/>
      <c r="AN602" s="2"/>
      <c r="AQ602" s="1"/>
      <c r="BG602" s="1"/>
    </row>
    <row r="603" spans="15:59">
      <c r="O603" s="1"/>
      <c r="P603" s="1"/>
      <c r="AA603" s="1"/>
      <c r="AB603" s="1"/>
      <c r="AG603" s="1"/>
      <c r="AH603" s="1"/>
      <c r="AK603" s="1"/>
      <c r="AL603" s="1"/>
      <c r="AM603" s="2"/>
      <c r="AN603" s="2"/>
      <c r="AQ603" s="1"/>
      <c r="BG603" s="1"/>
    </row>
    <row r="604" spans="15:59">
      <c r="O604" s="1"/>
      <c r="P604" s="1"/>
      <c r="AA604" s="1"/>
      <c r="AB604" s="1"/>
      <c r="AG604" s="1"/>
      <c r="AH604" s="1"/>
      <c r="AK604" s="1"/>
      <c r="AL604" s="1"/>
      <c r="AM604" s="2"/>
      <c r="AN604" s="2"/>
      <c r="AQ604" s="1"/>
      <c r="BG604" s="1"/>
    </row>
    <row r="605" spans="15:59">
      <c r="O605" s="1"/>
      <c r="P605" s="1"/>
      <c r="AA605" s="1"/>
      <c r="AB605" s="1"/>
      <c r="AG605" s="1"/>
      <c r="AH605" s="1"/>
      <c r="AK605" s="1"/>
      <c r="AL605" s="1"/>
      <c r="AM605" s="2"/>
      <c r="AN605" s="2"/>
      <c r="AQ605" s="1"/>
      <c r="BG605" s="1"/>
    </row>
    <row r="606" spans="15:59">
      <c r="O606" s="1"/>
      <c r="P606" s="1"/>
      <c r="AA606" s="1"/>
      <c r="AB606" s="1"/>
      <c r="AG606" s="1"/>
      <c r="AH606" s="1"/>
      <c r="AK606" s="1"/>
      <c r="AL606" s="1"/>
      <c r="AM606" s="2"/>
      <c r="AN606" s="2"/>
      <c r="AQ606" s="1"/>
      <c r="BG606" s="1"/>
    </row>
    <row r="607" spans="15:59">
      <c r="O607" s="1"/>
      <c r="P607" s="1"/>
      <c r="AA607" s="1"/>
      <c r="AB607" s="1"/>
      <c r="AG607" s="1"/>
      <c r="AH607" s="1"/>
      <c r="AK607" s="1"/>
      <c r="AL607" s="1"/>
      <c r="AM607" s="2"/>
      <c r="AN607" s="2"/>
      <c r="AQ607" s="1"/>
      <c r="BG607" s="1"/>
    </row>
    <row r="608" spans="15:59">
      <c r="O608" s="1"/>
      <c r="P608" s="1"/>
      <c r="AA608" s="1"/>
      <c r="AB608" s="1"/>
      <c r="AG608" s="1"/>
      <c r="AH608" s="1"/>
      <c r="AK608" s="1"/>
      <c r="AL608" s="1"/>
      <c r="AM608" s="2"/>
      <c r="AN608" s="2"/>
      <c r="AQ608" s="1"/>
      <c r="BG608" s="1"/>
    </row>
    <row r="609" spans="15:59">
      <c r="O609" s="1"/>
      <c r="P609" s="1"/>
      <c r="AA609" s="1"/>
      <c r="AB609" s="1"/>
      <c r="AG609" s="1"/>
      <c r="AH609" s="1"/>
      <c r="AK609" s="1"/>
      <c r="AL609" s="1"/>
      <c r="AM609" s="2"/>
      <c r="AN609" s="2"/>
      <c r="AQ609" s="1"/>
      <c r="BG609" s="1"/>
    </row>
    <row r="610" spans="15:59">
      <c r="O610" s="1"/>
      <c r="P610" s="1"/>
      <c r="AA610" s="1"/>
      <c r="AB610" s="1"/>
      <c r="AG610" s="1"/>
      <c r="AH610" s="1"/>
      <c r="AK610" s="1"/>
      <c r="AL610" s="1"/>
      <c r="AM610" s="2"/>
      <c r="AN610" s="2"/>
      <c r="AQ610" s="1"/>
      <c r="BG610" s="1"/>
    </row>
    <row r="611" spans="15:59">
      <c r="O611" s="1"/>
      <c r="P611" s="1"/>
      <c r="AA611" s="1"/>
      <c r="AB611" s="1"/>
      <c r="AG611" s="1"/>
      <c r="AH611" s="1"/>
      <c r="AK611" s="1"/>
      <c r="AL611" s="1"/>
      <c r="AM611" s="2"/>
      <c r="AN611" s="2"/>
      <c r="AQ611" s="1"/>
      <c r="BG611" s="1"/>
    </row>
    <row r="612" spans="15:59">
      <c r="O612" s="1"/>
      <c r="P612" s="1"/>
      <c r="AA612" s="1"/>
      <c r="AB612" s="1"/>
      <c r="AG612" s="1"/>
      <c r="AH612" s="1"/>
      <c r="AK612" s="1"/>
      <c r="AL612" s="1"/>
      <c r="AM612" s="2"/>
      <c r="AN612" s="2"/>
      <c r="AQ612" s="1"/>
      <c r="BG612" s="1"/>
    </row>
    <row r="613" spans="15:59">
      <c r="O613" s="1"/>
      <c r="P613" s="1"/>
      <c r="AA613" s="1"/>
      <c r="AB613" s="1"/>
      <c r="AG613" s="1"/>
      <c r="AH613" s="1"/>
      <c r="AK613" s="1"/>
      <c r="AL613" s="1"/>
      <c r="AM613" s="2"/>
      <c r="AN613" s="2"/>
      <c r="AQ613" s="1"/>
      <c r="BG613" s="1"/>
    </row>
    <row r="614" spans="15:59">
      <c r="O614" s="1"/>
      <c r="P614" s="1"/>
      <c r="AA614" s="1"/>
      <c r="AB614" s="1"/>
      <c r="AG614" s="1"/>
      <c r="AH614" s="1"/>
      <c r="AK614" s="1"/>
      <c r="AL614" s="1"/>
      <c r="AM614" s="2"/>
      <c r="AN614" s="2"/>
      <c r="AQ614" s="1"/>
      <c r="BG614" s="1"/>
    </row>
    <row r="615" spans="15:59">
      <c r="O615" s="1"/>
      <c r="P615" s="1"/>
      <c r="AA615" s="1"/>
      <c r="AB615" s="1"/>
      <c r="AG615" s="1"/>
      <c r="AH615" s="1"/>
      <c r="AK615" s="1"/>
      <c r="AL615" s="1"/>
      <c r="AM615" s="2"/>
      <c r="AN615" s="2"/>
      <c r="AQ615" s="1"/>
      <c r="BG615" s="1"/>
    </row>
    <row r="616" spans="15:59">
      <c r="O616" s="1"/>
      <c r="P616" s="1"/>
      <c r="AA616" s="1"/>
      <c r="AB616" s="1"/>
      <c r="AG616" s="1"/>
      <c r="AH616" s="1"/>
      <c r="AK616" s="1"/>
      <c r="AL616" s="1"/>
      <c r="AM616" s="2"/>
      <c r="AN616" s="2"/>
      <c r="AQ616" s="1"/>
      <c r="BG616" s="1"/>
    </row>
    <row r="617" spans="15:59">
      <c r="O617" s="1"/>
      <c r="P617" s="1"/>
      <c r="AA617" s="1"/>
      <c r="AB617" s="1"/>
      <c r="AG617" s="1"/>
      <c r="AH617" s="1"/>
      <c r="AK617" s="1"/>
      <c r="AL617" s="1"/>
      <c r="AM617" s="2"/>
      <c r="AN617" s="2"/>
      <c r="AQ617" s="1"/>
      <c r="BG617" s="1"/>
    </row>
    <row r="618" spans="15:59">
      <c r="O618" s="1"/>
      <c r="P618" s="1"/>
      <c r="AA618" s="1"/>
      <c r="AB618" s="1"/>
      <c r="AG618" s="1"/>
      <c r="AH618" s="1"/>
      <c r="AK618" s="1"/>
      <c r="AL618" s="1"/>
      <c r="AM618" s="2"/>
      <c r="AN618" s="2"/>
      <c r="AQ618" s="1"/>
      <c r="BG618" s="1"/>
    </row>
    <row r="619" spans="15:59">
      <c r="O619" s="1"/>
      <c r="P619" s="1"/>
      <c r="AA619" s="1"/>
      <c r="AB619" s="1"/>
      <c r="AG619" s="1"/>
      <c r="AH619" s="1"/>
      <c r="AK619" s="1"/>
      <c r="AL619" s="1"/>
      <c r="AM619" s="2"/>
      <c r="AN619" s="2"/>
      <c r="AQ619" s="1"/>
      <c r="BG619" s="1"/>
    </row>
    <row r="620" spans="15:59">
      <c r="O620" s="1"/>
      <c r="P620" s="1"/>
      <c r="AA620" s="1"/>
      <c r="AB620" s="1"/>
      <c r="AG620" s="1"/>
      <c r="AH620" s="1"/>
      <c r="AK620" s="1"/>
      <c r="AL620" s="1"/>
      <c r="AM620" s="2"/>
      <c r="AN620" s="2"/>
      <c r="AQ620" s="1"/>
      <c r="BG620" s="1"/>
    </row>
    <row r="621" spans="15:59">
      <c r="O621" s="1"/>
      <c r="P621" s="1"/>
      <c r="AA621" s="1"/>
      <c r="AB621" s="1"/>
      <c r="AG621" s="1"/>
      <c r="AH621" s="1"/>
      <c r="AK621" s="1"/>
      <c r="AL621" s="1"/>
      <c r="AM621" s="2"/>
      <c r="AN621" s="2"/>
      <c r="AQ621" s="1"/>
      <c r="BG621" s="1"/>
    </row>
    <row r="622" spans="15:59">
      <c r="O622" s="1"/>
      <c r="P622" s="1"/>
      <c r="AA622" s="1"/>
      <c r="AB622" s="1"/>
      <c r="AG622" s="1"/>
      <c r="AH622" s="1"/>
      <c r="AK622" s="1"/>
      <c r="AL622" s="1"/>
      <c r="AM622" s="2"/>
      <c r="AN622" s="2"/>
      <c r="AQ622" s="1"/>
      <c r="BG622" s="1"/>
    </row>
    <row r="623" spans="15:59">
      <c r="O623" s="1"/>
      <c r="P623" s="1"/>
      <c r="AA623" s="1"/>
      <c r="AB623" s="1"/>
      <c r="AG623" s="1"/>
      <c r="AH623" s="1"/>
      <c r="AK623" s="1"/>
      <c r="AL623" s="1"/>
      <c r="AM623" s="2"/>
      <c r="AN623" s="2"/>
      <c r="AQ623" s="1"/>
      <c r="BG623" s="1"/>
    </row>
    <row r="624" spans="15:59">
      <c r="O624" s="1"/>
      <c r="P624" s="1"/>
      <c r="AA624" s="1"/>
      <c r="AB624" s="1"/>
      <c r="AG624" s="1"/>
      <c r="AH624" s="1"/>
      <c r="AK624" s="1"/>
      <c r="AL624" s="1"/>
      <c r="AM624" s="2"/>
      <c r="AN624" s="2"/>
      <c r="AQ624" s="1"/>
      <c r="BG624" s="1"/>
    </row>
    <row r="625" spans="15:59">
      <c r="O625" s="1"/>
      <c r="P625" s="1"/>
      <c r="AA625" s="1"/>
      <c r="AB625" s="1"/>
      <c r="AG625" s="1"/>
      <c r="AH625" s="1"/>
      <c r="AK625" s="1"/>
      <c r="AL625" s="1"/>
      <c r="AM625" s="2"/>
      <c r="AN625" s="2"/>
      <c r="AQ625" s="1"/>
      <c r="BG625" s="1"/>
    </row>
    <row r="626" spans="15:59">
      <c r="O626" s="1"/>
      <c r="P626" s="1"/>
      <c r="AA626" s="1"/>
      <c r="AB626" s="1"/>
      <c r="AG626" s="1"/>
      <c r="AH626" s="1"/>
      <c r="AK626" s="1"/>
      <c r="AL626" s="1"/>
      <c r="AM626" s="2"/>
      <c r="AN626" s="2"/>
      <c r="AQ626" s="1"/>
      <c r="BG626" s="1"/>
    </row>
    <row r="627" spans="15:59">
      <c r="O627" s="1"/>
      <c r="P627" s="1"/>
      <c r="AA627" s="1"/>
      <c r="AB627" s="1"/>
      <c r="AG627" s="1"/>
      <c r="AH627" s="1"/>
      <c r="AK627" s="1"/>
      <c r="AL627" s="1"/>
      <c r="AM627" s="2"/>
      <c r="AN627" s="2"/>
      <c r="AQ627" s="1"/>
      <c r="BG627" s="1"/>
    </row>
    <row r="628" spans="15:59">
      <c r="O628" s="1"/>
      <c r="P628" s="1"/>
      <c r="AA628" s="1"/>
      <c r="AB628" s="1"/>
      <c r="AG628" s="1"/>
      <c r="AH628" s="1"/>
      <c r="AK628" s="1"/>
      <c r="AL628" s="1"/>
      <c r="AM628" s="2"/>
      <c r="AN628" s="2"/>
      <c r="AQ628" s="1"/>
      <c r="BG628" s="1"/>
    </row>
    <row r="629" spans="15:59">
      <c r="O629" s="1"/>
      <c r="P629" s="1"/>
      <c r="AA629" s="1"/>
      <c r="AB629" s="1"/>
      <c r="AG629" s="1"/>
      <c r="AH629" s="1"/>
      <c r="AK629" s="1"/>
      <c r="AL629" s="1"/>
      <c r="AM629" s="2"/>
      <c r="AN629" s="2"/>
      <c r="AQ629" s="1"/>
      <c r="BG629" s="1"/>
    </row>
    <row r="630" spans="15:59">
      <c r="O630" s="1"/>
      <c r="P630" s="1"/>
      <c r="AA630" s="1"/>
      <c r="AB630" s="1"/>
      <c r="AG630" s="1"/>
      <c r="AH630" s="1"/>
      <c r="AK630" s="1"/>
      <c r="AL630" s="1"/>
      <c r="AM630" s="2"/>
      <c r="AN630" s="2"/>
      <c r="AQ630" s="1"/>
      <c r="BG630" s="1"/>
    </row>
    <row r="631" spans="15:59">
      <c r="O631" s="1"/>
      <c r="P631" s="1"/>
      <c r="AA631" s="1"/>
      <c r="AB631" s="1"/>
      <c r="AG631" s="1"/>
      <c r="AH631" s="1"/>
      <c r="AK631" s="1"/>
      <c r="AL631" s="1"/>
      <c r="AM631" s="2"/>
      <c r="AN631" s="2"/>
      <c r="AQ631" s="1"/>
      <c r="BG631" s="1"/>
    </row>
    <row r="632" spans="15:59">
      <c r="O632" s="1"/>
      <c r="P632" s="1"/>
      <c r="AA632" s="1"/>
      <c r="AB632" s="1"/>
      <c r="AG632" s="1"/>
      <c r="AH632" s="1"/>
      <c r="AK632" s="1"/>
      <c r="AL632" s="1"/>
      <c r="AM632" s="2"/>
      <c r="AN632" s="2"/>
      <c r="AQ632" s="1"/>
      <c r="BG632" s="1"/>
    </row>
    <row r="633" spans="15:59">
      <c r="O633" s="1"/>
      <c r="P633" s="1"/>
      <c r="AA633" s="1"/>
      <c r="AB633" s="1"/>
      <c r="AG633" s="1"/>
      <c r="AH633" s="1"/>
      <c r="AK633" s="1"/>
      <c r="AL633" s="1"/>
      <c r="AM633" s="2"/>
      <c r="AN633" s="2"/>
      <c r="AQ633" s="1"/>
      <c r="BG633" s="1"/>
    </row>
    <row r="634" spans="15:59">
      <c r="O634" s="1"/>
      <c r="P634" s="1"/>
      <c r="AA634" s="1"/>
      <c r="AB634" s="1"/>
      <c r="AG634" s="1"/>
      <c r="AH634" s="1"/>
      <c r="AK634" s="1"/>
      <c r="AL634" s="1"/>
      <c r="AM634" s="2"/>
      <c r="AN634" s="2"/>
      <c r="AQ634" s="1"/>
      <c r="BG634" s="1"/>
    </row>
    <row r="635" spans="15:59">
      <c r="O635" s="1"/>
      <c r="P635" s="1"/>
      <c r="AA635" s="1"/>
      <c r="AB635" s="1"/>
      <c r="AG635" s="1"/>
      <c r="AH635" s="1"/>
      <c r="AK635" s="1"/>
      <c r="AL635" s="1"/>
      <c r="AM635" s="2"/>
      <c r="AN635" s="2"/>
      <c r="AQ635" s="1"/>
      <c r="BG635" s="1"/>
    </row>
    <row r="636" spans="15:59">
      <c r="O636" s="1"/>
      <c r="P636" s="1"/>
      <c r="AA636" s="1"/>
      <c r="AB636" s="1"/>
      <c r="AG636" s="1"/>
      <c r="AH636" s="1"/>
      <c r="AK636" s="1"/>
      <c r="AL636" s="1"/>
      <c r="AM636" s="2"/>
      <c r="AN636" s="2"/>
      <c r="AQ636" s="1"/>
      <c r="BG636" s="1"/>
    </row>
    <row r="637" spans="15:59">
      <c r="O637" s="1"/>
      <c r="P637" s="1"/>
      <c r="AA637" s="1"/>
      <c r="AB637" s="1"/>
      <c r="AG637" s="1"/>
      <c r="AH637" s="1"/>
      <c r="AK637" s="1"/>
      <c r="AL637" s="1"/>
      <c r="AM637" s="2"/>
      <c r="AN637" s="2"/>
      <c r="AQ637" s="1"/>
      <c r="BG637" s="1"/>
    </row>
    <row r="638" spans="15:59">
      <c r="O638" s="1"/>
      <c r="P638" s="1"/>
      <c r="AA638" s="1"/>
      <c r="AB638" s="1"/>
      <c r="AG638" s="1"/>
      <c r="AH638" s="1"/>
      <c r="AK638" s="1"/>
      <c r="AL638" s="1"/>
      <c r="AM638" s="2"/>
      <c r="AN638" s="2"/>
      <c r="AQ638" s="1"/>
      <c r="BG638" s="1"/>
    </row>
    <row r="639" spans="15:59">
      <c r="O639" s="1"/>
      <c r="P639" s="1"/>
      <c r="AA639" s="1"/>
      <c r="AB639" s="1"/>
      <c r="AG639" s="1"/>
      <c r="AH639" s="1"/>
      <c r="AK639" s="1"/>
      <c r="AL639" s="1"/>
      <c r="AM639" s="2"/>
      <c r="AN639" s="2"/>
      <c r="AQ639" s="1"/>
      <c r="BG639" s="1"/>
    </row>
    <row r="640" spans="15:59">
      <c r="O640" s="1"/>
      <c r="P640" s="1"/>
      <c r="AA640" s="1"/>
      <c r="AB640" s="1"/>
      <c r="AG640" s="1"/>
      <c r="AH640" s="1"/>
      <c r="AK640" s="1"/>
      <c r="AL640" s="1"/>
      <c r="AM640" s="2"/>
      <c r="AN640" s="2"/>
      <c r="AQ640" s="1"/>
      <c r="BG640" s="1"/>
    </row>
    <row r="641" spans="15:59">
      <c r="O641" s="1"/>
      <c r="P641" s="1"/>
      <c r="AA641" s="1"/>
      <c r="AB641" s="1"/>
      <c r="AG641" s="1"/>
      <c r="AH641" s="1"/>
      <c r="AK641" s="1"/>
      <c r="AL641" s="1"/>
      <c r="AM641" s="2"/>
      <c r="AN641" s="2"/>
      <c r="AQ641" s="1"/>
      <c r="BG641" s="1"/>
    </row>
    <row r="642" spans="15:59">
      <c r="O642" s="1"/>
      <c r="P642" s="1"/>
      <c r="AA642" s="1"/>
      <c r="AB642" s="1"/>
      <c r="AG642" s="1"/>
      <c r="AH642" s="1"/>
      <c r="AK642" s="1"/>
      <c r="AL642" s="1"/>
      <c r="AM642" s="2"/>
      <c r="AN642" s="2"/>
      <c r="AQ642" s="1"/>
      <c r="BG642" s="1"/>
    </row>
    <row r="643" spans="15:59">
      <c r="O643" s="1"/>
      <c r="P643" s="1"/>
      <c r="AA643" s="1"/>
      <c r="AB643" s="1"/>
      <c r="AG643" s="1"/>
      <c r="AH643" s="1"/>
      <c r="AK643" s="1"/>
      <c r="AL643" s="1"/>
      <c r="AM643" s="2"/>
      <c r="AN643" s="2"/>
      <c r="AQ643" s="1"/>
      <c r="BG643" s="1"/>
    </row>
    <row r="644" spans="15:59">
      <c r="O644" s="1"/>
      <c r="P644" s="1"/>
      <c r="AA644" s="1"/>
      <c r="AB644" s="1"/>
      <c r="AG644" s="1"/>
      <c r="AH644" s="1"/>
      <c r="AK644" s="1"/>
      <c r="AL644" s="1"/>
      <c r="AM644" s="2"/>
      <c r="AN644" s="2"/>
      <c r="AQ644" s="1"/>
      <c r="BG644" s="1"/>
    </row>
    <row r="645" spans="15:59">
      <c r="O645" s="1"/>
      <c r="P645" s="1"/>
      <c r="AA645" s="1"/>
      <c r="AB645" s="1"/>
      <c r="AG645" s="1"/>
      <c r="AH645" s="1"/>
      <c r="AK645" s="1"/>
      <c r="AL645" s="1"/>
      <c r="AM645" s="2"/>
      <c r="AN645" s="2"/>
      <c r="AQ645" s="1"/>
      <c r="BG645" s="1"/>
    </row>
    <row r="646" spans="15:59">
      <c r="O646" s="1"/>
      <c r="P646" s="1"/>
      <c r="AA646" s="1"/>
      <c r="AB646" s="1"/>
      <c r="AG646" s="1"/>
      <c r="AH646" s="1"/>
      <c r="AK646" s="1"/>
      <c r="AL646" s="1"/>
      <c r="AM646" s="2"/>
      <c r="AN646" s="2"/>
      <c r="AQ646" s="1"/>
      <c r="BG646" s="1"/>
    </row>
    <row r="647" spans="15:59">
      <c r="O647" s="1"/>
      <c r="P647" s="1"/>
      <c r="AA647" s="1"/>
      <c r="AB647" s="1"/>
      <c r="AG647" s="1"/>
      <c r="AH647" s="1"/>
      <c r="AK647" s="1"/>
      <c r="AL647" s="1"/>
      <c r="AM647" s="2"/>
      <c r="AN647" s="2"/>
      <c r="AQ647" s="1"/>
      <c r="BG647" s="1"/>
    </row>
    <row r="648" spans="15:59">
      <c r="O648" s="1"/>
      <c r="P648" s="1"/>
      <c r="AA648" s="1"/>
      <c r="AB648" s="1"/>
      <c r="AG648" s="1"/>
      <c r="AH648" s="1"/>
      <c r="AK648" s="1"/>
      <c r="AL648" s="1"/>
      <c r="AM648" s="2"/>
      <c r="AN648" s="2"/>
      <c r="AQ648" s="1"/>
      <c r="BG648" s="1"/>
    </row>
    <row r="649" spans="15:59">
      <c r="O649" s="1"/>
      <c r="P649" s="1"/>
      <c r="AA649" s="1"/>
      <c r="AB649" s="1"/>
      <c r="AG649" s="1"/>
      <c r="AH649" s="1"/>
      <c r="AK649" s="1"/>
      <c r="AL649" s="1"/>
      <c r="AM649" s="2"/>
      <c r="AN649" s="2"/>
      <c r="AQ649" s="1"/>
      <c r="BG649" s="1"/>
    </row>
    <row r="650" spans="15:59">
      <c r="O650" s="1"/>
      <c r="P650" s="1"/>
      <c r="AA650" s="1"/>
      <c r="AB650" s="1"/>
      <c r="AG650" s="1"/>
      <c r="AH650" s="1"/>
      <c r="AK650" s="1"/>
      <c r="AL650" s="1"/>
      <c r="AM650" s="2"/>
      <c r="AN650" s="2"/>
      <c r="AQ650" s="1"/>
      <c r="BG650" s="1"/>
    </row>
    <row r="651" spans="15:59">
      <c r="O651" s="1"/>
      <c r="P651" s="1"/>
      <c r="AA651" s="1"/>
      <c r="AB651" s="1"/>
      <c r="AG651" s="1"/>
      <c r="AH651" s="1"/>
      <c r="AK651" s="1"/>
      <c r="AL651" s="1"/>
      <c r="AM651" s="2"/>
      <c r="AN651" s="2"/>
      <c r="AQ651" s="1"/>
      <c r="BG651" s="1"/>
    </row>
    <row r="652" spans="15:59">
      <c r="O652" s="1"/>
      <c r="P652" s="1"/>
      <c r="AA652" s="1"/>
      <c r="AB652" s="1"/>
      <c r="AG652" s="1"/>
      <c r="AH652" s="1"/>
      <c r="AK652" s="1"/>
      <c r="AL652" s="1"/>
      <c r="AM652" s="2"/>
      <c r="AN652" s="2"/>
      <c r="AQ652" s="1"/>
      <c r="BG652" s="1"/>
    </row>
    <row r="653" spans="15:59">
      <c r="O653" s="1"/>
      <c r="P653" s="1"/>
      <c r="AA653" s="1"/>
      <c r="AB653" s="1"/>
      <c r="AG653" s="1"/>
      <c r="AH653" s="1"/>
      <c r="AK653" s="1"/>
      <c r="AL653" s="1"/>
      <c r="AM653" s="2"/>
      <c r="AN653" s="2"/>
      <c r="AQ653" s="1"/>
      <c r="BG653" s="1"/>
    </row>
    <row r="654" spans="15:59">
      <c r="O654" s="1"/>
      <c r="P654" s="1"/>
      <c r="AA654" s="1"/>
      <c r="AB654" s="1"/>
      <c r="AG654" s="1"/>
      <c r="AH654" s="1"/>
      <c r="AK654" s="1"/>
      <c r="AL654" s="1"/>
      <c r="AM654" s="2"/>
      <c r="AN654" s="2"/>
      <c r="AQ654" s="1"/>
      <c r="BG654" s="1"/>
    </row>
    <row r="655" spans="15:59">
      <c r="O655" s="1"/>
      <c r="P655" s="1"/>
      <c r="AA655" s="1"/>
      <c r="AB655" s="1"/>
      <c r="AG655" s="1"/>
      <c r="AH655" s="1"/>
      <c r="AK655" s="1"/>
      <c r="AL655" s="1"/>
      <c r="AM655" s="2"/>
      <c r="AN655" s="2"/>
      <c r="AQ655" s="1"/>
      <c r="BG655" s="1"/>
    </row>
    <row r="656" spans="15:59">
      <c r="O656" s="1"/>
      <c r="P656" s="1"/>
      <c r="AA656" s="1"/>
      <c r="AB656" s="1"/>
      <c r="AG656" s="1"/>
      <c r="AH656" s="1"/>
      <c r="AK656" s="1"/>
      <c r="AL656" s="1"/>
      <c r="AM656" s="2"/>
      <c r="AN656" s="2"/>
      <c r="AQ656" s="1"/>
      <c r="BG656" s="1"/>
    </row>
    <row r="657" spans="15:59">
      <c r="O657" s="1"/>
      <c r="P657" s="1"/>
      <c r="AA657" s="1"/>
      <c r="AB657" s="1"/>
      <c r="AG657" s="1"/>
      <c r="AH657" s="1"/>
      <c r="AK657" s="1"/>
      <c r="AL657" s="1"/>
      <c r="AM657" s="2"/>
      <c r="AN657" s="2"/>
      <c r="AQ657" s="1"/>
      <c r="BG657" s="1"/>
    </row>
    <row r="658" spans="15:59">
      <c r="O658" s="1"/>
      <c r="P658" s="1"/>
      <c r="AA658" s="1"/>
      <c r="AB658" s="1"/>
      <c r="AG658" s="1"/>
      <c r="AH658" s="1"/>
      <c r="AK658" s="1"/>
      <c r="AL658" s="1"/>
      <c r="AM658" s="2"/>
      <c r="AN658" s="2"/>
      <c r="AQ658" s="1"/>
      <c r="BG658" s="1"/>
    </row>
    <row r="659" spans="15:59">
      <c r="O659" s="1"/>
      <c r="P659" s="1"/>
      <c r="AA659" s="1"/>
      <c r="AB659" s="1"/>
      <c r="AG659" s="1"/>
      <c r="AH659" s="1"/>
      <c r="AK659" s="1"/>
      <c r="AL659" s="1"/>
      <c r="AM659" s="2"/>
      <c r="AN659" s="2"/>
      <c r="AQ659" s="1"/>
      <c r="BG659" s="1"/>
    </row>
    <row r="660" spans="15:59">
      <c r="O660" s="1"/>
      <c r="P660" s="1"/>
      <c r="AA660" s="1"/>
      <c r="AB660" s="1"/>
      <c r="AG660" s="1"/>
      <c r="AH660" s="1"/>
      <c r="AK660" s="1"/>
      <c r="AL660" s="1"/>
      <c r="AM660" s="2"/>
      <c r="AN660" s="2"/>
      <c r="AQ660" s="1"/>
      <c r="BG660" s="1"/>
    </row>
    <row r="661" spans="15:59">
      <c r="O661" s="1"/>
      <c r="P661" s="1"/>
      <c r="AA661" s="1"/>
      <c r="AB661" s="1"/>
      <c r="AG661" s="1"/>
      <c r="AH661" s="1"/>
      <c r="AK661" s="1"/>
      <c r="AL661" s="1"/>
      <c r="AM661" s="2"/>
      <c r="AN661" s="2"/>
      <c r="AQ661" s="1"/>
      <c r="BG661" s="1"/>
    </row>
    <row r="662" spans="15:59">
      <c r="O662" s="1"/>
      <c r="P662" s="1"/>
      <c r="AA662" s="1"/>
      <c r="AB662" s="1"/>
      <c r="AG662" s="1"/>
      <c r="AH662" s="1"/>
      <c r="AK662" s="1"/>
      <c r="AL662" s="1"/>
      <c r="AM662" s="2"/>
      <c r="AN662" s="2"/>
      <c r="AQ662" s="1"/>
      <c r="BG662" s="1"/>
    </row>
    <row r="663" spans="15:59">
      <c r="O663" s="1"/>
      <c r="P663" s="1"/>
      <c r="AA663" s="1"/>
      <c r="AB663" s="1"/>
      <c r="AG663" s="1"/>
      <c r="AH663" s="1"/>
      <c r="AK663" s="1"/>
      <c r="AL663" s="1"/>
      <c r="AM663" s="2"/>
      <c r="AN663" s="2"/>
      <c r="AQ663" s="1"/>
      <c r="BG663" s="1"/>
    </row>
    <row r="664" spans="15:59">
      <c r="O664" s="1"/>
      <c r="P664" s="1"/>
      <c r="AA664" s="1"/>
      <c r="AB664" s="1"/>
      <c r="AG664" s="1"/>
      <c r="AH664" s="1"/>
      <c r="AK664" s="1"/>
      <c r="AL664" s="1"/>
      <c r="AM664" s="2"/>
      <c r="AN664" s="2"/>
      <c r="AQ664" s="1"/>
      <c r="BG664" s="1"/>
    </row>
    <row r="665" spans="15:59">
      <c r="O665" s="1"/>
      <c r="P665" s="1"/>
      <c r="AA665" s="1"/>
      <c r="AB665" s="1"/>
      <c r="AG665" s="1"/>
      <c r="AH665" s="1"/>
      <c r="AK665" s="1"/>
      <c r="AL665" s="1"/>
      <c r="AM665" s="2"/>
      <c r="AN665" s="2"/>
      <c r="AQ665" s="1"/>
      <c r="BG665" s="1"/>
    </row>
    <row r="666" spans="15:59">
      <c r="O666" s="1"/>
      <c r="P666" s="1"/>
      <c r="AA666" s="1"/>
      <c r="AB666" s="1"/>
      <c r="AG666" s="1"/>
      <c r="AH666" s="1"/>
      <c r="AK666" s="1"/>
      <c r="AL666" s="1"/>
      <c r="AM666" s="2"/>
      <c r="AN666" s="2"/>
      <c r="AQ666" s="1"/>
      <c r="BG666" s="1"/>
    </row>
    <row r="667" spans="15:59">
      <c r="O667" s="1"/>
      <c r="P667" s="1"/>
      <c r="AA667" s="1"/>
      <c r="AB667" s="1"/>
      <c r="AG667" s="1"/>
      <c r="AH667" s="1"/>
      <c r="AK667" s="1"/>
      <c r="AL667" s="1"/>
      <c r="AM667" s="2"/>
      <c r="AN667" s="2"/>
      <c r="AQ667" s="1"/>
      <c r="BG667" s="1"/>
    </row>
    <row r="668" spans="15:59">
      <c r="O668" s="1"/>
      <c r="P668" s="1"/>
      <c r="AA668" s="1"/>
      <c r="AB668" s="1"/>
      <c r="AG668" s="1"/>
      <c r="AH668" s="1"/>
      <c r="AK668" s="1"/>
      <c r="AL668" s="1"/>
      <c r="AM668" s="2"/>
      <c r="AN668" s="2"/>
      <c r="AQ668" s="1"/>
      <c r="BG668" s="1"/>
    </row>
    <row r="669" spans="15:59">
      <c r="O669" s="1"/>
      <c r="P669" s="1"/>
      <c r="AA669" s="1"/>
      <c r="AB669" s="1"/>
      <c r="AG669" s="1"/>
      <c r="AH669" s="1"/>
      <c r="AK669" s="1"/>
      <c r="AL669" s="1"/>
      <c r="AM669" s="2"/>
      <c r="AN669" s="2"/>
      <c r="AQ669" s="1"/>
      <c r="BG669" s="1"/>
    </row>
    <row r="670" spans="15:59">
      <c r="O670" s="1"/>
      <c r="P670" s="1"/>
      <c r="AA670" s="1"/>
      <c r="AB670" s="1"/>
      <c r="AG670" s="1"/>
      <c r="AH670" s="1"/>
      <c r="AK670" s="1"/>
      <c r="AL670" s="1"/>
      <c r="AM670" s="2"/>
      <c r="AN670" s="2"/>
      <c r="AQ670" s="1"/>
      <c r="BG670" s="1"/>
    </row>
    <row r="671" spans="15:59">
      <c r="O671" s="1"/>
      <c r="P671" s="1"/>
      <c r="AA671" s="1"/>
      <c r="AB671" s="1"/>
      <c r="AG671" s="1"/>
      <c r="AH671" s="1"/>
      <c r="AK671" s="1"/>
      <c r="AL671" s="1"/>
      <c r="AM671" s="2"/>
      <c r="AN671" s="2"/>
      <c r="AQ671" s="1"/>
      <c r="BG671" s="1"/>
    </row>
    <row r="672" spans="15:59">
      <c r="O672" s="1"/>
      <c r="P672" s="1"/>
      <c r="AA672" s="1"/>
      <c r="AB672" s="1"/>
      <c r="AG672" s="1"/>
      <c r="AH672" s="1"/>
      <c r="AK672" s="1"/>
      <c r="AL672" s="1"/>
      <c r="AM672" s="2"/>
      <c r="AN672" s="2"/>
      <c r="AQ672" s="1"/>
      <c r="BG672" s="1"/>
    </row>
    <row r="673" spans="15:59">
      <c r="O673" s="1"/>
      <c r="P673" s="1"/>
      <c r="AA673" s="1"/>
      <c r="AB673" s="1"/>
      <c r="AG673" s="1"/>
      <c r="AH673" s="1"/>
      <c r="AK673" s="1"/>
      <c r="AL673" s="1"/>
      <c r="AM673" s="2"/>
      <c r="AN673" s="2"/>
      <c r="AQ673" s="1"/>
      <c r="BG673" s="1"/>
    </row>
    <row r="674" spans="15:59">
      <c r="O674" s="1"/>
      <c r="P674" s="1"/>
      <c r="AA674" s="1"/>
      <c r="AB674" s="1"/>
      <c r="AG674" s="1"/>
      <c r="AH674" s="1"/>
      <c r="AK674" s="1"/>
      <c r="AL674" s="1"/>
      <c r="AM674" s="2"/>
      <c r="AN674" s="2"/>
      <c r="AQ674" s="1"/>
      <c r="BG674" s="1"/>
    </row>
    <row r="675" spans="15:59">
      <c r="O675" s="1"/>
      <c r="P675" s="1"/>
      <c r="AA675" s="1"/>
      <c r="AB675" s="1"/>
      <c r="AG675" s="1"/>
      <c r="AH675" s="1"/>
      <c r="AK675" s="1"/>
      <c r="AL675" s="1"/>
      <c r="AM675" s="2"/>
      <c r="AN675" s="2"/>
      <c r="AQ675" s="1"/>
      <c r="BG675" s="1"/>
    </row>
    <row r="676" spans="15:59">
      <c r="O676" s="1"/>
      <c r="P676" s="1"/>
      <c r="AA676" s="1"/>
      <c r="AB676" s="1"/>
      <c r="AG676" s="1"/>
      <c r="AH676" s="1"/>
      <c r="AK676" s="1"/>
      <c r="AL676" s="1"/>
      <c r="AM676" s="2"/>
      <c r="AN676" s="2"/>
      <c r="AQ676" s="1"/>
      <c r="BG676" s="1"/>
    </row>
    <row r="677" spans="15:59">
      <c r="O677" s="1"/>
      <c r="P677" s="1"/>
      <c r="AA677" s="1"/>
      <c r="AB677" s="1"/>
      <c r="AG677" s="1"/>
      <c r="AH677" s="1"/>
      <c r="AK677" s="1"/>
      <c r="AL677" s="1"/>
      <c r="AM677" s="2"/>
      <c r="AN677" s="2"/>
      <c r="AQ677" s="1"/>
      <c r="BG677" s="1"/>
    </row>
    <row r="678" spans="15:59">
      <c r="O678" s="1"/>
      <c r="P678" s="1"/>
      <c r="AA678" s="1"/>
      <c r="AB678" s="1"/>
      <c r="AG678" s="1"/>
      <c r="AH678" s="1"/>
      <c r="AK678" s="1"/>
      <c r="AL678" s="1"/>
      <c r="AM678" s="2"/>
      <c r="AN678" s="2"/>
      <c r="AQ678" s="1"/>
      <c r="BG678" s="1"/>
    </row>
    <row r="679" spans="15:59">
      <c r="O679" s="1"/>
      <c r="P679" s="1"/>
      <c r="AA679" s="1"/>
      <c r="AB679" s="1"/>
      <c r="AG679" s="1"/>
      <c r="AH679" s="1"/>
      <c r="AK679" s="1"/>
      <c r="AL679" s="1"/>
      <c r="AM679" s="2"/>
      <c r="AN679" s="2"/>
      <c r="AQ679" s="1"/>
      <c r="BG679" s="1"/>
    </row>
    <row r="680" spans="15:59">
      <c r="O680" s="1"/>
      <c r="P680" s="1"/>
      <c r="AA680" s="1"/>
      <c r="AB680" s="1"/>
      <c r="AG680" s="1"/>
      <c r="AH680" s="1"/>
      <c r="AK680" s="1"/>
      <c r="AL680" s="1"/>
      <c r="AM680" s="2"/>
      <c r="AN680" s="2"/>
      <c r="AQ680" s="1"/>
      <c r="BG680" s="1"/>
    </row>
    <row r="681" spans="15:59">
      <c r="O681" s="1"/>
      <c r="P681" s="1"/>
      <c r="AA681" s="1"/>
      <c r="AB681" s="1"/>
      <c r="AG681" s="1"/>
      <c r="AH681" s="1"/>
      <c r="AK681" s="1"/>
      <c r="AL681" s="1"/>
      <c r="AM681" s="2"/>
      <c r="AN681" s="2"/>
      <c r="AQ681" s="1"/>
      <c r="BG681" s="1"/>
    </row>
    <row r="682" spans="15:59">
      <c r="O682" s="1"/>
      <c r="P682" s="1"/>
      <c r="AA682" s="1"/>
      <c r="AB682" s="1"/>
      <c r="AG682" s="1"/>
      <c r="AH682" s="1"/>
      <c r="AK682" s="1"/>
      <c r="AL682" s="1"/>
      <c r="AM682" s="2"/>
      <c r="AN682" s="2"/>
      <c r="AQ682" s="1"/>
      <c r="BG682" s="1"/>
    </row>
    <row r="683" spans="15:59">
      <c r="O683" s="1"/>
      <c r="P683" s="1"/>
      <c r="AA683" s="1"/>
      <c r="AB683" s="1"/>
      <c r="AG683" s="1"/>
      <c r="AH683" s="1"/>
      <c r="AK683" s="1"/>
      <c r="AL683" s="1"/>
      <c r="AM683" s="2"/>
      <c r="AN683" s="2"/>
      <c r="AQ683" s="1"/>
      <c r="BG683" s="1"/>
    </row>
    <row r="684" spans="15:59">
      <c r="O684" s="1"/>
      <c r="P684" s="1"/>
      <c r="AA684" s="1"/>
      <c r="AB684" s="1"/>
      <c r="AG684" s="1"/>
      <c r="AH684" s="1"/>
      <c r="AK684" s="1"/>
      <c r="AL684" s="1"/>
      <c r="AM684" s="2"/>
      <c r="AN684" s="2"/>
      <c r="AQ684" s="1"/>
      <c r="BG684" s="1"/>
    </row>
    <row r="685" spans="15:59">
      <c r="O685" s="1"/>
      <c r="P685" s="1"/>
      <c r="AA685" s="1"/>
      <c r="AB685" s="1"/>
      <c r="AG685" s="1"/>
      <c r="AH685" s="1"/>
      <c r="AK685" s="1"/>
      <c r="AL685" s="1"/>
      <c r="AM685" s="2"/>
      <c r="AN685" s="2"/>
      <c r="AQ685" s="1"/>
      <c r="BG685" s="1"/>
    </row>
    <row r="686" spans="15:59">
      <c r="O686" s="1"/>
      <c r="P686" s="1"/>
      <c r="AA686" s="1"/>
      <c r="AB686" s="1"/>
      <c r="AG686" s="1"/>
      <c r="AH686" s="1"/>
      <c r="AK686" s="1"/>
      <c r="AL686" s="1"/>
      <c r="AM686" s="2"/>
      <c r="AN686" s="2"/>
      <c r="AQ686" s="1"/>
      <c r="BG686" s="1"/>
    </row>
    <row r="687" spans="15:59">
      <c r="O687" s="1"/>
      <c r="P687" s="1"/>
      <c r="AA687" s="1"/>
      <c r="AB687" s="1"/>
      <c r="AG687" s="1"/>
      <c r="AH687" s="1"/>
      <c r="AK687" s="1"/>
      <c r="AL687" s="1"/>
      <c r="AM687" s="2"/>
      <c r="AN687" s="2"/>
      <c r="AQ687" s="1"/>
      <c r="BG687" s="1"/>
    </row>
    <row r="688" spans="15:59">
      <c r="O688" s="1"/>
      <c r="P688" s="1"/>
      <c r="AA688" s="1"/>
      <c r="AB688" s="1"/>
      <c r="AG688" s="1"/>
      <c r="AH688" s="1"/>
      <c r="AK688" s="1"/>
      <c r="AL688" s="1"/>
      <c r="AM688" s="2"/>
      <c r="AN688" s="2"/>
      <c r="AQ688" s="1"/>
      <c r="BG688" s="1"/>
    </row>
    <row r="689" spans="15:59">
      <c r="O689" s="1"/>
      <c r="P689" s="1"/>
      <c r="AA689" s="1"/>
      <c r="AB689" s="1"/>
      <c r="AG689" s="1"/>
      <c r="AH689" s="1"/>
      <c r="AK689" s="1"/>
      <c r="AL689" s="1"/>
      <c r="AM689" s="2"/>
      <c r="AN689" s="2"/>
      <c r="AQ689" s="1"/>
      <c r="BG689" s="1"/>
    </row>
    <row r="690" spans="15:59">
      <c r="O690" s="1"/>
      <c r="P690" s="1"/>
      <c r="AA690" s="1"/>
      <c r="AB690" s="1"/>
      <c r="AG690" s="1"/>
      <c r="AH690" s="1"/>
      <c r="AK690" s="1"/>
      <c r="AL690" s="1"/>
      <c r="AM690" s="2"/>
      <c r="AN690" s="2"/>
      <c r="AQ690" s="1"/>
      <c r="BG690" s="1"/>
    </row>
    <row r="691" spans="15:59">
      <c r="O691" s="1"/>
      <c r="P691" s="1"/>
      <c r="AA691" s="1"/>
      <c r="AB691" s="1"/>
      <c r="AG691" s="1"/>
      <c r="AH691" s="1"/>
      <c r="AK691" s="1"/>
      <c r="AL691" s="1"/>
      <c r="AM691" s="2"/>
      <c r="AN691" s="2"/>
      <c r="AQ691" s="1"/>
      <c r="BG691" s="1"/>
    </row>
    <row r="692" spans="15:59">
      <c r="O692" s="1"/>
      <c r="P692" s="1"/>
      <c r="AA692" s="1"/>
      <c r="AB692" s="1"/>
      <c r="AG692" s="1"/>
      <c r="AH692" s="1"/>
      <c r="AK692" s="1"/>
      <c r="AL692" s="1"/>
      <c r="AM692" s="2"/>
      <c r="AN692" s="2"/>
      <c r="AQ692" s="1"/>
      <c r="BG692" s="1"/>
    </row>
    <row r="693" spans="15:59">
      <c r="O693" s="1"/>
      <c r="P693" s="1"/>
      <c r="AA693" s="1"/>
      <c r="AB693" s="1"/>
      <c r="AG693" s="1"/>
      <c r="AH693" s="1"/>
      <c r="AK693" s="1"/>
      <c r="AL693" s="1"/>
      <c r="AM693" s="2"/>
      <c r="AN693" s="2"/>
      <c r="AQ693" s="1"/>
      <c r="BG693" s="1"/>
    </row>
    <row r="694" spans="15:59">
      <c r="O694" s="1"/>
      <c r="P694" s="1"/>
      <c r="AA694" s="1"/>
      <c r="AB694" s="1"/>
      <c r="AG694" s="1"/>
      <c r="AH694" s="1"/>
      <c r="AK694" s="1"/>
      <c r="AL694" s="1"/>
      <c r="AM694" s="2"/>
      <c r="AN694" s="2"/>
      <c r="AQ694" s="1"/>
      <c r="BG694" s="1"/>
    </row>
    <row r="695" spans="15:59">
      <c r="O695" s="1"/>
      <c r="P695" s="1"/>
      <c r="AA695" s="1"/>
      <c r="AB695" s="1"/>
      <c r="AG695" s="1"/>
      <c r="AH695" s="1"/>
      <c r="AK695" s="1"/>
      <c r="AL695" s="1"/>
      <c r="AM695" s="2"/>
      <c r="AN695" s="2"/>
      <c r="AQ695" s="1"/>
      <c r="BG695" s="1"/>
    </row>
    <row r="696" spans="15:59">
      <c r="O696" s="1"/>
      <c r="P696" s="1"/>
      <c r="AA696" s="1"/>
      <c r="AB696" s="1"/>
      <c r="AG696" s="1"/>
      <c r="AH696" s="1"/>
      <c r="AK696" s="1"/>
      <c r="AL696" s="1"/>
      <c r="AM696" s="2"/>
      <c r="AN696" s="2"/>
      <c r="AQ696" s="1"/>
      <c r="BG696" s="1"/>
    </row>
    <row r="697" spans="15:59">
      <c r="O697" s="1"/>
      <c r="P697" s="1"/>
      <c r="AA697" s="1"/>
      <c r="AB697" s="1"/>
      <c r="AG697" s="1"/>
      <c r="AH697" s="1"/>
      <c r="AK697" s="1"/>
      <c r="AL697" s="1"/>
      <c r="AM697" s="2"/>
      <c r="AN697" s="2"/>
      <c r="AQ697" s="1"/>
      <c r="BG697" s="1"/>
    </row>
    <row r="698" spans="15:59">
      <c r="O698" s="1"/>
      <c r="P698" s="1"/>
      <c r="AA698" s="1"/>
      <c r="AB698" s="1"/>
      <c r="AG698" s="1"/>
      <c r="AH698" s="1"/>
      <c r="AK698" s="1"/>
      <c r="AL698" s="1"/>
      <c r="AM698" s="2"/>
      <c r="AN698" s="2"/>
      <c r="AQ698" s="1"/>
      <c r="BG698" s="1"/>
    </row>
    <row r="699" spans="15:59">
      <c r="O699" s="1"/>
      <c r="P699" s="1"/>
      <c r="AA699" s="1"/>
      <c r="AB699" s="1"/>
      <c r="AG699" s="1"/>
      <c r="AH699" s="1"/>
      <c r="AK699" s="1"/>
      <c r="AL699" s="1"/>
      <c r="AM699" s="2"/>
      <c r="AN699" s="2"/>
      <c r="AQ699" s="1"/>
      <c r="BG699" s="1"/>
    </row>
    <row r="700" spans="15:59">
      <c r="O700" s="1"/>
      <c r="P700" s="1"/>
      <c r="AA700" s="1"/>
      <c r="AB700" s="1"/>
      <c r="AG700" s="1"/>
      <c r="AH700" s="1"/>
      <c r="AK700" s="1"/>
      <c r="AL700" s="1"/>
      <c r="AM700" s="2"/>
      <c r="AN700" s="2"/>
      <c r="AQ700" s="1"/>
      <c r="BG700" s="1"/>
    </row>
    <row r="701" spans="15:59">
      <c r="O701" s="1"/>
      <c r="P701" s="1"/>
      <c r="AA701" s="1"/>
      <c r="AB701" s="1"/>
      <c r="AG701" s="1"/>
      <c r="AH701" s="1"/>
      <c r="AK701" s="1"/>
      <c r="AL701" s="1"/>
      <c r="AM701" s="2"/>
      <c r="AN701" s="2"/>
      <c r="AQ701" s="1"/>
      <c r="BG701" s="1"/>
    </row>
    <row r="702" spans="15:59">
      <c r="O702" s="1"/>
      <c r="P702" s="1"/>
      <c r="AA702" s="1"/>
      <c r="AB702" s="1"/>
      <c r="AG702" s="1"/>
      <c r="AH702" s="1"/>
      <c r="AK702" s="1"/>
      <c r="AL702" s="1"/>
      <c r="AM702" s="2"/>
      <c r="AN702" s="2"/>
      <c r="AQ702" s="1"/>
      <c r="BG702" s="1"/>
    </row>
    <row r="703" spans="15:59">
      <c r="O703" s="1"/>
      <c r="P703" s="1"/>
      <c r="AA703" s="1"/>
      <c r="AB703" s="1"/>
      <c r="AG703" s="1"/>
      <c r="AH703" s="1"/>
      <c r="AK703" s="1"/>
      <c r="AL703" s="1"/>
      <c r="AM703" s="2"/>
      <c r="AN703" s="2"/>
      <c r="AQ703" s="1"/>
      <c r="BG703" s="1"/>
    </row>
    <row r="704" spans="15:59">
      <c r="O704" s="1"/>
      <c r="P704" s="1"/>
      <c r="AA704" s="1"/>
      <c r="AB704" s="1"/>
      <c r="AG704" s="1"/>
      <c r="AH704" s="1"/>
      <c r="AK704" s="1"/>
      <c r="AL704" s="1"/>
      <c r="AM704" s="2"/>
      <c r="AN704" s="2"/>
      <c r="AQ704" s="1"/>
      <c r="BG704" s="1"/>
    </row>
    <row r="705" spans="15:59">
      <c r="O705" s="1"/>
      <c r="P705" s="1"/>
      <c r="AA705" s="1"/>
      <c r="AB705" s="1"/>
      <c r="AG705" s="1"/>
      <c r="AH705" s="1"/>
      <c r="AK705" s="1"/>
      <c r="AL705" s="1"/>
      <c r="AM705" s="2"/>
      <c r="AN705" s="2"/>
      <c r="AQ705" s="1"/>
      <c r="BG705" s="1"/>
    </row>
    <row r="706" spans="15:59">
      <c r="O706" s="1"/>
      <c r="P706" s="1"/>
      <c r="AA706" s="1"/>
      <c r="AB706" s="1"/>
      <c r="AG706" s="1"/>
      <c r="AH706" s="1"/>
      <c r="AK706" s="1"/>
      <c r="AL706" s="1"/>
      <c r="AM706" s="2"/>
      <c r="AN706" s="2"/>
      <c r="AQ706" s="1"/>
      <c r="BG706" s="1"/>
    </row>
    <row r="707" spans="15:59">
      <c r="O707" s="1"/>
      <c r="P707" s="1"/>
      <c r="AA707" s="1"/>
      <c r="AB707" s="1"/>
      <c r="AG707" s="1"/>
      <c r="AH707" s="1"/>
      <c r="AK707" s="1"/>
      <c r="AL707" s="1"/>
      <c r="AM707" s="2"/>
      <c r="AN707" s="2"/>
      <c r="AQ707" s="1"/>
      <c r="BG707" s="1"/>
    </row>
    <row r="708" spans="15:59">
      <c r="O708" s="1"/>
      <c r="P708" s="1"/>
      <c r="AA708" s="1"/>
      <c r="AB708" s="1"/>
      <c r="AG708" s="1"/>
      <c r="AH708" s="1"/>
      <c r="AK708" s="1"/>
      <c r="AL708" s="1"/>
      <c r="AM708" s="2"/>
      <c r="AN708" s="2"/>
      <c r="AQ708" s="1"/>
      <c r="BG708" s="1"/>
    </row>
    <row r="709" spans="15:59">
      <c r="O709" s="1"/>
      <c r="P709" s="1"/>
      <c r="AA709" s="1"/>
      <c r="AB709" s="1"/>
      <c r="AG709" s="1"/>
      <c r="AH709" s="1"/>
      <c r="AK709" s="1"/>
      <c r="AL709" s="1"/>
      <c r="AM709" s="2"/>
      <c r="AN709" s="2"/>
      <c r="AQ709" s="1"/>
      <c r="BG709" s="1"/>
    </row>
    <row r="710" spans="15:59">
      <c r="O710" s="1"/>
      <c r="P710" s="1"/>
      <c r="AA710" s="1"/>
      <c r="AB710" s="1"/>
      <c r="AG710" s="1"/>
      <c r="AH710" s="1"/>
      <c r="AK710" s="1"/>
      <c r="AL710" s="1"/>
      <c r="AM710" s="2"/>
      <c r="AN710" s="2"/>
      <c r="AQ710" s="1"/>
      <c r="BG710" s="1"/>
    </row>
    <row r="711" spans="15:59">
      <c r="O711" s="1"/>
      <c r="P711" s="1"/>
      <c r="AA711" s="1"/>
      <c r="AB711" s="1"/>
      <c r="AG711" s="1"/>
      <c r="AH711" s="1"/>
      <c r="AK711" s="1"/>
      <c r="AL711" s="1"/>
      <c r="AM711" s="2"/>
      <c r="AN711" s="2"/>
      <c r="AQ711" s="1"/>
      <c r="BG711" s="1"/>
    </row>
    <row r="712" spans="15:59">
      <c r="O712" s="1"/>
      <c r="P712" s="1"/>
      <c r="AA712" s="1"/>
      <c r="AB712" s="1"/>
      <c r="AG712" s="1"/>
      <c r="AH712" s="1"/>
      <c r="AK712" s="1"/>
      <c r="AL712" s="1"/>
      <c r="AM712" s="2"/>
      <c r="AN712" s="2"/>
      <c r="AQ712" s="1"/>
      <c r="BG712" s="1"/>
    </row>
    <row r="713" spans="15:59">
      <c r="O713" s="1"/>
      <c r="P713" s="1"/>
      <c r="AA713" s="1"/>
      <c r="AB713" s="1"/>
      <c r="AG713" s="1"/>
      <c r="AH713" s="1"/>
      <c r="AK713" s="1"/>
      <c r="AL713" s="1"/>
      <c r="AM713" s="2"/>
      <c r="AN713" s="2"/>
      <c r="AQ713" s="1"/>
      <c r="BG713" s="1"/>
    </row>
    <row r="714" spans="15:59">
      <c r="O714" s="1"/>
      <c r="P714" s="1"/>
      <c r="AA714" s="1"/>
      <c r="AB714" s="1"/>
      <c r="AG714" s="1"/>
      <c r="AH714" s="1"/>
      <c r="AK714" s="1"/>
      <c r="AL714" s="1"/>
      <c r="AM714" s="2"/>
      <c r="AN714" s="2"/>
      <c r="AQ714" s="1"/>
      <c r="BG714" s="1"/>
    </row>
    <row r="715" spans="15:59">
      <c r="O715" s="1"/>
      <c r="P715" s="1"/>
      <c r="AA715" s="1"/>
      <c r="AB715" s="1"/>
      <c r="AG715" s="1"/>
      <c r="AH715" s="1"/>
      <c r="AK715" s="1"/>
      <c r="AL715" s="1"/>
      <c r="AM715" s="2"/>
      <c r="AN715" s="2"/>
      <c r="AQ715" s="1"/>
      <c r="BG715" s="1"/>
    </row>
    <row r="716" spans="15:59">
      <c r="O716" s="1"/>
      <c r="P716" s="1"/>
      <c r="AA716" s="1"/>
      <c r="AB716" s="1"/>
      <c r="AG716" s="1"/>
      <c r="AH716" s="1"/>
      <c r="AK716" s="1"/>
      <c r="AL716" s="1"/>
      <c r="AM716" s="2"/>
      <c r="AN716" s="2"/>
      <c r="AQ716" s="1"/>
      <c r="BG716" s="1"/>
    </row>
    <row r="717" spans="15:59">
      <c r="O717" s="1"/>
      <c r="P717" s="1"/>
      <c r="AA717" s="1"/>
      <c r="AB717" s="1"/>
      <c r="AG717" s="1"/>
      <c r="AH717" s="1"/>
      <c r="AK717" s="1"/>
      <c r="AL717" s="1"/>
      <c r="AM717" s="2"/>
      <c r="AN717" s="2"/>
      <c r="AQ717" s="1"/>
      <c r="BG717" s="1"/>
    </row>
    <row r="718" spans="15:59">
      <c r="O718" s="1"/>
      <c r="P718" s="1"/>
      <c r="AA718" s="1"/>
      <c r="AB718" s="1"/>
      <c r="AG718" s="1"/>
      <c r="AH718" s="1"/>
      <c r="AK718" s="1"/>
      <c r="AL718" s="1"/>
      <c r="AM718" s="2"/>
      <c r="AN718" s="2"/>
      <c r="AQ718" s="1"/>
      <c r="BG718" s="1"/>
    </row>
    <row r="719" spans="15:59">
      <c r="O719" s="1"/>
      <c r="P719" s="1"/>
      <c r="AA719" s="1"/>
      <c r="AB719" s="1"/>
      <c r="AG719" s="1"/>
      <c r="AH719" s="1"/>
      <c r="AK719" s="1"/>
      <c r="AL719" s="1"/>
      <c r="AM719" s="2"/>
      <c r="AN719" s="2"/>
      <c r="AQ719" s="1"/>
      <c r="BG719" s="1"/>
    </row>
    <row r="720" spans="15:59">
      <c r="O720" s="1"/>
      <c r="P720" s="1"/>
      <c r="AA720" s="1"/>
      <c r="AB720" s="1"/>
      <c r="AG720" s="1"/>
      <c r="AH720" s="1"/>
      <c r="AK720" s="1"/>
      <c r="AL720" s="1"/>
      <c r="AM720" s="2"/>
      <c r="AN720" s="2"/>
      <c r="AQ720" s="1"/>
      <c r="BG720" s="1"/>
    </row>
    <row r="721" spans="15:59">
      <c r="O721" s="1"/>
      <c r="P721" s="1"/>
      <c r="AA721" s="1"/>
      <c r="AB721" s="1"/>
      <c r="AG721" s="1"/>
      <c r="AH721" s="1"/>
      <c r="AK721" s="1"/>
      <c r="AL721" s="1"/>
      <c r="AM721" s="2"/>
      <c r="AN721" s="2"/>
      <c r="AQ721" s="1"/>
      <c r="BG721" s="1"/>
    </row>
    <row r="722" spans="15:59">
      <c r="O722" s="1"/>
      <c r="P722" s="1"/>
      <c r="AA722" s="1"/>
      <c r="AB722" s="1"/>
      <c r="AG722" s="1"/>
      <c r="AH722" s="1"/>
      <c r="AK722" s="1"/>
      <c r="AL722" s="1"/>
      <c r="AM722" s="2"/>
      <c r="AN722" s="2"/>
      <c r="AQ722" s="1"/>
      <c r="BG722" s="1"/>
    </row>
    <row r="723" spans="15:59">
      <c r="O723" s="1"/>
      <c r="P723" s="1"/>
      <c r="AA723" s="1"/>
      <c r="AB723" s="1"/>
      <c r="AG723" s="1"/>
      <c r="AH723" s="1"/>
      <c r="AK723" s="1"/>
      <c r="AL723" s="1"/>
      <c r="AM723" s="2"/>
      <c r="AN723" s="2"/>
      <c r="AQ723" s="1"/>
      <c r="BG723" s="1"/>
    </row>
    <row r="724" spans="15:59">
      <c r="O724" s="1"/>
      <c r="P724" s="1"/>
      <c r="AA724" s="1"/>
      <c r="AB724" s="1"/>
      <c r="AG724" s="1"/>
      <c r="AH724" s="1"/>
      <c r="AK724" s="1"/>
      <c r="AL724" s="1"/>
      <c r="AM724" s="2"/>
      <c r="AN724" s="2"/>
      <c r="AQ724" s="1"/>
      <c r="BG724" s="1"/>
    </row>
    <row r="725" spans="15:59">
      <c r="O725" s="1"/>
      <c r="P725" s="1"/>
      <c r="AA725" s="1"/>
      <c r="AB725" s="1"/>
      <c r="AG725" s="1"/>
      <c r="AH725" s="1"/>
      <c r="AK725" s="1"/>
      <c r="AL725" s="1"/>
      <c r="AM725" s="2"/>
      <c r="AN725" s="2"/>
      <c r="AQ725" s="1"/>
      <c r="BG725" s="1"/>
    </row>
    <row r="726" spans="15:59">
      <c r="O726" s="1"/>
      <c r="P726" s="1"/>
      <c r="AA726" s="1"/>
      <c r="AB726" s="1"/>
      <c r="AG726" s="1"/>
      <c r="AH726" s="1"/>
      <c r="AK726" s="1"/>
      <c r="AL726" s="1"/>
      <c r="AM726" s="2"/>
      <c r="AN726" s="2"/>
      <c r="AQ726" s="1"/>
      <c r="BG726" s="1"/>
    </row>
    <row r="727" spans="15:59">
      <c r="O727" s="1"/>
      <c r="P727" s="1"/>
      <c r="AA727" s="1"/>
      <c r="AB727" s="1"/>
      <c r="AG727" s="1"/>
      <c r="AH727" s="1"/>
      <c r="AK727" s="1"/>
      <c r="AL727" s="1"/>
      <c r="AM727" s="2"/>
      <c r="AN727" s="2"/>
      <c r="AQ727" s="1"/>
      <c r="BG727" s="1"/>
    </row>
    <row r="728" spans="15:59">
      <c r="O728" s="1"/>
      <c r="P728" s="1"/>
      <c r="AA728" s="1"/>
      <c r="AB728" s="1"/>
      <c r="AG728" s="1"/>
      <c r="AH728" s="1"/>
      <c r="AK728" s="1"/>
      <c r="AL728" s="1"/>
      <c r="AM728" s="2"/>
      <c r="AN728" s="2"/>
      <c r="AQ728" s="1"/>
      <c r="BG728" s="1"/>
    </row>
    <row r="729" spans="15:59">
      <c r="O729" s="1"/>
      <c r="P729" s="1"/>
      <c r="AA729" s="1"/>
      <c r="AB729" s="1"/>
      <c r="AG729" s="1"/>
      <c r="AH729" s="1"/>
      <c r="AK729" s="1"/>
      <c r="AL729" s="1"/>
      <c r="AM729" s="2"/>
      <c r="AN729" s="2"/>
      <c r="AQ729" s="1"/>
      <c r="BG729" s="1"/>
    </row>
    <row r="730" spans="15:59">
      <c r="O730" s="1"/>
      <c r="P730" s="1"/>
      <c r="AA730" s="1"/>
      <c r="AB730" s="1"/>
      <c r="AG730" s="1"/>
      <c r="AH730" s="1"/>
      <c r="AK730" s="1"/>
      <c r="AL730" s="1"/>
      <c r="AM730" s="2"/>
      <c r="AN730" s="2"/>
      <c r="AQ730" s="1"/>
      <c r="BG730" s="1"/>
    </row>
    <row r="731" spans="15:59">
      <c r="O731" s="1"/>
      <c r="P731" s="1"/>
      <c r="AA731" s="1"/>
      <c r="AB731" s="1"/>
      <c r="AG731" s="1"/>
      <c r="AH731" s="1"/>
      <c r="AK731" s="1"/>
      <c r="AL731" s="1"/>
      <c r="AM731" s="2"/>
      <c r="AN731" s="2"/>
      <c r="AQ731" s="1"/>
      <c r="BG731" s="1"/>
    </row>
    <row r="732" spans="15:59">
      <c r="O732" s="1"/>
      <c r="P732" s="1"/>
      <c r="AA732" s="1"/>
      <c r="AB732" s="1"/>
      <c r="AG732" s="1"/>
      <c r="AH732" s="1"/>
      <c r="AK732" s="1"/>
      <c r="AL732" s="1"/>
      <c r="AM732" s="2"/>
      <c r="AN732" s="2"/>
      <c r="AQ732" s="1"/>
      <c r="BG732" s="1"/>
    </row>
    <row r="733" spans="15:59">
      <c r="O733" s="1"/>
      <c r="P733" s="1"/>
      <c r="AA733" s="1"/>
      <c r="AB733" s="1"/>
      <c r="AG733" s="1"/>
      <c r="AH733" s="1"/>
      <c r="AK733" s="1"/>
      <c r="AL733" s="1"/>
      <c r="AM733" s="2"/>
      <c r="AN733" s="2"/>
      <c r="AQ733" s="1"/>
      <c r="BG733" s="1"/>
    </row>
    <row r="734" spans="15:59">
      <c r="O734" s="1"/>
      <c r="P734" s="1"/>
      <c r="AA734" s="1"/>
      <c r="AB734" s="1"/>
      <c r="AG734" s="1"/>
      <c r="AH734" s="1"/>
      <c r="AK734" s="1"/>
      <c r="AL734" s="1"/>
      <c r="AM734" s="2"/>
      <c r="AN734" s="2"/>
      <c r="AQ734" s="1"/>
      <c r="BG734" s="1"/>
    </row>
    <row r="735" spans="15:59">
      <c r="O735" s="1"/>
      <c r="P735" s="1"/>
      <c r="AA735" s="1"/>
      <c r="AB735" s="1"/>
      <c r="AG735" s="1"/>
      <c r="AH735" s="1"/>
      <c r="AK735" s="1"/>
      <c r="AL735" s="1"/>
      <c r="AM735" s="2"/>
      <c r="AN735" s="2"/>
      <c r="AQ735" s="1"/>
      <c r="BG735" s="1"/>
    </row>
    <row r="736" spans="15:59">
      <c r="O736" s="1"/>
      <c r="P736" s="1"/>
      <c r="AA736" s="1"/>
      <c r="AB736" s="1"/>
      <c r="AG736" s="1"/>
      <c r="AH736" s="1"/>
      <c r="AK736" s="1"/>
      <c r="AL736" s="1"/>
      <c r="AM736" s="2"/>
      <c r="AN736" s="2"/>
      <c r="AQ736" s="1"/>
      <c r="BG736" s="1"/>
    </row>
    <row r="737" spans="15:59">
      <c r="O737" s="1"/>
      <c r="P737" s="1"/>
      <c r="AA737" s="1"/>
      <c r="AB737" s="1"/>
      <c r="AG737" s="1"/>
      <c r="AH737" s="1"/>
      <c r="AK737" s="1"/>
      <c r="AL737" s="1"/>
      <c r="AM737" s="2"/>
      <c r="AN737" s="2"/>
      <c r="AQ737" s="1"/>
      <c r="BG737" s="1"/>
    </row>
    <row r="738" spans="15:59">
      <c r="O738" s="1"/>
      <c r="P738" s="1"/>
      <c r="AA738" s="1"/>
      <c r="AB738" s="1"/>
      <c r="AG738" s="1"/>
      <c r="AH738" s="1"/>
      <c r="AK738" s="1"/>
      <c r="AL738" s="1"/>
      <c r="AM738" s="2"/>
      <c r="AN738" s="2"/>
      <c r="AQ738" s="1"/>
      <c r="BG738" s="1"/>
    </row>
    <row r="739" spans="15:59">
      <c r="O739" s="1"/>
      <c r="P739" s="1"/>
      <c r="AA739" s="1"/>
      <c r="AB739" s="1"/>
      <c r="AG739" s="1"/>
      <c r="AH739" s="1"/>
      <c r="AK739" s="1"/>
      <c r="AL739" s="1"/>
      <c r="AM739" s="2"/>
      <c r="AN739" s="2"/>
      <c r="AQ739" s="1"/>
      <c r="BG739" s="1"/>
    </row>
    <row r="740" spans="15:59">
      <c r="O740" s="1"/>
      <c r="P740" s="1"/>
      <c r="AA740" s="1"/>
      <c r="AB740" s="1"/>
      <c r="AG740" s="1"/>
      <c r="AH740" s="1"/>
      <c r="AK740" s="1"/>
      <c r="AL740" s="1"/>
      <c r="AM740" s="2"/>
      <c r="AN740" s="2"/>
      <c r="AQ740" s="1"/>
      <c r="BG740" s="1"/>
    </row>
    <row r="741" spans="15:59">
      <c r="O741" s="1"/>
      <c r="P741" s="1"/>
      <c r="AA741" s="1"/>
      <c r="AB741" s="1"/>
      <c r="AG741" s="1"/>
      <c r="AH741" s="1"/>
      <c r="AK741" s="1"/>
      <c r="AL741" s="1"/>
      <c r="AM741" s="2"/>
      <c r="AN741" s="2"/>
      <c r="AQ741" s="1"/>
      <c r="BG741" s="1"/>
    </row>
    <row r="742" spans="15:59">
      <c r="O742" s="1"/>
      <c r="P742" s="1"/>
      <c r="AA742" s="1"/>
      <c r="AB742" s="1"/>
      <c r="AG742" s="1"/>
      <c r="AH742" s="1"/>
      <c r="AK742" s="1"/>
      <c r="AL742" s="1"/>
      <c r="AM742" s="2"/>
      <c r="AN742" s="2"/>
      <c r="AQ742" s="1"/>
      <c r="BG742" s="1"/>
    </row>
    <row r="743" spans="15:59">
      <c r="O743" s="1"/>
      <c r="P743" s="1"/>
      <c r="AA743" s="1"/>
      <c r="AB743" s="1"/>
      <c r="AG743" s="1"/>
      <c r="AH743" s="1"/>
      <c r="AK743" s="1"/>
      <c r="AL743" s="1"/>
      <c r="AM743" s="2"/>
      <c r="AN743" s="2"/>
      <c r="AQ743" s="1"/>
      <c r="BG743" s="1"/>
    </row>
    <row r="744" spans="15:59">
      <c r="O744" s="1"/>
      <c r="P744" s="1"/>
      <c r="AA744" s="1"/>
      <c r="AB744" s="1"/>
      <c r="AG744" s="1"/>
      <c r="AH744" s="1"/>
      <c r="AK744" s="1"/>
      <c r="AL744" s="1"/>
      <c r="AM744" s="2"/>
      <c r="AN744" s="2"/>
      <c r="AQ744" s="1"/>
      <c r="BG744" s="1"/>
    </row>
    <row r="745" spans="15:59">
      <c r="O745" s="1"/>
      <c r="P745" s="1"/>
      <c r="AA745" s="1"/>
      <c r="AB745" s="1"/>
      <c r="AG745" s="1"/>
      <c r="AH745" s="1"/>
      <c r="AK745" s="1"/>
      <c r="AL745" s="1"/>
      <c r="AM745" s="2"/>
      <c r="AN745" s="2"/>
      <c r="AQ745" s="1"/>
      <c r="BG745" s="1"/>
    </row>
    <row r="746" spans="15:59">
      <c r="O746" s="1"/>
      <c r="P746" s="1"/>
      <c r="AA746" s="1"/>
      <c r="AB746" s="1"/>
      <c r="AG746" s="1"/>
      <c r="AH746" s="1"/>
      <c r="AK746" s="1"/>
      <c r="AL746" s="1"/>
      <c r="AM746" s="2"/>
      <c r="AN746" s="2"/>
      <c r="AQ746" s="1"/>
      <c r="BG746" s="1"/>
    </row>
    <row r="747" spans="15:59">
      <c r="O747" s="1"/>
      <c r="P747" s="1"/>
      <c r="AA747" s="1"/>
      <c r="AB747" s="1"/>
      <c r="AG747" s="1"/>
      <c r="AH747" s="1"/>
      <c r="AK747" s="1"/>
      <c r="AL747" s="1"/>
      <c r="AM747" s="2"/>
      <c r="AN747" s="2"/>
      <c r="AQ747" s="1"/>
      <c r="BG747" s="1"/>
    </row>
    <row r="748" spans="15:59">
      <c r="O748" s="1"/>
      <c r="P748" s="1"/>
      <c r="AA748" s="1"/>
      <c r="AB748" s="1"/>
      <c r="AG748" s="1"/>
      <c r="AH748" s="1"/>
      <c r="AK748" s="1"/>
      <c r="AL748" s="1"/>
      <c r="AM748" s="2"/>
      <c r="AN748" s="2"/>
      <c r="AQ748" s="1"/>
      <c r="BG748" s="1"/>
    </row>
    <row r="749" spans="15:59">
      <c r="O749" s="1"/>
      <c r="P749" s="1"/>
      <c r="AA749" s="1"/>
      <c r="AB749" s="1"/>
      <c r="AG749" s="1"/>
      <c r="AH749" s="1"/>
      <c r="AK749" s="1"/>
      <c r="AL749" s="1"/>
      <c r="AM749" s="2"/>
      <c r="AN749" s="2"/>
      <c r="AQ749" s="1"/>
      <c r="BG749" s="1"/>
    </row>
    <row r="750" spans="15:59">
      <c r="O750" s="1"/>
      <c r="P750" s="1"/>
      <c r="AA750" s="1"/>
      <c r="AB750" s="1"/>
      <c r="AG750" s="1"/>
      <c r="AH750" s="1"/>
      <c r="AK750" s="1"/>
      <c r="AL750" s="1"/>
      <c r="AM750" s="2"/>
      <c r="AN750" s="2"/>
      <c r="AQ750" s="1"/>
      <c r="BG750" s="1"/>
    </row>
    <row r="751" spans="15:59">
      <c r="O751" s="1"/>
      <c r="P751" s="1"/>
      <c r="AA751" s="1"/>
      <c r="AB751" s="1"/>
      <c r="AG751" s="1"/>
      <c r="AH751" s="1"/>
      <c r="AK751" s="1"/>
      <c r="AL751" s="1"/>
      <c r="AM751" s="2"/>
      <c r="AN751" s="2"/>
      <c r="AQ751" s="1"/>
      <c r="BG751" s="1"/>
    </row>
    <row r="752" spans="15:59">
      <c r="O752" s="1"/>
      <c r="P752" s="1"/>
      <c r="AA752" s="1"/>
      <c r="AB752" s="1"/>
      <c r="AG752" s="1"/>
      <c r="AH752" s="1"/>
      <c r="AK752" s="1"/>
      <c r="AL752" s="1"/>
      <c r="AM752" s="2"/>
      <c r="AN752" s="2"/>
      <c r="AQ752" s="1"/>
      <c r="BG752" s="1"/>
    </row>
    <row r="753" spans="15:59">
      <c r="O753" s="1"/>
      <c r="P753" s="1"/>
      <c r="AA753" s="1"/>
      <c r="AB753" s="1"/>
      <c r="AG753" s="1"/>
      <c r="AH753" s="1"/>
      <c r="AK753" s="1"/>
      <c r="AL753" s="1"/>
      <c r="AM753" s="2"/>
      <c r="AN753" s="2"/>
      <c r="AQ753" s="1"/>
      <c r="BG753" s="1"/>
    </row>
    <row r="754" spans="15:59">
      <c r="O754" s="1"/>
      <c r="P754" s="1"/>
      <c r="AA754" s="1"/>
      <c r="AB754" s="1"/>
      <c r="AG754" s="1"/>
      <c r="AH754" s="1"/>
      <c r="AK754" s="1"/>
      <c r="AL754" s="1"/>
      <c r="AM754" s="2"/>
      <c r="AN754" s="2"/>
      <c r="AQ754" s="1"/>
      <c r="BG754" s="1"/>
    </row>
    <row r="755" spans="15:59">
      <c r="O755" s="1"/>
      <c r="P755" s="1"/>
      <c r="AA755" s="1"/>
      <c r="AB755" s="1"/>
      <c r="AG755" s="1"/>
      <c r="AH755" s="1"/>
      <c r="AK755" s="1"/>
      <c r="AL755" s="1"/>
      <c r="AM755" s="2"/>
      <c r="AN755" s="2"/>
      <c r="AQ755" s="1"/>
      <c r="BG755" s="1"/>
    </row>
    <row r="756" spans="15:59">
      <c r="O756" s="1"/>
      <c r="P756" s="1"/>
      <c r="AA756" s="1"/>
      <c r="AB756" s="1"/>
      <c r="AG756" s="1"/>
      <c r="AH756" s="1"/>
      <c r="AK756" s="1"/>
      <c r="AL756" s="1"/>
      <c r="AM756" s="2"/>
      <c r="AN756" s="2"/>
      <c r="AQ756" s="1"/>
      <c r="BG756" s="1"/>
    </row>
    <row r="757" spans="15:59">
      <c r="O757" s="1"/>
      <c r="P757" s="1"/>
      <c r="AA757" s="1"/>
      <c r="AB757" s="1"/>
      <c r="AG757" s="1"/>
      <c r="AH757" s="1"/>
      <c r="AK757" s="1"/>
      <c r="AL757" s="1"/>
      <c r="AM757" s="2"/>
      <c r="AN757" s="2"/>
      <c r="AQ757" s="1"/>
      <c r="BG757" s="1"/>
    </row>
    <row r="758" spans="15:59">
      <c r="O758" s="1"/>
      <c r="P758" s="1"/>
      <c r="AA758" s="1"/>
      <c r="AB758" s="1"/>
      <c r="AG758" s="1"/>
      <c r="AH758" s="1"/>
      <c r="AK758" s="1"/>
      <c r="AL758" s="1"/>
      <c r="AM758" s="2"/>
      <c r="AN758" s="2"/>
      <c r="AQ758" s="1"/>
      <c r="BG758" s="1"/>
    </row>
    <row r="759" spans="15:59">
      <c r="O759" s="1"/>
      <c r="P759" s="1"/>
      <c r="AA759" s="1"/>
      <c r="AB759" s="1"/>
      <c r="AG759" s="1"/>
      <c r="AH759" s="1"/>
      <c r="AK759" s="1"/>
      <c r="AL759" s="1"/>
      <c r="AM759" s="2"/>
      <c r="AN759" s="2"/>
      <c r="AQ759" s="1"/>
      <c r="BG759" s="1"/>
    </row>
    <row r="760" spans="15:59">
      <c r="O760" s="1"/>
      <c r="P760" s="1"/>
      <c r="AA760" s="1"/>
      <c r="AB760" s="1"/>
      <c r="AG760" s="1"/>
      <c r="AH760" s="1"/>
      <c r="AK760" s="1"/>
      <c r="AL760" s="1"/>
      <c r="AM760" s="2"/>
      <c r="AN760" s="2"/>
      <c r="AQ760" s="1"/>
      <c r="BG760" s="1"/>
    </row>
    <row r="761" spans="15:59">
      <c r="O761" s="1"/>
      <c r="P761" s="1"/>
      <c r="AA761" s="1"/>
      <c r="AB761" s="1"/>
      <c r="AG761" s="1"/>
      <c r="AH761" s="1"/>
      <c r="AK761" s="1"/>
      <c r="AL761" s="1"/>
      <c r="AM761" s="2"/>
      <c r="AN761" s="2"/>
      <c r="AQ761" s="1"/>
      <c r="BG761" s="1"/>
    </row>
    <row r="762" spans="15:59">
      <c r="O762" s="1"/>
      <c r="P762" s="1"/>
      <c r="AA762" s="1"/>
      <c r="AB762" s="1"/>
      <c r="AG762" s="1"/>
      <c r="AH762" s="1"/>
      <c r="AK762" s="1"/>
      <c r="AL762" s="1"/>
      <c r="AM762" s="2"/>
      <c r="AN762" s="2"/>
      <c r="AQ762" s="1"/>
      <c r="BG762" s="1"/>
    </row>
    <row r="763" spans="15:59">
      <c r="O763" s="1"/>
      <c r="P763" s="1"/>
      <c r="AA763" s="1"/>
      <c r="AB763" s="1"/>
      <c r="AG763" s="1"/>
      <c r="AH763" s="1"/>
      <c r="AK763" s="1"/>
      <c r="AL763" s="1"/>
      <c r="AM763" s="2"/>
      <c r="AN763" s="2"/>
      <c r="AQ763" s="1"/>
      <c r="BG763" s="1"/>
    </row>
    <row r="764" spans="15:59">
      <c r="O764" s="1"/>
      <c r="P764" s="1"/>
      <c r="AA764" s="1"/>
      <c r="AB764" s="1"/>
      <c r="AG764" s="1"/>
      <c r="AH764" s="1"/>
      <c r="AK764" s="1"/>
      <c r="AL764" s="1"/>
      <c r="AM764" s="2"/>
      <c r="AN764" s="2"/>
      <c r="AQ764" s="1"/>
      <c r="BG764" s="1"/>
    </row>
    <row r="765" spans="15:59">
      <c r="O765" s="1"/>
      <c r="P765" s="1"/>
      <c r="AA765" s="1"/>
      <c r="AB765" s="1"/>
      <c r="AG765" s="1"/>
      <c r="AH765" s="1"/>
      <c r="AK765" s="1"/>
      <c r="AL765" s="1"/>
      <c r="AM765" s="2"/>
      <c r="AN765" s="2"/>
      <c r="AQ765" s="1"/>
      <c r="BG765" s="1"/>
    </row>
    <row r="766" spans="15:59">
      <c r="O766" s="1"/>
      <c r="P766" s="1"/>
      <c r="AA766" s="1"/>
      <c r="AB766" s="1"/>
      <c r="AG766" s="1"/>
      <c r="AH766" s="1"/>
      <c r="AK766" s="1"/>
      <c r="AL766" s="1"/>
      <c r="AM766" s="2"/>
      <c r="AN766" s="2"/>
      <c r="AQ766" s="1"/>
      <c r="BG766" s="1"/>
    </row>
    <row r="767" spans="15:59">
      <c r="O767" s="1"/>
      <c r="P767" s="1"/>
      <c r="AA767" s="1"/>
      <c r="AB767" s="1"/>
      <c r="AG767" s="1"/>
      <c r="AH767" s="1"/>
      <c r="AK767" s="1"/>
      <c r="AL767" s="1"/>
      <c r="AM767" s="2"/>
      <c r="AN767" s="2"/>
      <c r="AQ767" s="1"/>
      <c r="BG767" s="1"/>
    </row>
    <row r="768" spans="15:59">
      <c r="O768" s="1"/>
      <c r="P768" s="1"/>
      <c r="AA768" s="1"/>
      <c r="AB768" s="1"/>
      <c r="AG768" s="1"/>
      <c r="AH768" s="1"/>
      <c r="AK768" s="1"/>
      <c r="AL768" s="1"/>
      <c r="AM768" s="2"/>
      <c r="AN768" s="2"/>
      <c r="AQ768" s="1"/>
      <c r="BG768" s="1"/>
    </row>
    <row r="769" spans="15:59">
      <c r="O769" s="1"/>
      <c r="P769" s="1"/>
      <c r="AA769" s="1"/>
      <c r="AB769" s="1"/>
      <c r="AG769" s="1"/>
      <c r="AH769" s="1"/>
      <c r="AK769" s="1"/>
      <c r="AL769" s="1"/>
      <c r="AM769" s="2"/>
      <c r="AN769" s="2"/>
      <c r="AQ769" s="1"/>
      <c r="BG769" s="1"/>
    </row>
    <row r="770" spans="15:59">
      <c r="O770" s="1"/>
      <c r="P770" s="1"/>
      <c r="AA770" s="1"/>
      <c r="AB770" s="1"/>
      <c r="AG770" s="1"/>
      <c r="AH770" s="1"/>
      <c r="AK770" s="1"/>
      <c r="AL770" s="1"/>
      <c r="AM770" s="2"/>
      <c r="AN770" s="2"/>
      <c r="AQ770" s="1"/>
      <c r="BG770" s="1"/>
    </row>
    <row r="771" spans="15:59">
      <c r="O771" s="1"/>
      <c r="P771" s="1"/>
      <c r="AA771" s="1"/>
      <c r="AB771" s="1"/>
      <c r="AG771" s="1"/>
      <c r="AH771" s="1"/>
      <c r="AK771" s="1"/>
      <c r="AL771" s="1"/>
      <c r="AM771" s="2"/>
      <c r="AN771" s="2"/>
      <c r="AQ771" s="1"/>
      <c r="BG771" s="1"/>
    </row>
    <row r="772" spans="15:59">
      <c r="O772" s="1"/>
      <c r="P772" s="1"/>
      <c r="AA772" s="1"/>
      <c r="AB772" s="1"/>
      <c r="AG772" s="1"/>
      <c r="AH772" s="1"/>
      <c r="AK772" s="1"/>
      <c r="AL772" s="1"/>
      <c r="AM772" s="2"/>
      <c r="AN772" s="2"/>
      <c r="AQ772" s="1"/>
      <c r="BG772" s="1"/>
    </row>
    <row r="773" spans="15:59">
      <c r="O773" s="1"/>
      <c r="P773" s="1"/>
      <c r="AA773" s="1"/>
      <c r="AB773" s="1"/>
      <c r="AG773" s="1"/>
      <c r="AH773" s="1"/>
      <c r="AK773" s="1"/>
      <c r="AL773" s="1"/>
      <c r="AM773" s="2"/>
      <c r="AN773" s="2"/>
      <c r="AQ773" s="1"/>
      <c r="BG773" s="1"/>
    </row>
    <row r="774" spans="15:59">
      <c r="O774" s="1"/>
      <c r="P774" s="1"/>
      <c r="AA774" s="1"/>
      <c r="AB774" s="1"/>
      <c r="AG774" s="1"/>
      <c r="AH774" s="1"/>
      <c r="AK774" s="1"/>
      <c r="AL774" s="1"/>
      <c r="AM774" s="2"/>
      <c r="AN774" s="2"/>
      <c r="AQ774" s="1"/>
      <c r="BG774" s="1"/>
    </row>
    <row r="775" spans="15:59">
      <c r="O775" s="1"/>
      <c r="P775" s="1"/>
      <c r="AA775" s="1"/>
      <c r="AB775" s="1"/>
      <c r="AG775" s="1"/>
      <c r="AH775" s="1"/>
      <c r="AK775" s="1"/>
      <c r="AL775" s="1"/>
      <c r="AM775" s="2"/>
      <c r="AN775" s="2"/>
      <c r="AQ775" s="1"/>
      <c r="BG775" s="1"/>
    </row>
    <row r="776" spans="15:59">
      <c r="O776" s="1"/>
      <c r="P776" s="1"/>
      <c r="AA776" s="1"/>
      <c r="AB776" s="1"/>
      <c r="AG776" s="1"/>
      <c r="AH776" s="1"/>
      <c r="AK776" s="1"/>
      <c r="AL776" s="1"/>
      <c r="AM776" s="2"/>
      <c r="AN776" s="2"/>
      <c r="AQ776" s="1"/>
      <c r="BG776" s="1"/>
    </row>
    <row r="777" spans="15:59">
      <c r="O777" s="1"/>
      <c r="P777" s="1"/>
      <c r="AA777" s="1"/>
      <c r="AB777" s="1"/>
      <c r="AG777" s="1"/>
      <c r="AH777" s="1"/>
      <c r="AK777" s="1"/>
      <c r="AL777" s="1"/>
      <c r="AM777" s="2"/>
      <c r="AN777" s="2"/>
      <c r="AQ777" s="1"/>
      <c r="BG777" s="1"/>
    </row>
    <row r="778" spans="15:59">
      <c r="O778" s="1"/>
      <c r="P778" s="1"/>
      <c r="AA778" s="1"/>
      <c r="AB778" s="1"/>
      <c r="AG778" s="1"/>
      <c r="AH778" s="1"/>
      <c r="AK778" s="1"/>
      <c r="AL778" s="1"/>
      <c r="AM778" s="2"/>
      <c r="AN778" s="2"/>
      <c r="AQ778" s="1"/>
      <c r="BG778" s="1"/>
    </row>
    <row r="779" spans="15:59">
      <c r="O779" s="1"/>
      <c r="P779" s="1"/>
      <c r="AA779" s="1"/>
      <c r="AB779" s="1"/>
      <c r="AG779" s="1"/>
      <c r="AH779" s="1"/>
      <c r="AK779" s="1"/>
      <c r="AL779" s="1"/>
      <c r="AM779" s="2"/>
      <c r="AN779" s="2"/>
      <c r="AQ779" s="1"/>
      <c r="BG779" s="1"/>
    </row>
    <row r="780" spans="15:59">
      <c r="O780" s="1"/>
      <c r="P780" s="1"/>
      <c r="AA780" s="1"/>
      <c r="AB780" s="1"/>
      <c r="AG780" s="1"/>
      <c r="AH780" s="1"/>
      <c r="AK780" s="1"/>
      <c r="AL780" s="1"/>
      <c r="AM780" s="2"/>
      <c r="AN780" s="2"/>
      <c r="AQ780" s="1"/>
      <c r="BG780" s="1"/>
    </row>
    <row r="781" spans="15:59">
      <c r="O781" s="1"/>
      <c r="P781" s="1"/>
      <c r="AA781" s="1"/>
      <c r="AB781" s="1"/>
      <c r="AG781" s="1"/>
      <c r="AH781" s="1"/>
      <c r="AK781" s="1"/>
      <c r="AL781" s="1"/>
      <c r="AM781" s="2"/>
      <c r="AN781" s="2"/>
      <c r="AQ781" s="1"/>
      <c r="BG781" s="1"/>
    </row>
    <row r="782" spans="15:59">
      <c r="O782" s="1"/>
      <c r="P782" s="1"/>
      <c r="AA782" s="1"/>
      <c r="AB782" s="1"/>
      <c r="AG782" s="1"/>
      <c r="AH782" s="1"/>
      <c r="AK782" s="1"/>
      <c r="AL782" s="1"/>
      <c r="AM782" s="2"/>
      <c r="AN782" s="2"/>
      <c r="AQ782" s="1"/>
      <c r="BG782" s="1"/>
    </row>
    <row r="783" spans="15:59">
      <c r="O783" s="1"/>
      <c r="P783" s="1"/>
      <c r="AA783" s="1"/>
      <c r="AB783" s="1"/>
      <c r="AG783" s="1"/>
      <c r="AH783" s="1"/>
      <c r="AK783" s="1"/>
      <c r="AL783" s="1"/>
      <c r="AM783" s="2"/>
      <c r="AN783" s="2"/>
      <c r="AQ783" s="1"/>
      <c r="BG783" s="1"/>
    </row>
    <row r="784" spans="15:59">
      <c r="O784" s="1"/>
      <c r="P784" s="1"/>
      <c r="AA784" s="1"/>
      <c r="AB784" s="1"/>
      <c r="AG784" s="1"/>
      <c r="AH784" s="1"/>
      <c r="AK784" s="1"/>
      <c r="AL784" s="1"/>
      <c r="AM784" s="2"/>
      <c r="AN784" s="2"/>
      <c r="AQ784" s="1"/>
      <c r="BG784" s="1"/>
    </row>
    <row r="785" spans="15:59">
      <c r="O785" s="1"/>
      <c r="P785" s="1"/>
      <c r="AA785" s="1"/>
      <c r="AB785" s="1"/>
      <c r="AG785" s="1"/>
      <c r="AH785" s="1"/>
      <c r="AK785" s="1"/>
      <c r="AL785" s="1"/>
      <c r="AM785" s="2"/>
      <c r="AN785" s="2"/>
      <c r="AQ785" s="1"/>
      <c r="BG785" s="1"/>
    </row>
    <row r="786" spans="15:59">
      <c r="O786" s="1"/>
      <c r="P786" s="1"/>
      <c r="AA786" s="1"/>
      <c r="AB786" s="1"/>
      <c r="AG786" s="1"/>
      <c r="AH786" s="1"/>
      <c r="AK786" s="1"/>
      <c r="AL786" s="1"/>
      <c r="AM786" s="2"/>
      <c r="AN786" s="2"/>
      <c r="AQ786" s="1"/>
      <c r="BG786" s="1"/>
    </row>
    <row r="787" spans="15:59">
      <c r="O787" s="1"/>
      <c r="P787" s="1"/>
      <c r="AA787" s="1"/>
      <c r="AB787" s="1"/>
      <c r="AG787" s="1"/>
      <c r="AH787" s="1"/>
      <c r="AK787" s="1"/>
      <c r="AL787" s="1"/>
      <c r="AM787" s="2"/>
      <c r="AN787" s="2"/>
      <c r="AQ787" s="1"/>
      <c r="BG787" s="1"/>
    </row>
    <row r="788" spans="15:59">
      <c r="O788" s="1"/>
      <c r="P788" s="1"/>
      <c r="AA788" s="1"/>
      <c r="AB788" s="1"/>
      <c r="AG788" s="1"/>
      <c r="AH788" s="1"/>
      <c r="AK788" s="1"/>
      <c r="AL788" s="1"/>
      <c r="AM788" s="2"/>
      <c r="AN788" s="2"/>
      <c r="AQ788" s="1"/>
      <c r="BG788" s="1"/>
    </row>
    <row r="789" spans="15:59">
      <c r="O789" s="1"/>
      <c r="P789" s="1"/>
      <c r="AA789" s="1"/>
      <c r="AB789" s="1"/>
      <c r="AG789" s="1"/>
      <c r="AH789" s="1"/>
      <c r="AK789" s="1"/>
      <c r="AL789" s="1"/>
      <c r="AM789" s="2"/>
      <c r="AN789" s="2"/>
      <c r="AQ789" s="1"/>
      <c r="BG789" s="1"/>
    </row>
    <row r="790" spans="15:59">
      <c r="O790" s="1"/>
      <c r="P790" s="1"/>
      <c r="AA790" s="1"/>
      <c r="AB790" s="1"/>
      <c r="AG790" s="1"/>
      <c r="AH790" s="1"/>
      <c r="AK790" s="1"/>
      <c r="AL790" s="1"/>
      <c r="AM790" s="2"/>
      <c r="AN790" s="2"/>
      <c r="AQ790" s="1"/>
      <c r="BG790" s="1"/>
    </row>
    <row r="791" spans="15:59">
      <c r="O791" s="1"/>
      <c r="P791" s="1"/>
      <c r="AA791" s="1"/>
      <c r="AB791" s="1"/>
      <c r="AG791" s="1"/>
      <c r="AH791" s="1"/>
      <c r="AK791" s="1"/>
      <c r="AL791" s="1"/>
      <c r="AM791" s="2"/>
      <c r="AN791" s="2"/>
      <c r="AQ791" s="1"/>
      <c r="BG791" s="1"/>
    </row>
    <row r="792" spans="15:59">
      <c r="O792" s="1"/>
      <c r="P792" s="1"/>
      <c r="AA792" s="1"/>
      <c r="AB792" s="1"/>
      <c r="AG792" s="1"/>
      <c r="AH792" s="1"/>
      <c r="AK792" s="1"/>
      <c r="AL792" s="1"/>
      <c r="AM792" s="2"/>
      <c r="AN792" s="2"/>
      <c r="AQ792" s="1"/>
      <c r="BG792" s="1"/>
    </row>
    <row r="793" spans="15:59">
      <c r="O793" s="1"/>
      <c r="P793" s="1"/>
      <c r="AA793" s="1"/>
      <c r="AB793" s="1"/>
      <c r="AG793" s="1"/>
      <c r="AH793" s="1"/>
      <c r="AK793" s="1"/>
      <c r="AL793" s="1"/>
      <c r="AM793" s="2"/>
      <c r="AN793" s="2"/>
      <c r="AQ793" s="1"/>
      <c r="BG793" s="1"/>
    </row>
    <row r="794" spans="15:59">
      <c r="O794" s="1"/>
      <c r="P794" s="1"/>
      <c r="AA794" s="1"/>
      <c r="AB794" s="1"/>
      <c r="AG794" s="1"/>
      <c r="AH794" s="1"/>
      <c r="AK794" s="1"/>
      <c r="AL794" s="1"/>
      <c r="AM794" s="2"/>
      <c r="AN794" s="2"/>
      <c r="AQ794" s="1"/>
      <c r="BG794" s="1"/>
    </row>
    <row r="795" spans="15:59">
      <c r="O795" s="1"/>
      <c r="P795" s="1"/>
      <c r="AA795" s="1"/>
      <c r="AB795" s="1"/>
      <c r="AG795" s="1"/>
      <c r="AH795" s="1"/>
      <c r="AK795" s="1"/>
      <c r="AL795" s="1"/>
      <c r="AM795" s="2"/>
      <c r="AN795" s="2"/>
      <c r="AQ795" s="1"/>
      <c r="BG795" s="1"/>
    </row>
    <row r="796" spans="15:59">
      <c r="O796" s="1"/>
      <c r="P796" s="1"/>
      <c r="AA796" s="1"/>
      <c r="AB796" s="1"/>
      <c r="AG796" s="1"/>
      <c r="AH796" s="1"/>
      <c r="AK796" s="1"/>
      <c r="AL796" s="1"/>
      <c r="AM796" s="2"/>
      <c r="AN796" s="2"/>
      <c r="AQ796" s="1"/>
      <c r="BG796" s="1"/>
    </row>
    <row r="797" spans="15:59">
      <c r="O797" s="1"/>
      <c r="P797" s="1"/>
      <c r="AA797" s="1"/>
      <c r="AB797" s="1"/>
      <c r="AG797" s="1"/>
      <c r="AH797" s="1"/>
      <c r="AK797" s="1"/>
      <c r="AL797" s="1"/>
      <c r="AM797" s="2"/>
      <c r="AN797" s="2"/>
      <c r="AQ797" s="1"/>
      <c r="BG797" s="1"/>
    </row>
    <row r="798" spans="15:59">
      <c r="O798" s="1"/>
      <c r="P798" s="1"/>
      <c r="AA798" s="1"/>
      <c r="AB798" s="1"/>
      <c r="AG798" s="1"/>
      <c r="AH798" s="1"/>
      <c r="AK798" s="1"/>
      <c r="AL798" s="1"/>
      <c r="AM798" s="2"/>
      <c r="AN798" s="2"/>
      <c r="AQ798" s="1"/>
      <c r="BG798" s="1"/>
    </row>
    <row r="799" spans="15:59">
      <c r="O799" s="1"/>
      <c r="P799" s="1"/>
      <c r="AA799" s="1"/>
      <c r="AB799" s="1"/>
      <c r="AG799" s="1"/>
      <c r="AH799" s="1"/>
      <c r="AK799" s="1"/>
      <c r="AL799" s="1"/>
      <c r="AM799" s="2"/>
      <c r="AN799" s="2"/>
      <c r="AQ799" s="1"/>
      <c r="BG799" s="1"/>
    </row>
    <row r="800" spans="15:59">
      <c r="O800" s="1"/>
      <c r="P800" s="1"/>
      <c r="AA800" s="1"/>
      <c r="AB800" s="1"/>
      <c r="AG800" s="1"/>
      <c r="AH800" s="1"/>
      <c r="AK800" s="1"/>
      <c r="AL800" s="1"/>
      <c r="AM800" s="2"/>
      <c r="AN800" s="2"/>
      <c r="AQ800" s="1"/>
      <c r="BG800" s="1"/>
    </row>
    <row r="801" spans="15:59">
      <c r="O801" s="1"/>
      <c r="P801" s="1"/>
      <c r="AA801" s="1"/>
      <c r="AB801" s="1"/>
      <c r="AG801" s="1"/>
      <c r="AH801" s="1"/>
      <c r="AK801" s="1"/>
      <c r="AL801" s="1"/>
      <c r="AM801" s="2"/>
      <c r="AN801" s="2"/>
      <c r="AQ801" s="1"/>
      <c r="BG801" s="1"/>
    </row>
    <row r="802" spans="15:59">
      <c r="O802" s="1"/>
      <c r="P802" s="1"/>
      <c r="AA802" s="1"/>
      <c r="AB802" s="1"/>
      <c r="AG802" s="1"/>
      <c r="AH802" s="1"/>
      <c r="AK802" s="1"/>
      <c r="AL802" s="1"/>
      <c r="AM802" s="2"/>
      <c r="AN802" s="2"/>
      <c r="AQ802" s="1"/>
      <c r="BG802" s="1"/>
    </row>
    <row r="803" spans="15:59">
      <c r="O803" s="1"/>
      <c r="P803" s="1"/>
      <c r="AA803" s="1"/>
      <c r="AB803" s="1"/>
      <c r="AG803" s="1"/>
      <c r="AH803" s="1"/>
      <c r="AK803" s="1"/>
      <c r="AL803" s="1"/>
      <c r="AM803" s="2"/>
      <c r="AN803" s="2"/>
      <c r="AQ803" s="1"/>
      <c r="BG803" s="1"/>
    </row>
    <row r="804" spans="15:59">
      <c r="O804" s="1"/>
      <c r="P804" s="1"/>
      <c r="AA804" s="1"/>
      <c r="AB804" s="1"/>
      <c r="AG804" s="1"/>
      <c r="AH804" s="1"/>
      <c r="AK804" s="1"/>
      <c r="AL804" s="1"/>
      <c r="AM804" s="2"/>
      <c r="AN804" s="2"/>
      <c r="AQ804" s="1"/>
      <c r="BG804" s="1"/>
    </row>
    <row r="805" spans="15:59">
      <c r="O805" s="1"/>
      <c r="P805" s="1"/>
      <c r="AA805" s="1"/>
      <c r="AB805" s="1"/>
      <c r="AG805" s="1"/>
      <c r="AH805" s="1"/>
      <c r="AK805" s="1"/>
      <c r="AL805" s="1"/>
      <c r="AM805" s="2"/>
      <c r="AN805" s="2"/>
      <c r="AQ805" s="1"/>
      <c r="BG805" s="1"/>
    </row>
    <row r="806" spans="15:59">
      <c r="O806" s="1"/>
      <c r="P806" s="1"/>
      <c r="AA806" s="1"/>
      <c r="AB806" s="1"/>
      <c r="AG806" s="1"/>
      <c r="AH806" s="1"/>
      <c r="AK806" s="1"/>
      <c r="AL806" s="1"/>
      <c r="AM806" s="2"/>
      <c r="AN806" s="2"/>
      <c r="AQ806" s="1"/>
      <c r="BG806" s="1"/>
    </row>
    <row r="807" spans="15:59">
      <c r="O807" s="1"/>
      <c r="P807" s="1"/>
      <c r="AA807" s="1"/>
      <c r="AB807" s="1"/>
      <c r="AG807" s="1"/>
      <c r="AH807" s="1"/>
      <c r="AK807" s="1"/>
      <c r="AL807" s="1"/>
      <c r="AM807" s="2"/>
      <c r="AN807" s="2"/>
      <c r="AQ807" s="1"/>
      <c r="BG807" s="1"/>
    </row>
    <row r="808" spans="15:59">
      <c r="O808" s="1"/>
      <c r="P808" s="1"/>
      <c r="AA808" s="1"/>
      <c r="AB808" s="1"/>
      <c r="AG808" s="1"/>
      <c r="AH808" s="1"/>
      <c r="AK808" s="1"/>
      <c r="AL808" s="1"/>
      <c r="AM808" s="2"/>
      <c r="AN808" s="2"/>
      <c r="AQ808" s="1"/>
      <c r="BG808" s="1"/>
    </row>
    <row r="809" spans="15:59">
      <c r="O809" s="1"/>
      <c r="P809" s="1"/>
      <c r="AA809" s="1"/>
      <c r="AB809" s="1"/>
      <c r="AG809" s="1"/>
      <c r="AH809" s="1"/>
      <c r="AK809" s="1"/>
      <c r="AL809" s="1"/>
      <c r="AM809" s="2"/>
      <c r="AN809" s="2"/>
      <c r="AQ809" s="1"/>
      <c r="BG809" s="1"/>
    </row>
    <row r="810" spans="15:59">
      <c r="O810" s="1"/>
      <c r="P810" s="1"/>
      <c r="AA810" s="1"/>
      <c r="AB810" s="1"/>
      <c r="AG810" s="1"/>
      <c r="AH810" s="1"/>
      <c r="AK810" s="1"/>
      <c r="AL810" s="1"/>
      <c r="AM810" s="2"/>
      <c r="AN810" s="2"/>
      <c r="AQ810" s="1"/>
      <c r="BG810" s="1"/>
    </row>
    <row r="811" spans="15:59">
      <c r="O811" s="1"/>
      <c r="P811" s="1"/>
      <c r="AA811" s="1"/>
      <c r="AB811" s="1"/>
      <c r="AG811" s="1"/>
      <c r="AH811" s="1"/>
      <c r="AK811" s="1"/>
      <c r="AL811" s="1"/>
      <c r="AM811" s="2"/>
      <c r="AN811" s="2"/>
      <c r="AQ811" s="1"/>
      <c r="BG811" s="1"/>
    </row>
    <row r="812" spans="15:59">
      <c r="O812" s="1"/>
      <c r="P812" s="1"/>
      <c r="AA812" s="1"/>
      <c r="AB812" s="1"/>
      <c r="AG812" s="1"/>
      <c r="AH812" s="1"/>
      <c r="AK812" s="1"/>
      <c r="AL812" s="1"/>
      <c r="AM812" s="2"/>
      <c r="AN812" s="2"/>
      <c r="AQ812" s="1"/>
      <c r="BG812" s="1"/>
    </row>
    <row r="813" spans="15:59">
      <c r="O813" s="1"/>
      <c r="P813" s="1"/>
      <c r="AA813" s="1"/>
      <c r="AB813" s="1"/>
      <c r="AG813" s="1"/>
      <c r="AH813" s="1"/>
      <c r="AK813" s="1"/>
      <c r="AL813" s="1"/>
      <c r="AM813" s="2"/>
      <c r="AN813" s="2"/>
      <c r="AQ813" s="1"/>
      <c r="BG813" s="1"/>
    </row>
    <row r="814" spans="15:59">
      <c r="O814" s="1"/>
      <c r="P814" s="1"/>
      <c r="AA814" s="1"/>
      <c r="AB814" s="1"/>
      <c r="AG814" s="1"/>
      <c r="AH814" s="1"/>
      <c r="AK814" s="1"/>
      <c r="AL814" s="1"/>
      <c r="AM814" s="2"/>
      <c r="AN814" s="2"/>
      <c r="AQ814" s="1"/>
      <c r="BG814" s="1"/>
    </row>
    <row r="815" spans="15:59">
      <c r="O815" s="1"/>
      <c r="P815" s="1"/>
      <c r="AA815" s="1"/>
      <c r="AB815" s="1"/>
      <c r="AG815" s="1"/>
      <c r="AH815" s="1"/>
      <c r="AK815" s="1"/>
      <c r="AL815" s="1"/>
      <c r="AM815" s="2"/>
      <c r="AN815" s="2"/>
      <c r="AQ815" s="1"/>
      <c r="BG815" s="1"/>
    </row>
    <row r="816" spans="15:59">
      <c r="O816" s="1"/>
      <c r="P816" s="1"/>
      <c r="AA816" s="1"/>
      <c r="AB816" s="1"/>
      <c r="AG816" s="1"/>
      <c r="AH816" s="1"/>
      <c r="AK816" s="1"/>
      <c r="AL816" s="1"/>
      <c r="AM816" s="2"/>
      <c r="AN816" s="2"/>
      <c r="AQ816" s="1"/>
      <c r="BG816" s="1"/>
    </row>
    <row r="817" spans="15:59">
      <c r="O817" s="1"/>
      <c r="P817" s="1"/>
      <c r="AA817" s="1"/>
      <c r="AB817" s="1"/>
      <c r="AG817" s="1"/>
      <c r="AH817" s="1"/>
      <c r="AK817" s="1"/>
      <c r="AL817" s="1"/>
      <c r="AM817" s="2"/>
      <c r="AN817" s="2"/>
      <c r="AQ817" s="1"/>
      <c r="BG817" s="1"/>
    </row>
    <row r="818" spans="15:59">
      <c r="O818" s="1"/>
      <c r="P818" s="1"/>
      <c r="AA818" s="1"/>
      <c r="AB818" s="1"/>
      <c r="AG818" s="1"/>
      <c r="AH818" s="1"/>
      <c r="AK818" s="1"/>
      <c r="AL818" s="1"/>
      <c r="AM818" s="2"/>
      <c r="AN818" s="2"/>
      <c r="AQ818" s="1"/>
      <c r="BG818" s="1"/>
    </row>
    <row r="819" spans="15:59">
      <c r="O819" s="1"/>
      <c r="P819" s="1"/>
      <c r="AA819" s="1"/>
      <c r="AB819" s="1"/>
      <c r="AG819" s="1"/>
      <c r="AH819" s="1"/>
      <c r="AK819" s="1"/>
      <c r="AL819" s="1"/>
      <c r="AM819" s="2"/>
      <c r="AN819" s="2"/>
      <c r="AQ819" s="1"/>
      <c r="BG819" s="1"/>
    </row>
    <row r="820" spans="15:59">
      <c r="O820" s="1"/>
      <c r="P820" s="1"/>
      <c r="AA820" s="1"/>
      <c r="AB820" s="1"/>
      <c r="AG820" s="1"/>
      <c r="AH820" s="1"/>
      <c r="AK820" s="1"/>
      <c r="AL820" s="1"/>
      <c r="AM820" s="2"/>
      <c r="AN820" s="2"/>
      <c r="AQ820" s="1"/>
      <c r="BG820" s="1"/>
    </row>
    <row r="821" spans="15:59">
      <c r="O821" s="1"/>
      <c r="P821" s="1"/>
      <c r="AA821" s="1"/>
      <c r="AB821" s="1"/>
      <c r="AG821" s="1"/>
      <c r="AH821" s="1"/>
      <c r="AK821" s="1"/>
      <c r="AL821" s="1"/>
      <c r="AM821" s="2"/>
      <c r="AN821" s="2"/>
      <c r="AQ821" s="1"/>
      <c r="BG821" s="1"/>
    </row>
    <row r="822" spans="15:59">
      <c r="O822" s="1"/>
      <c r="P822" s="1"/>
      <c r="AA822" s="1"/>
      <c r="AB822" s="1"/>
      <c r="AG822" s="1"/>
      <c r="AH822" s="1"/>
      <c r="AK822" s="1"/>
      <c r="AL822" s="1"/>
      <c r="AM822" s="2"/>
      <c r="AN822" s="2"/>
      <c r="AQ822" s="1"/>
      <c r="BG822" s="1"/>
    </row>
    <row r="823" spans="15:59">
      <c r="O823" s="1"/>
      <c r="P823" s="1"/>
      <c r="AA823" s="1"/>
      <c r="AB823" s="1"/>
      <c r="AG823" s="1"/>
      <c r="AH823" s="1"/>
      <c r="AK823" s="1"/>
      <c r="AL823" s="1"/>
      <c r="AM823" s="2"/>
      <c r="AN823" s="2"/>
      <c r="AQ823" s="1"/>
      <c r="BG823" s="1"/>
    </row>
    <row r="824" spans="15:59">
      <c r="O824" s="1"/>
      <c r="P824" s="1"/>
      <c r="AA824" s="1"/>
      <c r="AB824" s="1"/>
      <c r="AG824" s="1"/>
      <c r="AH824" s="1"/>
      <c r="AK824" s="1"/>
      <c r="AL824" s="1"/>
      <c r="AM824" s="2"/>
      <c r="AN824" s="2"/>
      <c r="AQ824" s="1"/>
      <c r="BG824" s="1"/>
    </row>
    <row r="825" spans="15:59">
      <c r="O825" s="1"/>
      <c r="P825" s="1"/>
      <c r="AA825" s="1"/>
      <c r="AB825" s="1"/>
      <c r="AG825" s="1"/>
      <c r="AH825" s="1"/>
      <c r="AK825" s="1"/>
      <c r="AL825" s="1"/>
      <c r="AM825" s="2"/>
      <c r="AN825" s="2"/>
      <c r="AQ825" s="1"/>
      <c r="BG825" s="1"/>
    </row>
    <row r="826" spans="15:59">
      <c r="O826" s="1"/>
      <c r="P826" s="1"/>
      <c r="AA826" s="1"/>
      <c r="AB826" s="1"/>
      <c r="AG826" s="1"/>
      <c r="AH826" s="1"/>
      <c r="AK826" s="1"/>
      <c r="AL826" s="1"/>
      <c r="AM826" s="2"/>
      <c r="AN826" s="2"/>
      <c r="AQ826" s="1"/>
      <c r="BG826" s="1"/>
    </row>
    <row r="827" spans="15:59">
      <c r="O827" s="1"/>
      <c r="P827" s="1"/>
      <c r="AA827" s="1"/>
      <c r="AB827" s="1"/>
      <c r="AG827" s="1"/>
      <c r="AH827" s="1"/>
      <c r="AK827" s="1"/>
      <c r="AL827" s="1"/>
      <c r="AM827" s="2"/>
      <c r="AN827" s="2"/>
      <c r="AQ827" s="1"/>
      <c r="BG827" s="1"/>
    </row>
    <row r="828" spans="15:59">
      <c r="O828" s="1"/>
      <c r="P828" s="1"/>
      <c r="AA828" s="1"/>
      <c r="AB828" s="1"/>
      <c r="AG828" s="1"/>
      <c r="AH828" s="1"/>
      <c r="AK828" s="1"/>
      <c r="AL828" s="1"/>
      <c r="AM828" s="2"/>
      <c r="AN828" s="2"/>
      <c r="AQ828" s="1"/>
      <c r="BG828" s="1"/>
    </row>
    <row r="829" spans="15:59">
      <c r="O829" s="1"/>
      <c r="P829" s="1"/>
      <c r="AA829" s="1"/>
      <c r="AB829" s="1"/>
      <c r="AG829" s="1"/>
      <c r="AH829" s="1"/>
      <c r="AK829" s="1"/>
      <c r="AL829" s="1"/>
      <c r="AM829" s="2"/>
      <c r="AN829" s="2"/>
      <c r="AQ829" s="1"/>
      <c r="BG829" s="1"/>
    </row>
    <row r="830" spans="15:59">
      <c r="O830" s="1"/>
      <c r="P830" s="1"/>
      <c r="AA830" s="1"/>
      <c r="AB830" s="1"/>
      <c r="AG830" s="1"/>
      <c r="AH830" s="1"/>
      <c r="AK830" s="1"/>
      <c r="AL830" s="1"/>
      <c r="AM830" s="2"/>
      <c r="AN830" s="2"/>
      <c r="AQ830" s="1"/>
      <c r="BG830" s="1"/>
    </row>
    <row r="831" spans="15:59">
      <c r="O831" s="1"/>
      <c r="P831" s="1"/>
      <c r="AA831" s="1"/>
      <c r="AB831" s="1"/>
      <c r="AG831" s="1"/>
      <c r="AH831" s="1"/>
      <c r="AK831" s="1"/>
      <c r="AL831" s="1"/>
      <c r="AM831" s="2"/>
      <c r="AN831" s="2"/>
      <c r="AQ831" s="1"/>
      <c r="BG831" s="1"/>
    </row>
    <row r="832" spans="15:59">
      <c r="O832" s="1"/>
      <c r="P832" s="1"/>
      <c r="AA832" s="1"/>
      <c r="AB832" s="1"/>
      <c r="AG832" s="1"/>
      <c r="AH832" s="1"/>
      <c r="AK832" s="1"/>
      <c r="AL832" s="1"/>
      <c r="AM832" s="2"/>
      <c r="AN832" s="2"/>
      <c r="AQ832" s="1"/>
      <c r="BG832" s="1"/>
    </row>
    <row r="833" spans="15:59">
      <c r="O833" s="1"/>
      <c r="P833" s="1"/>
      <c r="AA833" s="1"/>
      <c r="AB833" s="1"/>
      <c r="AG833" s="1"/>
      <c r="AH833" s="1"/>
      <c r="AK833" s="1"/>
      <c r="AL833" s="1"/>
      <c r="AM833" s="2"/>
      <c r="AN833" s="2"/>
      <c r="AQ833" s="1"/>
      <c r="BG833" s="1"/>
    </row>
    <row r="834" spans="15:59">
      <c r="O834" s="1"/>
      <c r="P834" s="1"/>
      <c r="AA834" s="1"/>
      <c r="AB834" s="1"/>
      <c r="AG834" s="1"/>
      <c r="AH834" s="1"/>
      <c r="AK834" s="1"/>
      <c r="AL834" s="1"/>
      <c r="AM834" s="2"/>
      <c r="AN834" s="2"/>
      <c r="AQ834" s="1"/>
      <c r="BG834" s="1"/>
    </row>
    <row r="835" spans="15:59">
      <c r="O835" s="1"/>
      <c r="P835" s="1"/>
      <c r="AA835" s="1"/>
      <c r="AB835" s="1"/>
      <c r="AG835" s="1"/>
      <c r="AH835" s="1"/>
      <c r="AK835" s="1"/>
      <c r="AL835" s="1"/>
      <c r="AM835" s="2"/>
      <c r="AN835" s="2"/>
      <c r="AQ835" s="1"/>
      <c r="BG835" s="1"/>
    </row>
    <row r="836" spans="15:59">
      <c r="O836" s="1"/>
      <c r="P836" s="1"/>
      <c r="AA836" s="1"/>
      <c r="AB836" s="1"/>
      <c r="AG836" s="1"/>
      <c r="AH836" s="1"/>
      <c r="AK836" s="1"/>
      <c r="AL836" s="1"/>
      <c r="AM836" s="2"/>
      <c r="AN836" s="2"/>
      <c r="AQ836" s="1"/>
      <c r="BG836" s="1"/>
    </row>
    <row r="837" spans="15:59">
      <c r="O837" s="1"/>
      <c r="P837" s="1"/>
      <c r="AA837" s="1"/>
      <c r="AB837" s="1"/>
      <c r="AG837" s="1"/>
      <c r="AH837" s="1"/>
      <c r="AK837" s="1"/>
      <c r="AL837" s="1"/>
      <c r="AM837" s="2"/>
      <c r="AN837" s="2"/>
      <c r="AQ837" s="1"/>
      <c r="BG837" s="1"/>
    </row>
    <row r="838" spans="15:59">
      <c r="O838" s="1"/>
      <c r="P838" s="1"/>
      <c r="AA838" s="1"/>
      <c r="AB838" s="1"/>
      <c r="AG838" s="1"/>
      <c r="AH838" s="1"/>
      <c r="AK838" s="1"/>
      <c r="AL838" s="1"/>
      <c r="AM838" s="2"/>
      <c r="AN838" s="2"/>
      <c r="AQ838" s="1"/>
      <c r="BG838" s="1"/>
    </row>
    <row r="839" spans="15:59">
      <c r="O839" s="1"/>
      <c r="P839" s="1"/>
      <c r="AA839" s="1"/>
      <c r="AB839" s="1"/>
      <c r="AG839" s="1"/>
      <c r="AH839" s="1"/>
      <c r="AK839" s="1"/>
      <c r="AL839" s="1"/>
      <c r="AM839" s="2"/>
      <c r="AN839" s="2"/>
      <c r="AQ839" s="1"/>
      <c r="BG839" s="1"/>
    </row>
    <row r="840" spans="15:59">
      <c r="O840" s="1"/>
      <c r="P840" s="1"/>
      <c r="AA840" s="1"/>
      <c r="AB840" s="1"/>
      <c r="AG840" s="1"/>
      <c r="AH840" s="1"/>
      <c r="AK840" s="1"/>
      <c r="AL840" s="1"/>
      <c r="AM840" s="2"/>
      <c r="AN840" s="2"/>
      <c r="AQ840" s="1"/>
      <c r="BG840" s="1"/>
    </row>
    <row r="841" spans="15:59">
      <c r="O841" s="1"/>
      <c r="P841" s="1"/>
      <c r="AA841" s="1"/>
      <c r="AB841" s="1"/>
      <c r="AG841" s="1"/>
      <c r="AH841" s="1"/>
      <c r="AK841" s="1"/>
      <c r="AL841" s="1"/>
      <c r="AM841" s="2"/>
      <c r="AN841" s="2"/>
      <c r="AQ841" s="1"/>
      <c r="BG841" s="1"/>
    </row>
    <row r="842" spans="15:59">
      <c r="O842" s="1"/>
      <c r="P842" s="1"/>
      <c r="AA842" s="1"/>
      <c r="AB842" s="1"/>
      <c r="AG842" s="1"/>
      <c r="AH842" s="1"/>
      <c r="AK842" s="1"/>
      <c r="AL842" s="1"/>
      <c r="AM842" s="2"/>
      <c r="AN842" s="2"/>
      <c r="AQ842" s="1"/>
      <c r="BG842" s="1"/>
    </row>
    <row r="843" spans="15:59">
      <c r="O843" s="1"/>
      <c r="P843" s="1"/>
      <c r="AA843" s="1"/>
      <c r="AB843" s="1"/>
      <c r="AG843" s="1"/>
      <c r="AH843" s="1"/>
      <c r="AK843" s="1"/>
      <c r="AL843" s="1"/>
      <c r="AM843" s="2"/>
      <c r="AN843" s="2"/>
      <c r="AQ843" s="1"/>
      <c r="BG843" s="1"/>
    </row>
    <row r="844" spans="15:59">
      <c r="O844" s="1"/>
      <c r="P844" s="1"/>
      <c r="AA844" s="1"/>
      <c r="AB844" s="1"/>
      <c r="AG844" s="1"/>
      <c r="AH844" s="1"/>
      <c r="AK844" s="1"/>
      <c r="AL844" s="1"/>
      <c r="AM844" s="2"/>
      <c r="AN844" s="2"/>
      <c r="AQ844" s="1"/>
      <c r="BG844" s="1"/>
    </row>
    <row r="845" spans="15:59">
      <c r="O845" s="1"/>
      <c r="P845" s="1"/>
      <c r="AA845" s="1"/>
      <c r="AB845" s="1"/>
      <c r="AG845" s="1"/>
      <c r="AH845" s="1"/>
      <c r="AK845" s="1"/>
      <c r="AL845" s="1"/>
      <c r="AM845" s="2"/>
      <c r="AN845" s="2"/>
      <c r="AQ845" s="1"/>
      <c r="BG845" s="1"/>
    </row>
    <row r="846" spans="15:59">
      <c r="O846" s="1"/>
      <c r="P846" s="1"/>
      <c r="AA846" s="1"/>
      <c r="AB846" s="1"/>
      <c r="AG846" s="1"/>
      <c r="AH846" s="1"/>
      <c r="AK846" s="1"/>
      <c r="AL846" s="1"/>
      <c r="AM846" s="2"/>
      <c r="AN846" s="2"/>
      <c r="AQ846" s="1"/>
      <c r="BG846" s="1"/>
    </row>
    <row r="847" spans="15:59">
      <c r="O847" s="1"/>
      <c r="P847" s="1"/>
      <c r="AA847" s="1"/>
      <c r="AB847" s="1"/>
      <c r="AG847" s="1"/>
      <c r="AH847" s="1"/>
      <c r="AK847" s="1"/>
      <c r="AL847" s="1"/>
      <c r="AM847" s="2"/>
      <c r="AN847" s="2"/>
      <c r="AQ847" s="1"/>
      <c r="BG847" s="1"/>
    </row>
    <row r="848" spans="15:59">
      <c r="O848" s="1"/>
      <c r="P848" s="1"/>
      <c r="AA848" s="1"/>
      <c r="AB848" s="1"/>
      <c r="AG848" s="1"/>
      <c r="AH848" s="1"/>
      <c r="AK848" s="1"/>
      <c r="AL848" s="1"/>
      <c r="AM848" s="2"/>
      <c r="AN848" s="2"/>
      <c r="AQ848" s="1"/>
      <c r="BG848" s="1"/>
    </row>
    <row r="849" spans="15:59">
      <c r="O849" s="1"/>
      <c r="P849" s="1"/>
      <c r="AA849" s="1"/>
      <c r="AB849" s="1"/>
      <c r="AG849" s="1"/>
      <c r="AH849" s="1"/>
      <c r="AK849" s="1"/>
      <c r="AL849" s="1"/>
      <c r="AM849" s="2"/>
      <c r="AN849" s="2"/>
      <c r="AQ849" s="1"/>
      <c r="BG849" s="1"/>
    </row>
    <row r="850" spans="15:59">
      <c r="O850" s="1"/>
      <c r="P850" s="1"/>
      <c r="AA850" s="1"/>
      <c r="AB850" s="1"/>
      <c r="AG850" s="1"/>
      <c r="AH850" s="1"/>
      <c r="AK850" s="1"/>
      <c r="AL850" s="1"/>
      <c r="AM850" s="2"/>
      <c r="AN850" s="2"/>
      <c r="AQ850" s="1"/>
      <c r="BG850" s="1"/>
    </row>
    <row r="851" spans="15:59">
      <c r="O851" s="1"/>
      <c r="P851" s="1"/>
      <c r="AA851" s="1"/>
      <c r="AB851" s="1"/>
      <c r="AG851" s="1"/>
      <c r="AH851" s="1"/>
      <c r="AK851" s="1"/>
      <c r="AL851" s="1"/>
      <c r="AM851" s="2"/>
      <c r="AN851" s="2"/>
      <c r="AQ851" s="1"/>
      <c r="BG851" s="1"/>
    </row>
    <row r="852" spans="15:59">
      <c r="O852" s="1"/>
      <c r="P852" s="1"/>
      <c r="AA852" s="1"/>
      <c r="AB852" s="1"/>
      <c r="AG852" s="1"/>
      <c r="AH852" s="1"/>
      <c r="AK852" s="1"/>
      <c r="AL852" s="1"/>
      <c r="AM852" s="2"/>
      <c r="AN852" s="2"/>
      <c r="AQ852" s="1"/>
      <c r="BG852" s="1"/>
    </row>
    <row r="853" spans="15:59">
      <c r="O853" s="1"/>
      <c r="P853" s="1"/>
      <c r="AA853" s="1"/>
      <c r="AB853" s="1"/>
      <c r="AG853" s="1"/>
      <c r="AH853" s="1"/>
      <c r="AK853" s="1"/>
      <c r="AL853" s="1"/>
      <c r="AM853" s="2"/>
      <c r="AN853" s="2"/>
      <c r="AQ853" s="1"/>
      <c r="BG853" s="1"/>
    </row>
    <row r="854" spans="15:59">
      <c r="O854" s="1"/>
      <c r="P854" s="1"/>
      <c r="AA854" s="1"/>
      <c r="AB854" s="1"/>
      <c r="AG854" s="1"/>
      <c r="AH854" s="1"/>
      <c r="AK854" s="1"/>
      <c r="AL854" s="1"/>
      <c r="AM854" s="2"/>
      <c r="AN854" s="2"/>
      <c r="AQ854" s="1"/>
      <c r="BG854" s="1"/>
    </row>
    <row r="855" spans="15:59">
      <c r="O855" s="1"/>
      <c r="P855" s="1"/>
      <c r="AA855" s="1"/>
      <c r="AB855" s="1"/>
      <c r="AG855" s="1"/>
      <c r="AH855" s="1"/>
      <c r="AK855" s="1"/>
      <c r="AL855" s="1"/>
      <c r="AM855" s="2"/>
      <c r="AN855" s="2"/>
      <c r="AQ855" s="1"/>
      <c r="BG855" s="1"/>
    </row>
    <row r="856" spans="15:59">
      <c r="O856" s="1"/>
      <c r="P856" s="1"/>
      <c r="AA856" s="1"/>
      <c r="AB856" s="1"/>
      <c r="AG856" s="1"/>
      <c r="AH856" s="1"/>
      <c r="AK856" s="1"/>
      <c r="AL856" s="1"/>
      <c r="AM856" s="2"/>
      <c r="AN856" s="2"/>
      <c r="AQ856" s="1"/>
      <c r="BG856" s="1"/>
    </row>
    <row r="857" spans="15:59">
      <c r="O857" s="1"/>
      <c r="P857" s="1"/>
      <c r="AA857" s="1"/>
      <c r="AB857" s="1"/>
      <c r="AG857" s="1"/>
      <c r="AH857" s="1"/>
      <c r="AK857" s="1"/>
      <c r="AL857" s="1"/>
      <c r="AM857" s="2"/>
      <c r="AN857" s="2"/>
      <c r="AQ857" s="1"/>
      <c r="BG857" s="1"/>
    </row>
    <row r="858" spans="15:59">
      <c r="O858" s="1"/>
      <c r="P858" s="1"/>
      <c r="AA858" s="1"/>
      <c r="AB858" s="1"/>
      <c r="AG858" s="1"/>
      <c r="AH858" s="1"/>
      <c r="AK858" s="1"/>
      <c r="AL858" s="1"/>
      <c r="AM858" s="2"/>
      <c r="AN858" s="2"/>
      <c r="AQ858" s="1"/>
      <c r="BG858" s="1"/>
    </row>
    <row r="859" spans="15:59">
      <c r="O859" s="1"/>
      <c r="P859" s="1"/>
      <c r="AA859" s="1"/>
      <c r="AB859" s="1"/>
      <c r="AG859" s="1"/>
      <c r="AH859" s="1"/>
      <c r="AK859" s="1"/>
      <c r="AL859" s="1"/>
      <c r="AM859" s="2"/>
      <c r="AN859" s="2"/>
      <c r="AQ859" s="1"/>
      <c r="BG859" s="1"/>
    </row>
    <row r="860" spans="15:59">
      <c r="O860" s="1"/>
      <c r="P860" s="1"/>
      <c r="AA860" s="1"/>
      <c r="AB860" s="1"/>
      <c r="AG860" s="1"/>
      <c r="AH860" s="1"/>
      <c r="AK860" s="1"/>
      <c r="AL860" s="1"/>
      <c r="AM860" s="2"/>
      <c r="AN860" s="2"/>
      <c r="AQ860" s="1"/>
      <c r="BG860" s="1"/>
    </row>
    <row r="861" spans="15:59">
      <c r="O861" s="1"/>
      <c r="P861" s="1"/>
      <c r="AA861" s="1"/>
      <c r="AB861" s="1"/>
      <c r="AG861" s="1"/>
      <c r="AH861" s="1"/>
      <c r="AK861" s="1"/>
      <c r="AL861" s="1"/>
      <c r="AM861" s="2"/>
      <c r="AN861" s="2"/>
      <c r="AQ861" s="1"/>
      <c r="BG861" s="1"/>
    </row>
    <row r="862" spans="15:59">
      <c r="O862" s="1"/>
      <c r="P862" s="1"/>
      <c r="AA862" s="1"/>
      <c r="AB862" s="1"/>
      <c r="AG862" s="1"/>
      <c r="AH862" s="1"/>
      <c r="AK862" s="1"/>
      <c r="AL862" s="1"/>
      <c r="AM862" s="2"/>
      <c r="AN862" s="2"/>
      <c r="AQ862" s="1"/>
      <c r="BG862" s="1"/>
    </row>
    <row r="863" spans="15:59">
      <c r="O863" s="1"/>
      <c r="P863" s="1"/>
      <c r="AA863" s="1"/>
      <c r="AB863" s="1"/>
      <c r="AG863" s="1"/>
      <c r="AH863" s="1"/>
      <c r="AK863" s="1"/>
      <c r="AL863" s="1"/>
      <c r="AM863" s="2"/>
      <c r="AN863" s="2"/>
      <c r="AQ863" s="1"/>
      <c r="BG863" s="1"/>
    </row>
    <row r="864" spans="15:59">
      <c r="O864" s="1"/>
      <c r="P864" s="1"/>
      <c r="AA864" s="1"/>
      <c r="AB864" s="1"/>
      <c r="AG864" s="1"/>
      <c r="AH864" s="1"/>
      <c r="AK864" s="1"/>
      <c r="AL864" s="1"/>
      <c r="AM864" s="2"/>
      <c r="AN864" s="2"/>
      <c r="AQ864" s="1"/>
      <c r="BG864" s="1"/>
    </row>
    <row r="865" spans="15:59">
      <c r="O865" s="1"/>
      <c r="P865" s="1"/>
      <c r="AA865" s="1"/>
      <c r="AB865" s="1"/>
      <c r="AG865" s="1"/>
      <c r="AH865" s="1"/>
      <c r="AK865" s="1"/>
      <c r="AL865" s="1"/>
      <c r="AM865" s="2"/>
      <c r="AN865" s="2"/>
      <c r="AQ865" s="1"/>
      <c r="BG865" s="1"/>
    </row>
    <row r="866" spans="15:59">
      <c r="O866" s="1"/>
      <c r="P866" s="1"/>
      <c r="AA866" s="1"/>
      <c r="AB866" s="1"/>
      <c r="AG866" s="1"/>
      <c r="AH866" s="1"/>
      <c r="AK866" s="1"/>
      <c r="AL866" s="1"/>
      <c r="AM866" s="2"/>
      <c r="AN866" s="2"/>
      <c r="AQ866" s="1"/>
      <c r="BG866" s="1"/>
    </row>
    <row r="867" spans="15:59">
      <c r="O867" s="1"/>
      <c r="P867" s="1"/>
      <c r="AA867" s="1"/>
      <c r="AB867" s="1"/>
      <c r="AG867" s="1"/>
      <c r="AH867" s="1"/>
      <c r="AK867" s="1"/>
      <c r="AL867" s="1"/>
      <c r="AM867" s="2"/>
      <c r="AN867" s="2"/>
      <c r="AQ867" s="1"/>
      <c r="BG867" s="1"/>
    </row>
    <row r="868" spans="15:59">
      <c r="O868" s="1"/>
      <c r="P868" s="1"/>
      <c r="AA868" s="1"/>
      <c r="AB868" s="1"/>
      <c r="AG868" s="1"/>
      <c r="AH868" s="1"/>
      <c r="AK868" s="1"/>
      <c r="AL868" s="1"/>
      <c r="AM868" s="2"/>
      <c r="AN868" s="2"/>
      <c r="AQ868" s="1"/>
      <c r="BG868" s="1"/>
    </row>
    <row r="869" spans="15:59">
      <c r="O869" s="1"/>
      <c r="P869" s="1"/>
      <c r="AA869" s="1"/>
      <c r="AB869" s="1"/>
      <c r="AG869" s="1"/>
      <c r="AH869" s="1"/>
      <c r="AK869" s="1"/>
      <c r="AL869" s="1"/>
      <c r="AM869" s="2"/>
      <c r="AN869" s="2"/>
      <c r="AQ869" s="1"/>
      <c r="BG869" s="1"/>
    </row>
    <row r="870" spans="15:59">
      <c r="O870" s="1"/>
      <c r="P870" s="1"/>
      <c r="AA870" s="1"/>
      <c r="AB870" s="1"/>
      <c r="AG870" s="1"/>
      <c r="AH870" s="1"/>
      <c r="AK870" s="1"/>
      <c r="AL870" s="1"/>
      <c r="AM870" s="2"/>
      <c r="AN870" s="2"/>
      <c r="AQ870" s="1"/>
      <c r="BG870" s="1"/>
    </row>
    <row r="871" spans="15:59">
      <c r="O871" s="1"/>
      <c r="P871" s="1"/>
      <c r="AA871" s="1"/>
      <c r="AB871" s="1"/>
      <c r="AG871" s="1"/>
      <c r="AH871" s="1"/>
      <c r="AK871" s="1"/>
      <c r="AL871" s="1"/>
      <c r="AM871" s="2"/>
      <c r="AN871" s="2"/>
      <c r="AQ871" s="1"/>
      <c r="BG871" s="1"/>
    </row>
    <row r="872" spans="15:59">
      <c r="O872" s="1"/>
      <c r="P872" s="1"/>
      <c r="AA872" s="1"/>
      <c r="AB872" s="1"/>
      <c r="AG872" s="1"/>
      <c r="AH872" s="1"/>
      <c r="AK872" s="1"/>
      <c r="AL872" s="1"/>
      <c r="AM872" s="2"/>
      <c r="AN872" s="2"/>
      <c r="AQ872" s="1"/>
      <c r="BG872" s="1"/>
    </row>
    <row r="873" spans="15:59">
      <c r="O873" s="1"/>
      <c r="P873" s="1"/>
      <c r="AA873" s="1"/>
      <c r="AB873" s="1"/>
      <c r="AG873" s="1"/>
      <c r="AH873" s="1"/>
      <c r="AK873" s="1"/>
      <c r="AL873" s="1"/>
      <c r="AM873" s="2"/>
      <c r="AN873" s="2"/>
      <c r="AQ873" s="1"/>
      <c r="BG873" s="1"/>
    </row>
    <row r="874" spans="15:59">
      <c r="O874" s="1"/>
      <c r="P874" s="1"/>
      <c r="AA874" s="1"/>
      <c r="AB874" s="1"/>
      <c r="AG874" s="1"/>
      <c r="AH874" s="1"/>
      <c r="AK874" s="1"/>
      <c r="AL874" s="1"/>
      <c r="AM874" s="2"/>
      <c r="AN874" s="2"/>
      <c r="AQ874" s="1"/>
      <c r="BG874" s="1"/>
    </row>
    <row r="875" spans="15:59">
      <c r="O875" s="1"/>
      <c r="P875" s="1"/>
      <c r="AA875" s="1"/>
      <c r="AB875" s="1"/>
      <c r="AG875" s="1"/>
      <c r="AH875" s="1"/>
      <c r="AK875" s="1"/>
      <c r="AL875" s="1"/>
      <c r="AM875" s="2"/>
      <c r="AN875" s="2"/>
      <c r="AQ875" s="1"/>
      <c r="BG875" s="1"/>
    </row>
    <row r="876" spans="15:59">
      <c r="O876" s="1"/>
      <c r="P876" s="1"/>
      <c r="AA876" s="1"/>
      <c r="AB876" s="1"/>
      <c r="AG876" s="1"/>
      <c r="AH876" s="1"/>
      <c r="AK876" s="1"/>
      <c r="AL876" s="1"/>
      <c r="AM876" s="2"/>
      <c r="AN876" s="2"/>
      <c r="AQ876" s="1"/>
      <c r="BG876" s="1"/>
    </row>
    <row r="877" spans="15:59">
      <c r="O877" s="1"/>
      <c r="P877" s="1"/>
      <c r="AA877" s="1"/>
      <c r="AB877" s="1"/>
      <c r="AG877" s="1"/>
      <c r="AH877" s="1"/>
      <c r="AK877" s="1"/>
      <c r="AL877" s="1"/>
      <c r="AM877" s="2"/>
      <c r="AN877" s="2"/>
      <c r="AQ877" s="1"/>
      <c r="BG877" s="1"/>
    </row>
    <row r="878" spans="15:59">
      <c r="O878" s="1"/>
      <c r="P878" s="1"/>
      <c r="AA878" s="1"/>
      <c r="AB878" s="1"/>
      <c r="AG878" s="1"/>
      <c r="AH878" s="1"/>
      <c r="AK878" s="1"/>
      <c r="AL878" s="1"/>
      <c r="AM878" s="2"/>
      <c r="AN878" s="2"/>
      <c r="AQ878" s="1"/>
      <c r="BG878" s="1"/>
    </row>
    <row r="879" spans="15:59">
      <c r="O879" s="1"/>
      <c r="P879" s="1"/>
      <c r="AA879" s="1"/>
      <c r="AB879" s="1"/>
      <c r="AG879" s="1"/>
      <c r="AH879" s="1"/>
      <c r="AK879" s="1"/>
      <c r="AL879" s="1"/>
      <c r="AM879" s="2"/>
      <c r="AN879" s="2"/>
      <c r="AQ879" s="1"/>
      <c r="BG879" s="1"/>
    </row>
    <row r="880" spans="15:59">
      <c r="O880" s="1"/>
      <c r="P880" s="1"/>
      <c r="AA880" s="1"/>
      <c r="AB880" s="1"/>
      <c r="AG880" s="1"/>
      <c r="AH880" s="1"/>
      <c r="AK880" s="1"/>
      <c r="AL880" s="1"/>
      <c r="AM880" s="2"/>
      <c r="AN880" s="2"/>
      <c r="AQ880" s="1"/>
      <c r="BG880" s="1"/>
    </row>
    <row r="881" spans="15:59">
      <c r="O881" s="1"/>
      <c r="P881" s="1"/>
      <c r="AA881" s="1"/>
      <c r="AB881" s="1"/>
      <c r="AG881" s="1"/>
      <c r="AH881" s="1"/>
      <c r="AK881" s="1"/>
      <c r="AL881" s="1"/>
      <c r="AM881" s="2"/>
      <c r="AN881" s="2"/>
      <c r="AQ881" s="1"/>
      <c r="BG881" s="1"/>
    </row>
    <row r="882" spans="15:59">
      <c r="O882" s="1"/>
      <c r="P882" s="1"/>
      <c r="AA882" s="1"/>
      <c r="AB882" s="1"/>
      <c r="AG882" s="1"/>
      <c r="AH882" s="1"/>
      <c r="AK882" s="1"/>
      <c r="AL882" s="1"/>
      <c r="AM882" s="2"/>
      <c r="AN882" s="2"/>
      <c r="AQ882" s="1"/>
      <c r="BG882" s="1"/>
    </row>
    <row r="883" spans="15:59">
      <c r="O883" s="1"/>
      <c r="P883" s="1"/>
      <c r="AA883" s="1"/>
      <c r="AB883" s="1"/>
      <c r="AG883" s="1"/>
      <c r="AH883" s="1"/>
      <c r="AK883" s="1"/>
      <c r="AL883" s="1"/>
      <c r="AM883" s="2"/>
      <c r="AN883" s="2"/>
      <c r="AQ883" s="1"/>
      <c r="BG883" s="1"/>
    </row>
    <row r="884" spans="15:59">
      <c r="O884" s="1"/>
      <c r="P884" s="1"/>
      <c r="AA884" s="1"/>
      <c r="AB884" s="1"/>
      <c r="AG884" s="1"/>
      <c r="AH884" s="1"/>
      <c r="AK884" s="1"/>
      <c r="AL884" s="1"/>
      <c r="AM884" s="2"/>
      <c r="AN884" s="2"/>
      <c r="AQ884" s="1"/>
      <c r="BG884" s="1"/>
    </row>
    <row r="885" spans="15:59">
      <c r="O885" s="1"/>
      <c r="P885" s="1"/>
      <c r="AA885" s="1"/>
      <c r="AB885" s="1"/>
      <c r="AG885" s="1"/>
      <c r="AH885" s="1"/>
      <c r="AK885" s="1"/>
      <c r="AL885" s="1"/>
      <c r="AM885" s="2"/>
      <c r="AN885" s="2"/>
      <c r="AQ885" s="1"/>
      <c r="BG885" s="1"/>
    </row>
    <row r="886" spans="15:59">
      <c r="O886" s="1"/>
      <c r="P886" s="1"/>
      <c r="AA886" s="1"/>
      <c r="AB886" s="1"/>
      <c r="AG886" s="1"/>
      <c r="AH886" s="1"/>
      <c r="AK886" s="1"/>
      <c r="AL886" s="1"/>
      <c r="AM886" s="2"/>
      <c r="AN886" s="2"/>
      <c r="AQ886" s="1"/>
      <c r="BG886" s="1"/>
    </row>
    <row r="887" spans="15:59">
      <c r="O887" s="1"/>
      <c r="P887" s="1"/>
      <c r="AA887" s="1"/>
      <c r="AB887" s="1"/>
      <c r="AG887" s="1"/>
      <c r="AH887" s="1"/>
      <c r="AK887" s="1"/>
      <c r="AL887" s="1"/>
      <c r="AM887" s="2"/>
      <c r="AN887" s="2"/>
      <c r="AQ887" s="1"/>
      <c r="BG887" s="1"/>
    </row>
    <row r="888" spans="15:59">
      <c r="O888" s="1"/>
      <c r="P888" s="1"/>
      <c r="AA888" s="1"/>
      <c r="AB888" s="1"/>
      <c r="AG888" s="1"/>
      <c r="AH888" s="1"/>
      <c r="AK888" s="1"/>
      <c r="AL888" s="1"/>
      <c r="AM888" s="2"/>
      <c r="AN888" s="2"/>
      <c r="AQ888" s="1"/>
      <c r="BG888" s="1"/>
    </row>
    <row r="889" spans="15:59">
      <c r="O889" s="1"/>
      <c r="P889" s="1"/>
      <c r="AA889" s="1"/>
      <c r="AB889" s="1"/>
      <c r="AG889" s="1"/>
      <c r="AH889" s="1"/>
      <c r="AK889" s="1"/>
      <c r="AL889" s="1"/>
      <c r="AM889" s="2"/>
      <c r="AN889" s="2"/>
      <c r="AQ889" s="1"/>
      <c r="BG889" s="1"/>
    </row>
    <row r="890" spans="15:59">
      <c r="O890" s="1"/>
      <c r="P890" s="1"/>
      <c r="AA890" s="1"/>
      <c r="AB890" s="1"/>
      <c r="AG890" s="1"/>
      <c r="AH890" s="1"/>
      <c r="AK890" s="1"/>
      <c r="AL890" s="1"/>
      <c r="AM890" s="2"/>
      <c r="AN890" s="2"/>
      <c r="AQ890" s="1"/>
      <c r="BG890" s="1"/>
    </row>
    <row r="891" spans="15:59">
      <c r="O891" s="1"/>
      <c r="P891" s="1"/>
      <c r="AA891" s="1"/>
      <c r="AB891" s="1"/>
      <c r="AG891" s="1"/>
      <c r="AH891" s="1"/>
      <c r="AK891" s="1"/>
      <c r="AL891" s="1"/>
      <c r="AM891" s="2"/>
      <c r="AN891" s="2"/>
      <c r="AQ891" s="1"/>
      <c r="BG891" s="1"/>
    </row>
    <row r="892" spans="15:59">
      <c r="O892" s="1"/>
      <c r="P892" s="1"/>
      <c r="AA892" s="1"/>
      <c r="AB892" s="1"/>
      <c r="AG892" s="1"/>
      <c r="AH892" s="1"/>
      <c r="AK892" s="1"/>
      <c r="AL892" s="1"/>
      <c r="AM892" s="2"/>
      <c r="AN892" s="2"/>
      <c r="AQ892" s="1"/>
      <c r="BG892" s="1"/>
    </row>
    <row r="893" spans="15:59">
      <c r="O893" s="1"/>
      <c r="P893" s="1"/>
      <c r="AA893" s="1"/>
      <c r="AB893" s="1"/>
      <c r="AG893" s="1"/>
      <c r="AH893" s="1"/>
      <c r="AK893" s="1"/>
      <c r="AL893" s="1"/>
      <c r="AM893" s="2"/>
      <c r="AN893" s="2"/>
      <c r="AQ893" s="1"/>
      <c r="BG893" s="1"/>
    </row>
    <row r="894" spans="15:59">
      <c r="O894" s="1"/>
      <c r="P894" s="1"/>
      <c r="AA894" s="1"/>
      <c r="AB894" s="1"/>
      <c r="AG894" s="1"/>
      <c r="AH894" s="1"/>
      <c r="AK894" s="1"/>
      <c r="AL894" s="1"/>
      <c r="AM894" s="2"/>
      <c r="AN894" s="2"/>
      <c r="AQ894" s="1"/>
      <c r="BG894" s="1"/>
    </row>
    <row r="895" spans="15:59">
      <c r="O895" s="1"/>
      <c r="P895" s="1"/>
      <c r="AA895" s="1"/>
      <c r="AB895" s="1"/>
      <c r="AG895" s="1"/>
      <c r="AH895" s="1"/>
      <c r="AK895" s="1"/>
      <c r="AL895" s="1"/>
      <c r="AM895" s="2"/>
      <c r="AN895" s="2"/>
      <c r="AQ895" s="1"/>
      <c r="BG895" s="1"/>
    </row>
    <row r="896" spans="15:59">
      <c r="O896" s="1"/>
      <c r="P896" s="1"/>
      <c r="AA896" s="1"/>
      <c r="AB896" s="1"/>
      <c r="AG896" s="1"/>
      <c r="AH896" s="1"/>
      <c r="AK896" s="1"/>
      <c r="AL896" s="1"/>
      <c r="AM896" s="2"/>
      <c r="AN896" s="2"/>
      <c r="AQ896" s="1"/>
      <c r="BG896" s="1"/>
    </row>
    <row r="897" spans="15:59">
      <c r="O897" s="1"/>
      <c r="P897" s="1"/>
      <c r="AA897" s="1"/>
      <c r="AB897" s="1"/>
      <c r="AG897" s="1"/>
      <c r="AH897" s="1"/>
      <c r="AK897" s="1"/>
      <c r="AL897" s="1"/>
      <c r="AM897" s="2"/>
      <c r="AN897" s="2"/>
      <c r="AQ897" s="1"/>
      <c r="BG897" s="1"/>
    </row>
    <row r="898" spans="15:59">
      <c r="O898" s="1"/>
      <c r="P898" s="1"/>
      <c r="AA898" s="1"/>
      <c r="AB898" s="1"/>
      <c r="AG898" s="1"/>
      <c r="AH898" s="1"/>
      <c r="AK898" s="1"/>
      <c r="AL898" s="1"/>
      <c r="AM898" s="2"/>
      <c r="AN898" s="2"/>
      <c r="AQ898" s="1"/>
      <c r="BG898" s="1"/>
    </row>
    <row r="899" spans="15:59">
      <c r="O899" s="1"/>
      <c r="P899" s="1"/>
      <c r="AA899" s="1"/>
      <c r="AB899" s="1"/>
      <c r="AG899" s="1"/>
      <c r="AH899" s="1"/>
      <c r="AK899" s="1"/>
      <c r="AL899" s="1"/>
      <c r="AM899" s="2"/>
      <c r="AN899" s="2"/>
      <c r="AQ899" s="1"/>
      <c r="BG899" s="1"/>
    </row>
    <row r="900" spans="15:59">
      <c r="O900" s="1"/>
      <c r="P900" s="1"/>
      <c r="AA900" s="1"/>
      <c r="AB900" s="1"/>
      <c r="AG900" s="1"/>
      <c r="AH900" s="1"/>
      <c r="AK900" s="1"/>
      <c r="AL900" s="1"/>
      <c r="AM900" s="2"/>
      <c r="AN900" s="2"/>
      <c r="AQ900" s="1"/>
      <c r="BG900" s="1"/>
    </row>
    <row r="901" spans="15:59">
      <c r="O901" s="1"/>
      <c r="P901" s="1"/>
      <c r="AA901" s="1"/>
      <c r="AB901" s="1"/>
      <c r="AG901" s="1"/>
      <c r="AH901" s="1"/>
      <c r="AK901" s="1"/>
      <c r="AL901" s="1"/>
      <c r="AM901" s="2"/>
      <c r="AN901" s="2"/>
      <c r="AQ901" s="1"/>
      <c r="BG901" s="1"/>
    </row>
    <row r="902" spans="15:59">
      <c r="O902" s="1"/>
      <c r="P902" s="1"/>
      <c r="AA902" s="1"/>
      <c r="AB902" s="1"/>
      <c r="AG902" s="1"/>
      <c r="AH902" s="1"/>
      <c r="AK902" s="1"/>
      <c r="AL902" s="1"/>
      <c r="AM902" s="2"/>
      <c r="AN902" s="2"/>
      <c r="AQ902" s="1"/>
      <c r="BG902" s="1"/>
    </row>
    <row r="903" spans="15:59">
      <c r="O903" s="1"/>
      <c r="P903" s="1"/>
      <c r="AA903" s="1"/>
      <c r="AB903" s="1"/>
      <c r="AG903" s="1"/>
      <c r="AH903" s="1"/>
      <c r="AK903" s="1"/>
      <c r="AL903" s="1"/>
      <c r="AM903" s="2"/>
      <c r="AN903" s="2"/>
      <c r="AQ903" s="1"/>
      <c r="BG903" s="1"/>
    </row>
    <row r="904" spans="15:59">
      <c r="O904" s="1"/>
      <c r="P904" s="1"/>
      <c r="AA904" s="1"/>
      <c r="AB904" s="1"/>
      <c r="AG904" s="1"/>
      <c r="AH904" s="1"/>
      <c r="AK904" s="1"/>
      <c r="AL904" s="1"/>
      <c r="AM904" s="2"/>
      <c r="AN904" s="2"/>
      <c r="AQ904" s="1"/>
      <c r="BG904" s="1"/>
    </row>
    <row r="905" spans="15:59">
      <c r="O905" s="1"/>
      <c r="P905" s="1"/>
      <c r="AA905" s="1"/>
      <c r="AB905" s="1"/>
      <c r="AG905" s="1"/>
      <c r="AH905" s="1"/>
      <c r="AK905" s="1"/>
      <c r="AL905" s="1"/>
      <c r="AM905" s="2"/>
      <c r="AN905" s="2"/>
      <c r="AQ905" s="1"/>
      <c r="BG905" s="1"/>
    </row>
    <row r="906" spans="15:59">
      <c r="O906" s="1"/>
      <c r="P906" s="1"/>
      <c r="AA906" s="1"/>
      <c r="AB906" s="1"/>
      <c r="AG906" s="1"/>
      <c r="AH906" s="1"/>
      <c r="AK906" s="1"/>
      <c r="AL906" s="1"/>
      <c r="AM906" s="2"/>
      <c r="AN906" s="2"/>
      <c r="AQ906" s="1"/>
      <c r="BG906" s="1"/>
    </row>
    <row r="907" spans="15:59">
      <c r="O907" s="1"/>
      <c r="P907" s="1"/>
      <c r="AA907" s="1"/>
      <c r="AB907" s="1"/>
      <c r="AG907" s="1"/>
      <c r="AH907" s="1"/>
      <c r="AK907" s="1"/>
      <c r="AL907" s="1"/>
      <c r="AM907" s="2"/>
      <c r="AN907" s="2"/>
      <c r="AQ907" s="1"/>
      <c r="BG907" s="1"/>
    </row>
    <row r="908" spans="15:59">
      <c r="O908" s="1"/>
      <c r="P908" s="1"/>
      <c r="AA908" s="1"/>
      <c r="AB908" s="1"/>
      <c r="AG908" s="1"/>
      <c r="AH908" s="1"/>
      <c r="AK908" s="1"/>
      <c r="AL908" s="1"/>
      <c r="AM908" s="2"/>
      <c r="AN908" s="2"/>
      <c r="AQ908" s="1"/>
      <c r="BG908" s="1"/>
    </row>
    <row r="909" spans="15:59">
      <c r="O909" s="1"/>
      <c r="P909" s="1"/>
      <c r="AA909" s="1"/>
      <c r="AB909" s="1"/>
      <c r="AG909" s="1"/>
      <c r="AH909" s="1"/>
      <c r="AK909" s="1"/>
      <c r="AL909" s="1"/>
      <c r="AM909" s="2"/>
      <c r="AN909" s="2"/>
      <c r="AQ909" s="1"/>
      <c r="BG909" s="1"/>
    </row>
    <row r="910" spans="15:59">
      <c r="O910" s="1"/>
      <c r="P910" s="1"/>
      <c r="AA910" s="1"/>
      <c r="AB910" s="1"/>
      <c r="AG910" s="1"/>
      <c r="AH910" s="1"/>
      <c r="AK910" s="1"/>
      <c r="AL910" s="1"/>
      <c r="AM910" s="2"/>
      <c r="AN910" s="2"/>
      <c r="AQ910" s="1"/>
      <c r="BG910" s="1"/>
    </row>
    <row r="911" spans="15:59">
      <c r="O911" s="1"/>
      <c r="P911" s="1"/>
      <c r="AA911" s="1"/>
      <c r="AB911" s="1"/>
      <c r="AG911" s="1"/>
      <c r="AH911" s="1"/>
      <c r="AK911" s="1"/>
      <c r="AL911" s="1"/>
      <c r="AM911" s="2"/>
      <c r="AN911" s="2"/>
      <c r="AQ911" s="1"/>
      <c r="BG911" s="1"/>
    </row>
    <row r="912" spans="15:59">
      <c r="O912" s="1"/>
      <c r="P912" s="1"/>
      <c r="AA912" s="1"/>
      <c r="AB912" s="1"/>
      <c r="AG912" s="1"/>
      <c r="AH912" s="1"/>
      <c r="AK912" s="1"/>
      <c r="AL912" s="1"/>
      <c r="AM912" s="2"/>
      <c r="AN912" s="2"/>
      <c r="AQ912" s="1"/>
      <c r="BG912" s="1"/>
    </row>
    <row r="913" spans="15:59">
      <c r="O913" s="1"/>
      <c r="P913" s="1"/>
      <c r="AA913" s="1"/>
      <c r="AB913" s="1"/>
      <c r="AG913" s="1"/>
      <c r="AH913" s="1"/>
      <c r="AK913" s="1"/>
      <c r="AL913" s="1"/>
      <c r="AM913" s="2"/>
      <c r="AN913" s="2"/>
      <c r="AQ913" s="1"/>
      <c r="BG913" s="1"/>
    </row>
    <row r="914" spans="15:59">
      <c r="O914" s="1"/>
      <c r="P914" s="1"/>
      <c r="AA914" s="1"/>
      <c r="AB914" s="1"/>
      <c r="AG914" s="1"/>
      <c r="AH914" s="1"/>
      <c r="AK914" s="1"/>
      <c r="AL914" s="1"/>
      <c r="AM914" s="2"/>
      <c r="AN914" s="2"/>
      <c r="AQ914" s="1"/>
      <c r="BG914" s="1"/>
    </row>
    <row r="915" spans="15:59">
      <c r="O915" s="1"/>
      <c r="P915" s="1"/>
      <c r="AA915" s="1"/>
      <c r="AB915" s="1"/>
      <c r="AG915" s="1"/>
      <c r="AH915" s="1"/>
      <c r="AK915" s="1"/>
      <c r="AL915" s="1"/>
      <c r="AM915" s="2"/>
      <c r="AN915" s="2"/>
      <c r="AQ915" s="1"/>
      <c r="BG915" s="1"/>
    </row>
    <row r="916" spans="15:59">
      <c r="O916" s="1"/>
      <c r="P916" s="1"/>
      <c r="AA916" s="1"/>
      <c r="AB916" s="1"/>
      <c r="AG916" s="1"/>
      <c r="AH916" s="1"/>
      <c r="AK916" s="1"/>
      <c r="AL916" s="1"/>
      <c r="AM916" s="2"/>
      <c r="AN916" s="2"/>
      <c r="AQ916" s="1"/>
      <c r="BG916" s="1"/>
    </row>
    <row r="917" spans="15:59">
      <c r="O917" s="1"/>
      <c r="P917" s="1"/>
      <c r="AA917" s="1"/>
      <c r="AB917" s="1"/>
      <c r="AG917" s="1"/>
      <c r="AH917" s="1"/>
      <c r="AK917" s="1"/>
      <c r="AL917" s="1"/>
      <c r="AM917" s="2"/>
      <c r="AN917" s="2"/>
      <c r="AQ917" s="1"/>
      <c r="BG917" s="1"/>
    </row>
    <row r="918" spans="15:59">
      <c r="O918" s="1"/>
      <c r="P918" s="1"/>
      <c r="AA918" s="1"/>
      <c r="AB918" s="1"/>
      <c r="AG918" s="1"/>
      <c r="AH918" s="1"/>
      <c r="AK918" s="1"/>
      <c r="AL918" s="1"/>
      <c r="AM918" s="2"/>
      <c r="AN918" s="2"/>
      <c r="AQ918" s="1"/>
      <c r="BG918" s="1"/>
    </row>
    <row r="919" spans="15:59">
      <c r="O919" s="1"/>
      <c r="P919" s="1"/>
      <c r="AA919" s="1"/>
      <c r="AB919" s="1"/>
      <c r="AG919" s="1"/>
      <c r="AH919" s="1"/>
      <c r="AK919" s="1"/>
      <c r="AL919" s="1"/>
      <c r="AM919" s="2"/>
      <c r="AN919" s="2"/>
      <c r="AQ919" s="1"/>
      <c r="BG919" s="1"/>
    </row>
    <row r="920" spans="15:59">
      <c r="O920" s="1"/>
      <c r="P920" s="1"/>
      <c r="AA920" s="1"/>
      <c r="AB920" s="1"/>
      <c r="AG920" s="1"/>
      <c r="AH920" s="1"/>
      <c r="AK920" s="1"/>
      <c r="AL920" s="1"/>
      <c r="AM920" s="2"/>
      <c r="AN920" s="2"/>
      <c r="AQ920" s="1"/>
      <c r="BG920" s="1"/>
    </row>
    <row r="921" spans="15:59">
      <c r="O921" s="1"/>
      <c r="P921" s="1"/>
      <c r="AA921" s="1"/>
      <c r="AB921" s="1"/>
      <c r="AG921" s="1"/>
      <c r="AH921" s="1"/>
      <c r="AK921" s="1"/>
      <c r="AL921" s="1"/>
      <c r="AM921" s="2"/>
      <c r="AN921" s="2"/>
      <c r="AQ921" s="1"/>
      <c r="BG921" s="1"/>
    </row>
    <row r="922" spans="15:59">
      <c r="O922" s="1"/>
      <c r="P922" s="1"/>
      <c r="AA922" s="1"/>
      <c r="AB922" s="1"/>
      <c r="AG922" s="1"/>
      <c r="AH922" s="1"/>
      <c r="AK922" s="1"/>
      <c r="AL922" s="1"/>
      <c r="AM922" s="2"/>
      <c r="AN922" s="2"/>
      <c r="AQ922" s="1"/>
      <c r="BG922" s="1"/>
    </row>
    <row r="923" spans="15:59">
      <c r="O923" s="1"/>
      <c r="P923" s="1"/>
      <c r="AA923" s="1"/>
      <c r="AB923" s="1"/>
      <c r="AG923" s="1"/>
      <c r="AH923" s="1"/>
      <c r="AK923" s="1"/>
      <c r="AL923" s="1"/>
      <c r="AM923" s="2"/>
      <c r="AN923" s="2"/>
      <c r="AQ923" s="1"/>
      <c r="BG923" s="1"/>
    </row>
    <row r="924" spans="15:59">
      <c r="O924" s="1"/>
      <c r="P924" s="1"/>
      <c r="AA924" s="1"/>
      <c r="AB924" s="1"/>
      <c r="AG924" s="1"/>
      <c r="AH924" s="1"/>
      <c r="AK924" s="1"/>
      <c r="AL924" s="1"/>
      <c r="AM924" s="2"/>
      <c r="AN924" s="2"/>
      <c r="AQ924" s="1"/>
      <c r="BG924" s="1"/>
    </row>
    <row r="925" spans="15:59">
      <c r="O925" s="1"/>
      <c r="P925" s="1"/>
      <c r="AA925" s="1"/>
      <c r="AB925" s="1"/>
      <c r="AG925" s="1"/>
      <c r="AH925" s="1"/>
      <c r="AK925" s="1"/>
      <c r="AL925" s="1"/>
      <c r="AM925" s="2"/>
      <c r="AN925" s="2"/>
      <c r="AQ925" s="1"/>
      <c r="BG925" s="1"/>
    </row>
    <row r="926" spans="15:59">
      <c r="O926" s="1"/>
      <c r="P926" s="1"/>
      <c r="AA926" s="1"/>
      <c r="AB926" s="1"/>
      <c r="AG926" s="1"/>
      <c r="AH926" s="1"/>
      <c r="AK926" s="1"/>
      <c r="AL926" s="1"/>
      <c r="AM926" s="2"/>
      <c r="AN926" s="2"/>
      <c r="AQ926" s="1"/>
      <c r="BG926" s="1"/>
    </row>
    <row r="927" spans="15:59">
      <c r="O927" s="1"/>
      <c r="P927" s="1"/>
      <c r="AA927" s="1"/>
      <c r="AB927" s="1"/>
      <c r="AG927" s="1"/>
      <c r="AH927" s="1"/>
      <c r="AK927" s="1"/>
      <c r="AL927" s="1"/>
      <c r="AM927" s="2"/>
      <c r="AN927" s="2"/>
      <c r="AQ927" s="1"/>
      <c r="BG927" s="1"/>
    </row>
    <row r="928" spans="15:59">
      <c r="O928" s="1"/>
      <c r="P928" s="1"/>
      <c r="AA928" s="1"/>
      <c r="AB928" s="1"/>
      <c r="AG928" s="1"/>
      <c r="AH928" s="1"/>
      <c r="AK928" s="1"/>
      <c r="AL928" s="1"/>
      <c r="AM928" s="2"/>
      <c r="AN928" s="2"/>
      <c r="AQ928" s="1"/>
      <c r="BG928" s="1"/>
    </row>
    <row r="929" spans="15:59">
      <c r="O929" s="1"/>
      <c r="P929" s="1"/>
      <c r="AA929" s="1"/>
      <c r="AB929" s="1"/>
      <c r="AG929" s="1"/>
      <c r="AH929" s="1"/>
      <c r="AK929" s="1"/>
      <c r="AL929" s="1"/>
      <c r="AM929" s="2"/>
      <c r="AN929" s="2"/>
      <c r="AQ929" s="1"/>
      <c r="BG929" s="1"/>
    </row>
    <row r="930" spans="15:59">
      <c r="O930" s="1"/>
      <c r="P930" s="1"/>
      <c r="AA930" s="1"/>
      <c r="AB930" s="1"/>
      <c r="AG930" s="1"/>
      <c r="AH930" s="1"/>
      <c r="AK930" s="1"/>
      <c r="AL930" s="1"/>
      <c r="AM930" s="2"/>
      <c r="AN930" s="2"/>
      <c r="AQ930" s="1"/>
      <c r="BG930" s="1"/>
    </row>
    <row r="931" spans="15:59">
      <c r="O931" s="1"/>
      <c r="P931" s="1"/>
      <c r="AA931" s="1"/>
      <c r="AB931" s="1"/>
      <c r="AG931" s="1"/>
      <c r="AH931" s="1"/>
      <c r="AK931" s="1"/>
      <c r="AL931" s="1"/>
      <c r="AM931" s="2"/>
      <c r="AN931" s="2"/>
      <c r="AQ931" s="1"/>
      <c r="BG931" s="1"/>
    </row>
    <row r="932" spans="15:59">
      <c r="O932" s="1"/>
      <c r="P932" s="1"/>
      <c r="AA932" s="1"/>
      <c r="AB932" s="1"/>
      <c r="AG932" s="1"/>
      <c r="AH932" s="1"/>
      <c r="AK932" s="1"/>
      <c r="AL932" s="1"/>
      <c r="AM932" s="2"/>
      <c r="AN932" s="2"/>
      <c r="AQ932" s="1"/>
      <c r="BG932" s="1"/>
    </row>
    <row r="933" spans="15:59">
      <c r="O933" s="1"/>
      <c r="P933" s="1"/>
      <c r="AA933" s="1"/>
      <c r="AB933" s="1"/>
      <c r="AG933" s="1"/>
      <c r="AH933" s="1"/>
      <c r="AK933" s="1"/>
      <c r="AL933" s="1"/>
      <c r="AM933" s="2"/>
      <c r="AN933" s="2"/>
      <c r="AQ933" s="1"/>
      <c r="BG933" s="1"/>
    </row>
    <row r="934" spans="15:59">
      <c r="O934" s="1"/>
      <c r="P934" s="1"/>
      <c r="AA934" s="1"/>
      <c r="AB934" s="1"/>
      <c r="AG934" s="1"/>
      <c r="AH934" s="1"/>
      <c r="AK934" s="1"/>
      <c r="AL934" s="1"/>
      <c r="AM934" s="2"/>
      <c r="AN934" s="2"/>
      <c r="AQ934" s="1"/>
      <c r="BG934" s="1"/>
    </row>
    <row r="935" spans="15:59">
      <c r="O935" s="1"/>
      <c r="P935" s="1"/>
      <c r="AA935" s="1"/>
      <c r="AB935" s="1"/>
      <c r="AG935" s="1"/>
      <c r="AH935" s="1"/>
      <c r="AK935" s="1"/>
      <c r="AL935" s="1"/>
      <c r="AM935" s="2"/>
      <c r="AN935" s="2"/>
      <c r="AQ935" s="1"/>
      <c r="BG935" s="1"/>
    </row>
    <row r="936" spans="15:59">
      <c r="O936" s="1"/>
      <c r="P936" s="1"/>
      <c r="AA936" s="1"/>
      <c r="AB936" s="1"/>
      <c r="AG936" s="1"/>
      <c r="AH936" s="1"/>
      <c r="AK936" s="1"/>
      <c r="AL936" s="1"/>
      <c r="AM936" s="2"/>
      <c r="AN936" s="2"/>
      <c r="AQ936" s="1"/>
      <c r="BG936" s="1"/>
    </row>
    <row r="937" spans="15:59">
      <c r="O937" s="1"/>
      <c r="P937" s="1"/>
      <c r="AA937" s="1"/>
      <c r="AB937" s="1"/>
      <c r="AG937" s="1"/>
      <c r="AH937" s="1"/>
      <c r="AK937" s="1"/>
      <c r="AL937" s="1"/>
      <c r="AM937" s="2"/>
      <c r="AN937" s="2"/>
      <c r="AQ937" s="1"/>
      <c r="BG937" s="1"/>
    </row>
    <row r="938" spans="15:59">
      <c r="O938" s="1"/>
      <c r="P938" s="1"/>
      <c r="AA938" s="1"/>
      <c r="AB938" s="1"/>
      <c r="AG938" s="1"/>
      <c r="AH938" s="1"/>
      <c r="AK938" s="1"/>
      <c r="AL938" s="1"/>
      <c r="AM938" s="2"/>
      <c r="AN938" s="2"/>
      <c r="AQ938" s="1"/>
      <c r="BG938" s="1"/>
    </row>
    <row r="939" spans="15:59">
      <c r="O939" s="1"/>
      <c r="P939" s="1"/>
      <c r="AA939" s="1"/>
      <c r="AB939" s="1"/>
      <c r="AG939" s="1"/>
      <c r="AH939" s="1"/>
      <c r="AK939" s="1"/>
      <c r="AL939" s="1"/>
      <c r="AM939" s="2"/>
      <c r="AN939" s="2"/>
      <c r="AQ939" s="1"/>
      <c r="BG939" s="1"/>
    </row>
    <row r="940" spans="15:59">
      <c r="O940" s="1"/>
      <c r="P940" s="1"/>
      <c r="AA940" s="1"/>
      <c r="AB940" s="1"/>
      <c r="AG940" s="1"/>
      <c r="AH940" s="1"/>
      <c r="AK940" s="1"/>
      <c r="AL940" s="1"/>
      <c r="AM940" s="2"/>
      <c r="AN940" s="2"/>
      <c r="AQ940" s="1"/>
      <c r="BG940" s="1"/>
    </row>
    <row r="941" spans="15:59">
      <c r="O941" s="1"/>
      <c r="P941" s="1"/>
      <c r="AA941" s="1"/>
      <c r="AB941" s="1"/>
      <c r="AG941" s="1"/>
      <c r="AH941" s="1"/>
      <c r="AK941" s="1"/>
      <c r="AL941" s="1"/>
      <c r="AM941" s="2"/>
      <c r="AN941" s="2"/>
      <c r="AQ941" s="1"/>
      <c r="BG941" s="1"/>
    </row>
    <row r="942" spans="15:59">
      <c r="O942" s="1"/>
      <c r="P942" s="1"/>
      <c r="AA942" s="1"/>
      <c r="AB942" s="1"/>
      <c r="AG942" s="1"/>
      <c r="AH942" s="1"/>
      <c r="AK942" s="1"/>
      <c r="AL942" s="1"/>
      <c r="AM942" s="2"/>
      <c r="AN942" s="2"/>
      <c r="AQ942" s="1"/>
      <c r="BG942" s="1"/>
    </row>
    <row r="943" spans="15:59">
      <c r="O943" s="1"/>
      <c r="P943" s="1"/>
      <c r="AA943" s="1"/>
      <c r="AB943" s="1"/>
      <c r="AG943" s="1"/>
      <c r="AH943" s="1"/>
      <c r="AK943" s="1"/>
      <c r="AL943" s="1"/>
      <c r="AM943" s="2"/>
      <c r="AN943" s="2"/>
      <c r="AQ943" s="1"/>
      <c r="BG943" s="1"/>
    </row>
    <row r="944" spans="15:59">
      <c r="O944" s="1"/>
      <c r="P944" s="1"/>
      <c r="AA944" s="1"/>
      <c r="AB944" s="1"/>
      <c r="AG944" s="1"/>
      <c r="AH944" s="1"/>
      <c r="AK944" s="1"/>
      <c r="AL944" s="1"/>
      <c r="AM944" s="2"/>
      <c r="AN944" s="2"/>
      <c r="AQ944" s="1"/>
      <c r="BG944" s="1"/>
    </row>
    <row r="945" spans="15:59">
      <c r="O945" s="1"/>
      <c r="P945" s="1"/>
      <c r="AA945" s="1"/>
      <c r="AB945" s="1"/>
      <c r="AG945" s="1"/>
      <c r="AH945" s="1"/>
      <c r="AK945" s="1"/>
      <c r="AL945" s="1"/>
      <c r="AM945" s="2"/>
      <c r="AN945" s="2"/>
      <c r="AQ945" s="1"/>
      <c r="BG945" s="1"/>
    </row>
    <row r="946" spans="15:59">
      <c r="O946" s="1"/>
      <c r="P946" s="1"/>
      <c r="AA946" s="1"/>
      <c r="AB946" s="1"/>
      <c r="AG946" s="1"/>
      <c r="AH946" s="1"/>
      <c r="AK946" s="1"/>
      <c r="AL946" s="1"/>
      <c r="AM946" s="2"/>
      <c r="AN946" s="2"/>
      <c r="AQ946" s="1"/>
      <c r="BG946" s="1"/>
    </row>
    <row r="947" spans="15:59">
      <c r="O947" s="1"/>
      <c r="P947" s="1"/>
      <c r="AA947" s="1"/>
      <c r="AB947" s="1"/>
      <c r="AG947" s="1"/>
      <c r="AH947" s="1"/>
      <c r="AK947" s="1"/>
      <c r="AL947" s="1"/>
      <c r="AM947" s="2"/>
      <c r="AN947" s="2"/>
      <c r="AQ947" s="1"/>
      <c r="BG947" s="1"/>
    </row>
    <row r="948" spans="15:59">
      <c r="O948" s="1"/>
      <c r="P948" s="1"/>
      <c r="AA948" s="1"/>
      <c r="AB948" s="1"/>
      <c r="AG948" s="1"/>
      <c r="AH948" s="1"/>
      <c r="AK948" s="1"/>
      <c r="AL948" s="1"/>
      <c r="AM948" s="2"/>
      <c r="AN948" s="2"/>
      <c r="AQ948" s="1"/>
      <c r="BG948" s="1"/>
    </row>
    <row r="949" spans="15:59">
      <c r="O949" s="1"/>
      <c r="P949" s="1"/>
      <c r="AA949" s="1"/>
      <c r="AB949" s="1"/>
      <c r="AG949" s="1"/>
      <c r="AH949" s="1"/>
      <c r="AK949" s="1"/>
      <c r="AL949" s="1"/>
      <c r="AM949" s="2"/>
      <c r="AN949" s="2"/>
      <c r="AQ949" s="1"/>
      <c r="BG949" s="1"/>
    </row>
    <row r="950" spans="15:59">
      <c r="O950" s="1"/>
      <c r="P950" s="1"/>
      <c r="AA950" s="1"/>
      <c r="AB950" s="1"/>
      <c r="AG950" s="1"/>
      <c r="AH950" s="1"/>
      <c r="AK950" s="1"/>
      <c r="AL950" s="1"/>
      <c r="AM950" s="2"/>
      <c r="AN950" s="2"/>
      <c r="AQ950" s="1"/>
      <c r="BG950" s="1"/>
    </row>
    <row r="951" spans="15:59">
      <c r="O951" s="1"/>
      <c r="P951" s="1"/>
      <c r="AA951" s="1"/>
      <c r="AB951" s="1"/>
      <c r="AG951" s="1"/>
      <c r="AH951" s="1"/>
      <c r="AK951" s="1"/>
      <c r="AL951" s="1"/>
      <c r="AM951" s="2"/>
      <c r="AN951" s="2"/>
      <c r="AQ951" s="1"/>
      <c r="BG951" s="1"/>
    </row>
    <row r="952" spans="15:59">
      <c r="O952" s="1"/>
      <c r="P952" s="1"/>
      <c r="AA952" s="1"/>
      <c r="AB952" s="1"/>
      <c r="AG952" s="1"/>
      <c r="AH952" s="1"/>
      <c r="AK952" s="1"/>
      <c r="AL952" s="1"/>
      <c r="AM952" s="2"/>
      <c r="AN952" s="2"/>
      <c r="AQ952" s="1"/>
      <c r="BG952" s="1"/>
    </row>
    <row r="953" spans="15:59">
      <c r="O953" s="1"/>
      <c r="P953" s="1"/>
      <c r="AA953" s="1"/>
      <c r="AB953" s="1"/>
      <c r="AG953" s="1"/>
      <c r="AH953" s="1"/>
      <c r="AK953" s="1"/>
      <c r="AL953" s="1"/>
      <c r="AM953" s="2"/>
      <c r="AN953" s="2"/>
      <c r="AQ953" s="1"/>
      <c r="BG953" s="1"/>
    </row>
    <row r="954" spans="15:59">
      <c r="O954" s="1"/>
      <c r="P954" s="1"/>
      <c r="AA954" s="1"/>
      <c r="AB954" s="1"/>
      <c r="AG954" s="1"/>
      <c r="AH954" s="1"/>
      <c r="AK954" s="1"/>
      <c r="AL954" s="1"/>
      <c r="AM954" s="2"/>
      <c r="AN954" s="2"/>
      <c r="AQ954" s="1"/>
      <c r="BG954" s="1"/>
    </row>
    <row r="955" spans="15:59">
      <c r="O955" s="1"/>
      <c r="P955" s="1"/>
      <c r="AA955" s="1"/>
      <c r="AB955" s="1"/>
      <c r="AG955" s="1"/>
      <c r="AH955" s="1"/>
      <c r="AK955" s="1"/>
      <c r="AL955" s="1"/>
      <c r="AM955" s="2"/>
      <c r="AN955" s="2"/>
      <c r="AQ955" s="1"/>
      <c r="BG955" s="1"/>
    </row>
    <row r="956" spans="15:59">
      <c r="O956" s="1"/>
      <c r="P956" s="1"/>
      <c r="AA956" s="1"/>
      <c r="AB956" s="1"/>
      <c r="AG956" s="1"/>
      <c r="AH956" s="1"/>
      <c r="AK956" s="1"/>
      <c r="AL956" s="1"/>
      <c r="AM956" s="2"/>
      <c r="AN956" s="2"/>
      <c r="AQ956" s="1"/>
      <c r="BG956" s="1"/>
    </row>
    <row r="957" spans="15:59">
      <c r="O957" s="1"/>
      <c r="P957" s="1"/>
      <c r="AA957" s="1"/>
      <c r="AB957" s="1"/>
      <c r="AG957" s="1"/>
      <c r="AH957" s="1"/>
      <c r="AK957" s="1"/>
      <c r="AL957" s="1"/>
      <c r="AM957" s="2"/>
      <c r="AN957" s="2"/>
      <c r="AQ957" s="1"/>
      <c r="BG957" s="1"/>
    </row>
    <row r="958" spans="15:59">
      <c r="O958" s="1"/>
      <c r="P958" s="1"/>
      <c r="AA958" s="1"/>
      <c r="AB958" s="1"/>
      <c r="AG958" s="1"/>
      <c r="AH958" s="1"/>
      <c r="AK958" s="1"/>
      <c r="AL958" s="1"/>
      <c r="AM958" s="2"/>
      <c r="AN958" s="2"/>
      <c r="AQ958" s="1"/>
      <c r="BG958" s="1"/>
    </row>
    <row r="959" spans="15:59">
      <c r="O959" s="1"/>
      <c r="P959" s="1"/>
      <c r="AA959" s="1"/>
      <c r="AB959" s="1"/>
      <c r="AG959" s="1"/>
      <c r="AH959" s="1"/>
      <c r="AK959" s="1"/>
      <c r="AL959" s="1"/>
      <c r="AM959" s="2"/>
      <c r="AN959" s="2"/>
      <c r="AQ959" s="1"/>
      <c r="BG959" s="1"/>
    </row>
    <row r="960" spans="15:59">
      <c r="O960" s="1"/>
      <c r="P960" s="1"/>
      <c r="AA960" s="1"/>
      <c r="AB960" s="1"/>
      <c r="AG960" s="1"/>
      <c r="AH960" s="1"/>
      <c r="AK960" s="1"/>
      <c r="AL960" s="1"/>
      <c r="AM960" s="2"/>
      <c r="AN960" s="2"/>
      <c r="AQ960" s="1"/>
      <c r="BG960" s="1"/>
    </row>
    <row r="961" spans="15:59">
      <c r="O961" s="1"/>
      <c r="P961" s="1"/>
      <c r="AA961" s="1"/>
      <c r="AB961" s="1"/>
      <c r="AG961" s="1"/>
      <c r="AH961" s="1"/>
      <c r="AK961" s="1"/>
      <c r="AL961" s="1"/>
      <c r="AM961" s="2"/>
      <c r="AN961" s="2"/>
      <c r="AQ961" s="1"/>
      <c r="BG961" s="1"/>
    </row>
    <row r="962" spans="15:59">
      <c r="O962" s="1"/>
      <c r="P962" s="1"/>
      <c r="AA962" s="1"/>
      <c r="AB962" s="1"/>
      <c r="AG962" s="1"/>
      <c r="AH962" s="1"/>
      <c r="AK962" s="1"/>
      <c r="AL962" s="1"/>
      <c r="AM962" s="2"/>
      <c r="AN962" s="2"/>
      <c r="AQ962" s="1"/>
      <c r="BG962" s="1"/>
    </row>
    <row r="963" spans="15:59">
      <c r="O963" s="1"/>
      <c r="P963" s="1"/>
      <c r="AA963" s="1"/>
      <c r="AB963" s="1"/>
      <c r="AG963" s="1"/>
      <c r="AH963" s="1"/>
      <c r="AK963" s="1"/>
      <c r="AL963" s="1"/>
      <c r="AM963" s="2"/>
      <c r="AN963" s="2"/>
      <c r="AQ963" s="1"/>
      <c r="BG963" s="1"/>
    </row>
    <row r="964" spans="15:59">
      <c r="O964" s="1"/>
      <c r="P964" s="1"/>
      <c r="AA964" s="1"/>
      <c r="AB964" s="1"/>
      <c r="AG964" s="1"/>
      <c r="AH964" s="1"/>
      <c r="AK964" s="1"/>
      <c r="AL964" s="1"/>
      <c r="AM964" s="2"/>
      <c r="AN964" s="2"/>
      <c r="AQ964" s="1"/>
      <c r="BG964" s="1"/>
    </row>
    <row r="965" spans="15:59">
      <c r="O965" s="1"/>
      <c r="P965" s="1"/>
      <c r="AA965" s="1"/>
      <c r="AB965" s="1"/>
      <c r="AG965" s="1"/>
      <c r="AH965" s="1"/>
      <c r="AK965" s="1"/>
      <c r="AL965" s="1"/>
      <c r="AM965" s="2"/>
      <c r="AN965" s="2"/>
      <c r="AQ965" s="1"/>
      <c r="BG965" s="1"/>
    </row>
    <row r="966" spans="15:59">
      <c r="O966" s="1"/>
      <c r="P966" s="1"/>
      <c r="AA966" s="1"/>
      <c r="AB966" s="1"/>
      <c r="AG966" s="1"/>
      <c r="AH966" s="1"/>
      <c r="AK966" s="1"/>
      <c r="AL966" s="1"/>
      <c r="AM966" s="2"/>
      <c r="AN966" s="2"/>
      <c r="AQ966" s="1"/>
      <c r="BG966" s="1"/>
    </row>
    <row r="967" spans="15:59">
      <c r="O967" s="1"/>
      <c r="P967" s="1"/>
      <c r="AA967" s="1"/>
      <c r="AB967" s="1"/>
      <c r="AG967" s="1"/>
      <c r="AH967" s="1"/>
      <c r="AK967" s="1"/>
      <c r="AL967" s="1"/>
      <c r="AM967" s="2"/>
      <c r="AN967" s="2"/>
      <c r="AQ967" s="1"/>
      <c r="BG967" s="1"/>
    </row>
    <row r="968" spans="15:59">
      <c r="O968" s="1"/>
      <c r="P968" s="1"/>
      <c r="AA968" s="1"/>
      <c r="AB968" s="1"/>
      <c r="AG968" s="1"/>
      <c r="AH968" s="1"/>
      <c r="AK968" s="1"/>
      <c r="AL968" s="1"/>
      <c r="AM968" s="2"/>
      <c r="AN968" s="2"/>
      <c r="AQ968" s="1"/>
      <c r="BG968" s="1"/>
    </row>
    <row r="969" spans="15:59">
      <c r="O969" s="1"/>
      <c r="P969" s="1"/>
      <c r="AA969" s="1"/>
      <c r="AB969" s="1"/>
      <c r="AG969" s="1"/>
      <c r="AH969" s="1"/>
      <c r="AK969" s="1"/>
      <c r="AL969" s="1"/>
      <c r="AM969" s="2"/>
      <c r="AN969" s="2"/>
      <c r="AQ969" s="1"/>
      <c r="BG969" s="1"/>
    </row>
    <row r="970" spans="15:59">
      <c r="O970" s="1"/>
      <c r="P970" s="1"/>
      <c r="AA970" s="1"/>
      <c r="AB970" s="1"/>
      <c r="AG970" s="1"/>
      <c r="AH970" s="1"/>
      <c r="AK970" s="1"/>
      <c r="AL970" s="1"/>
      <c r="AM970" s="2"/>
      <c r="AN970" s="2"/>
      <c r="AQ970" s="1"/>
      <c r="BG970" s="1"/>
    </row>
    <row r="971" spans="15:59">
      <c r="O971" s="1"/>
      <c r="P971" s="1"/>
      <c r="AA971" s="1"/>
      <c r="AB971" s="1"/>
      <c r="AG971" s="1"/>
      <c r="AH971" s="1"/>
      <c r="AK971" s="1"/>
      <c r="AL971" s="1"/>
      <c r="AM971" s="2"/>
      <c r="AN971" s="2"/>
      <c r="AQ971" s="1"/>
      <c r="BG971" s="1"/>
    </row>
    <row r="972" spans="15:59">
      <c r="O972" s="1"/>
      <c r="P972" s="1"/>
      <c r="AA972" s="1"/>
      <c r="AB972" s="1"/>
      <c r="AG972" s="1"/>
      <c r="AH972" s="1"/>
      <c r="AK972" s="1"/>
      <c r="AL972" s="1"/>
      <c r="AM972" s="2"/>
      <c r="AN972" s="2"/>
      <c r="AQ972" s="1"/>
      <c r="BG972" s="1"/>
    </row>
    <row r="973" spans="15:59">
      <c r="O973" s="1"/>
      <c r="P973" s="1"/>
      <c r="AA973" s="1"/>
      <c r="AB973" s="1"/>
      <c r="AG973" s="1"/>
      <c r="AH973" s="1"/>
      <c r="AK973" s="1"/>
      <c r="AL973" s="1"/>
      <c r="AM973" s="2"/>
      <c r="AN973" s="2"/>
      <c r="AQ973" s="1"/>
      <c r="BG973" s="1"/>
    </row>
    <row r="974" spans="15:59">
      <c r="O974" s="1"/>
      <c r="P974" s="1"/>
      <c r="AA974" s="1"/>
      <c r="AB974" s="1"/>
      <c r="AG974" s="1"/>
      <c r="AH974" s="1"/>
      <c r="AK974" s="1"/>
      <c r="AL974" s="1"/>
      <c r="AM974" s="2"/>
      <c r="AN974" s="2"/>
      <c r="AQ974" s="1"/>
      <c r="BG974" s="1"/>
    </row>
    <row r="975" spans="15:59">
      <c r="O975" s="1"/>
      <c r="P975" s="1"/>
      <c r="AA975" s="1"/>
      <c r="AB975" s="1"/>
      <c r="AG975" s="1"/>
      <c r="AH975" s="1"/>
      <c r="AK975" s="1"/>
      <c r="AL975" s="1"/>
      <c r="AM975" s="2"/>
      <c r="AN975" s="2"/>
      <c r="AQ975" s="1"/>
      <c r="BG975" s="1"/>
    </row>
    <row r="976" spans="15:59">
      <c r="O976" s="1"/>
      <c r="P976" s="1"/>
      <c r="AA976" s="1"/>
      <c r="AB976" s="1"/>
      <c r="AG976" s="1"/>
      <c r="AH976" s="1"/>
      <c r="AK976" s="1"/>
      <c r="AL976" s="1"/>
      <c r="AM976" s="2"/>
      <c r="AN976" s="2"/>
      <c r="AQ976" s="1"/>
      <c r="BG976" s="1"/>
    </row>
    <row r="977" spans="15:59">
      <c r="O977" s="1"/>
      <c r="P977" s="1"/>
      <c r="AA977" s="1"/>
      <c r="AB977" s="1"/>
      <c r="AG977" s="1"/>
      <c r="AH977" s="1"/>
      <c r="AK977" s="1"/>
      <c r="AL977" s="1"/>
      <c r="AM977" s="2"/>
      <c r="AN977" s="2"/>
      <c r="AQ977" s="1"/>
      <c r="BG977" s="1"/>
    </row>
    <row r="978" spans="15:59">
      <c r="O978" s="1"/>
      <c r="P978" s="1"/>
      <c r="AA978" s="1"/>
      <c r="AB978" s="1"/>
      <c r="AG978" s="1"/>
      <c r="AH978" s="1"/>
      <c r="AK978" s="1"/>
      <c r="AL978" s="1"/>
      <c r="AM978" s="2"/>
      <c r="AN978" s="2"/>
      <c r="AQ978" s="1"/>
      <c r="BG978" s="1"/>
    </row>
    <row r="979" spans="15:59">
      <c r="O979" s="1"/>
      <c r="P979" s="1"/>
      <c r="AA979" s="1"/>
      <c r="AB979" s="1"/>
      <c r="AG979" s="1"/>
      <c r="AH979" s="1"/>
      <c r="AK979" s="1"/>
      <c r="AL979" s="1"/>
      <c r="AM979" s="2"/>
      <c r="AN979" s="2"/>
      <c r="AQ979" s="1"/>
      <c r="BG979" s="1"/>
    </row>
    <row r="980" spans="15:59">
      <c r="O980" s="1"/>
      <c r="P980" s="1"/>
      <c r="AA980" s="1"/>
      <c r="AB980" s="1"/>
      <c r="AG980" s="1"/>
      <c r="AH980" s="1"/>
      <c r="AK980" s="1"/>
      <c r="AL980" s="1"/>
      <c r="AM980" s="2"/>
      <c r="AN980" s="2"/>
      <c r="AQ980" s="1"/>
      <c r="BG980" s="1"/>
    </row>
    <row r="981" spans="15:59">
      <c r="O981" s="1"/>
      <c r="P981" s="1"/>
      <c r="AA981" s="1"/>
      <c r="AB981" s="1"/>
      <c r="AG981" s="1"/>
      <c r="AH981" s="1"/>
      <c r="AK981" s="1"/>
      <c r="AL981" s="1"/>
      <c r="AM981" s="2"/>
      <c r="AN981" s="2"/>
      <c r="AQ981" s="1"/>
      <c r="BG981" s="1"/>
    </row>
    <row r="982" spans="15:59">
      <c r="O982" s="1"/>
      <c r="P982" s="1"/>
      <c r="AA982" s="1"/>
      <c r="AB982" s="1"/>
      <c r="AG982" s="1"/>
      <c r="AH982" s="1"/>
      <c r="AK982" s="1"/>
      <c r="AL982" s="1"/>
      <c r="AM982" s="2"/>
      <c r="AN982" s="2"/>
      <c r="AQ982" s="1"/>
      <c r="BG982" s="1"/>
    </row>
    <row r="983" spans="15:59">
      <c r="O983" s="1"/>
      <c r="P983" s="1"/>
      <c r="AA983" s="1"/>
      <c r="AB983" s="1"/>
      <c r="AG983" s="1"/>
      <c r="AH983" s="1"/>
      <c r="AK983" s="1"/>
      <c r="AL983" s="1"/>
      <c r="AM983" s="2"/>
      <c r="AN983" s="2"/>
      <c r="AQ983" s="1"/>
      <c r="BG983" s="1"/>
    </row>
    <row r="984" spans="15:59">
      <c r="O984" s="1"/>
      <c r="P984" s="1"/>
      <c r="AA984" s="1"/>
      <c r="AB984" s="1"/>
      <c r="AG984" s="1"/>
      <c r="AH984" s="1"/>
      <c r="AK984" s="1"/>
      <c r="AL984" s="1"/>
      <c r="AM984" s="2"/>
      <c r="AN984" s="2"/>
      <c r="AQ984" s="1"/>
      <c r="BG984" s="1"/>
    </row>
    <row r="985" spans="15:59">
      <c r="O985" s="1"/>
      <c r="P985" s="1"/>
      <c r="AA985" s="1"/>
      <c r="AB985" s="1"/>
      <c r="AG985" s="1"/>
      <c r="AH985" s="1"/>
      <c r="AK985" s="1"/>
      <c r="AL985" s="1"/>
      <c r="AM985" s="2"/>
      <c r="AN985" s="2"/>
      <c r="AQ985" s="1"/>
      <c r="BG985" s="1"/>
    </row>
    <row r="986" spans="15:59">
      <c r="O986" s="1"/>
      <c r="P986" s="1"/>
      <c r="AA986" s="1"/>
      <c r="AB986" s="1"/>
      <c r="AG986" s="1"/>
      <c r="AH986" s="1"/>
      <c r="AK986" s="1"/>
      <c r="AL986" s="1"/>
      <c r="AM986" s="2"/>
      <c r="AN986" s="2"/>
      <c r="AQ986" s="1"/>
      <c r="BG986" s="1"/>
    </row>
    <row r="987" spans="15:59">
      <c r="O987" s="1"/>
      <c r="P987" s="1"/>
      <c r="AA987" s="1"/>
      <c r="AB987" s="1"/>
      <c r="AG987" s="1"/>
      <c r="AH987" s="1"/>
      <c r="AK987" s="1"/>
      <c r="AL987" s="1"/>
      <c r="AM987" s="2"/>
      <c r="AN987" s="2"/>
      <c r="AQ987" s="1"/>
      <c r="BG987" s="1"/>
    </row>
    <row r="988" spans="15:59">
      <c r="O988" s="1"/>
      <c r="P988" s="1"/>
      <c r="AA988" s="1"/>
      <c r="AB988" s="1"/>
      <c r="AG988" s="1"/>
      <c r="AH988" s="1"/>
      <c r="AK988" s="1"/>
      <c r="AL988" s="1"/>
      <c r="AM988" s="2"/>
      <c r="AN988" s="2"/>
      <c r="AQ988" s="1"/>
      <c r="BG988" s="1"/>
    </row>
    <row r="989" spans="15:59">
      <c r="O989" s="1"/>
      <c r="P989" s="1"/>
      <c r="AA989" s="1"/>
      <c r="AB989" s="1"/>
      <c r="AG989" s="1"/>
      <c r="AH989" s="1"/>
      <c r="AK989" s="1"/>
      <c r="AL989" s="1"/>
      <c r="AM989" s="2"/>
      <c r="AN989" s="2"/>
      <c r="AQ989" s="1"/>
      <c r="BG989" s="1"/>
    </row>
    <row r="990" spans="15:59">
      <c r="O990" s="1"/>
      <c r="P990" s="1"/>
      <c r="AA990" s="1"/>
      <c r="AB990" s="1"/>
      <c r="AG990" s="1"/>
      <c r="AH990" s="1"/>
      <c r="AK990" s="1"/>
      <c r="AL990" s="1"/>
      <c r="AM990" s="2"/>
      <c r="AN990" s="2"/>
      <c r="AQ990" s="1"/>
      <c r="BG990" s="1"/>
    </row>
    <row r="991" spans="15:59">
      <c r="O991" s="1"/>
      <c r="P991" s="1"/>
      <c r="AA991" s="1"/>
      <c r="AB991" s="1"/>
      <c r="AG991" s="1"/>
      <c r="AH991" s="1"/>
      <c r="AK991" s="1"/>
      <c r="AL991" s="1"/>
      <c r="AM991" s="2"/>
      <c r="AN991" s="2"/>
      <c r="AQ991" s="1"/>
      <c r="BG991" s="1"/>
    </row>
    <row r="992" spans="15:59">
      <c r="O992" s="1"/>
      <c r="P992" s="1"/>
      <c r="AA992" s="1"/>
      <c r="AB992" s="1"/>
      <c r="AG992" s="1"/>
      <c r="AH992" s="1"/>
      <c r="AK992" s="1"/>
      <c r="AL992" s="1"/>
      <c r="AM992" s="2"/>
      <c r="AN992" s="2"/>
      <c r="AQ992" s="1"/>
      <c r="BG992" s="1"/>
    </row>
    <row r="993" spans="15:59">
      <c r="O993" s="1"/>
      <c r="P993" s="1"/>
      <c r="AA993" s="1"/>
      <c r="AB993" s="1"/>
      <c r="AG993" s="1"/>
      <c r="AH993" s="1"/>
      <c r="AK993" s="1"/>
      <c r="AL993" s="1"/>
      <c r="AM993" s="2"/>
      <c r="AN993" s="2"/>
      <c r="AQ993" s="1"/>
      <c r="BG993" s="1"/>
    </row>
    <row r="994" spans="15:59">
      <c r="O994" s="1"/>
      <c r="P994" s="1"/>
      <c r="AA994" s="1"/>
      <c r="AB994" s="1"/>
      <c r="AG994" s="1"/>
      <c r="AH994" s="1"/>
      <c r="AK994" s="1"/>
      <c r="AL994" s="1"/>
      <c r="AM994" s="2"/>
      <c r="AN994" s="2"/>
      <c r="AQ994" s="1"/>
      <c r="BG994" s="1"/>
    </row>
    <row r="995" spans="15:59">
      <c r="O995" s="1"/>
      <c r="P995" s="1"/>
      <c r="AA995" s="1"/>
      <c r="AB995" s="1"/>
      <c r="AG995" s="1"/>
      <c r="AH995" s="1"/>
      <c r="AK995" s="1"/>
      <c r="AL995" s="1"/>
      <c r="AM995" s="2"/>
      <c r="AN995" s="2"/>
      <c r="AQ995" s="1"/>
      <c r="BG995" s="1"/>
    </row>
    <row r="996" spans="15:59">
      <c r="O996" s="1"/>
      <c r="P996" s="1"/>
      <c r="AA996" s="1"/>
      <c r="AB996" s="1"/>
      <c r="AG996" s="1"/>
      <c r="AH996" s="1"/>
      <c r="AK996" s="1"/>
      <c r="AL996" s="1"/>
      <c r="AM996" s="2"/>
      <c r="AN996" s="2"/>
      <c r="AQ996" s="1"/>
      <c r="BG996" s="1"/>
    </row>
    <row r="997" spans="15:59">
      <c r="O997" s="1"/>
      <c r="P997" s="1"/>
      <c r="AA997" s="1"/>
      <c r="AB997" s="1"/>
      <c r="AG997" s="1"/>
      <c r="AH997" s="1"/>
      <c r="AK997" s="1"/>
      <c r="AL997" s="1"/>
      <c r="AM997" s="2"/>
      <c r="AN997" s="2"/>
      <c r="AQ997" s="1"/>
      <c r="BG997" s="1"/>
    </row>
    <row r="998" spans="15:59">
      <c r="O998" s="1"/>
      <c r="P998" s="1"/>
      <c r="AA998" s="1"/>
      <c r="AB998" s="1"/>
      <c r="AG998" s="1"/>
      <c r="AH998" s="1"/>
      <c r="AK998" s="1"/>
      <c r="AL998" s="1"/>
      <c r="AM998" s="2"/>
      <c r="AN998" s="2"/>
      <c r="AQ998" s="1"/>
      <c r="BG998" s="1"/>
    </row>
    <row r="999" spans="15:59">
      <c r="O999" s="1"/>
      <c r="P999" s="1"/>
      <c r="AA999" s="1"/>
      <c r="AB999" s="1"/>
      <c r="AG999" s="1"/>
      <c r="AH999" s="1"/>
      <c r="AK999" s="1"/>
      <c r="AL999" s="1"/>
      <c r="AM999" s="2"/>
      <c r="AN999" s="2"/>
      <c r="AQ999" s="1"/>
      <c r="BG999" s="1"/>
    </row>
    <row r="1000" spans="15:59">
      <c r="O1000" s="1"/>
      <c r="P1000" s="1"/>
      <c r="AA1000" s="1"/>
      <c r="AB1000" s="1"/>
      <c r="AG1000" s="1"/>
      <c r="AH1000" s="1"/>
      <c r="AK1000" s="1"/>
      <c r="AL1000" s="1"/>
      <c r="AM1000" s="2"/>
      <c r="AN1000" s="2"/>
      <c r="AQ1000" s="1"/>
      <c r="BG1000" s="1"/>
    </row>
    <row r="1001" spans="15:59">
      <c r="O1001" s="1"/>
      <c r="P1001" s="1"/>
      <c r="AA1001" s="1"/>
      <c r="AB1001" s="1"/>
      <c r="AG1001" s="1"/>
      <c r="AH1001" s="1"/>
      <c r="AK1001" s="1"/>
      <c r="AL1001" s="1"/>
      <c r="AM1001" s="2"/>
      <c r="AN1001" s="2"/>
      <c r="AQ1001" s="1"/>
      <c r="BG1001" s="1"/>
    </row>
    <row r="1002" spans="15:59">
      <c r="O1002" s="1"/>
      <c r="P1002" s="1"/>
      <c r="AA1002" s="1"/>
      <c r="AB1002" s="1"/>
      <c r="AG1002" s="1"/>
      <c r="AH1002" s="1"/>
      <c r="AK1002" s="1"/>
      <c r="AL1002" s="1"/>
      <c r="AM1002" s="2"/>
      <c r="AN1002" s="2"/>
      <c r="AQ1002" s="1"/>
      <c r="BG1002" s="1"/>
    </row>
    <row r="1003" spans="15:59">
      <c r="O1003" s="1"/>
      <c r="P1003" s="1"/>
      <c r="AA1003" s="1"/>
      <c r="AB1003" s="1"/>
      <c r="AG1003" s="1"/>
      <c r="AH1003" s="1"/>
      <c r="AK1003" s="1"/>
      <c r="AL1003" s="1"/>
      <c r="AM1003" s="2"/>
      <c r="AN1003" s="2"/>
      <c r="AQ1003" s="1"/>
      <c r="BG1003" s="1"/>
    </row>
    <row r="1004" spans="15:59">
      <c r="O1004" s="1"/>
      <c r="P1004" s="1"/>
      <c r="AA1004" s="1"/>
      <c r="AB1004" s="1"/>
      <c r="AG1004" s="1"/>
      <c r="AH1004" s="1"/>
      <c r="AK1004" s="1"/>
      <c r="AL1004" s="1"/>
      <c r="AM1004" s="2"/>
      <c r="AN1004" s="2"/>
      <c r="AQ1004" s="1"/>
      <c r="BG1004" s="1"/>
    </row>
    <row r="1005" spans="15:59">
      <c r="O1005" s="1"/>
      <c r="P1005" s="1"/>
      <c r="AA1005" s="1"/>
      <c r="AB1005" s="1"/>
      <c r="AG1005" s="1"/>
      <c r="AH1005" s="1"/>
      <c r="AK1005" s="1"/>
      <c r="AL1005" s="1"/>
      <c r="AM1005" s="2"/>
      <c r="AN1005" s="2"/>
      <c r="AQ1005" s="1"/>
      <c r="BG1005" s="1"/>
    </row>
    <row r="1006" spans="15:59">
      <c r="O1006" s="1"/>
      <c r="P1006" s="1"/>
      <c r="AA1006" s="1"/>
      <c r="AB1006" s="1"/>
      <c r="AG1006" s="1"/>
      <c r="AH1006" s="1"/>
      <c r="AK1006" s="1"/>
      <c r="AL1006" s="1"/>
      <c r="AM1006" s="2"/>
      <c r="AN1006" s="2"/>
      <c r="AQ1006" s="1"/>
      <c r="BG1006" s="1"/>
    </row>
    <row r="1007" spans="15:59">
      <c r="O1007" s="1"/>
      <c r="P1007" s="1"/>
      <c r="AA1007" s="1"/>
      <c r="AB1007" s="1"/>
      <c r="AG1007" s="1"/>
      <c r="AH1007" s="1"/>
      <c r="AK1007" s="1"/>
      <c r="AL1007" s="1"/>
      <c r="AM1007" s="2"/>
      <c r="AN1007" s="2"/>
      <c r="AQ1007" s="1"/>
      <c r="BG1007" s="1"/>
    </row>
    <row r="1008" spans="15:59">
      <c r="O1008" s="1"/>
      <c r="P1008" s="1"/>
      <c r="AA1008" s="1"/>
      <c r="AB1008" s="1"/>
      <c r="AG1008" s="1"/>
      <c r="AH1008" s="1"/>
      <c r="AK1008" s="1"/>
      <c r="AL1008" s="1"/>
      <c r="AM1008" s="2"/>
      <c r="AN1008" s="2"/>
      <c r="AQ1008" s="1"/>
      <c r="BG1008" s="1"/>
    </row>
    <row r="1009" spans="15:59">
      <c r="O1009" s="1"/>
      <c r="P1009" s="1"/>
      <c r="AA1009" s="1"/>
      <c r="AB1009" s="1"/>
      <c r="AG1009" s="1"/>
      <c r="AH1009" s="1"/>
      <c r="AK1009" s="1"/>
      <c r="AL1009" s="1"/>
      <c r="AM1009" s="2"/>
      <c r="AN1009" s="2"/>
      <c r="AQ1009" s="1"/>
      <c r="BG1009" s="1"/>
    </row>
    <row r="1010" spans="15:59">
      <c r="O1010" s="1"/>
      <c r="P1010" s="1"/>
      <c r="AA1010" s="1"/>
      <c r="AB1010" s="1"/>
      <c r="AG1010" s="1"/>
      <c r="AH1010" s="1"/>
      <c r="AK1010" s="1"/>
      <c r="AL1010" s="1"/>
      <c r="AM1010" s="2"/>
      <c r="AN1010" s="2"/>
      <c r="AQ1010" s="1"/>
      <c r="BG1010" s="1"/>
    </row>
    <row r="1011" spans="15:59">
      <c r="O1011" s="1"/>
      <c r="P1011" s="1"/>
      <c r="AA1011" s="1"/>
      <c r="AB1011" s="1"/>
      <c r="AG1011" s="1"/>
      <c r="AH1011" s="1"/>
      <c r="AK1011" s="1"/>
      <c r="AL1011" s="1"/>
      <c r="AM1011" s="2"/>
      <c r="AN1011" s="2"/>
      <c r="AQ1011" s="1"/>
      <c r="BG1011" s="1"/>
    </row>
    <row r="1012" spans="15:59">
      <c r="O1012" s="1"/>
      <c r="P1012" s="1"/>
      <c r="AA1012" s="1"/>
      <c r="AB1012" s="1"/>
      <c r="AG1012" s="1"/>
      <c r="AH1012" s="1"/>
      <c r="AK1012" s="1"/>
      <c r="AL1012" s="1"/>
      <c r="AM1012" s="2"/>
      <c r="AN1012" s="2"/>
      <c r="AQ1012" s="1"/>
      <c r="BG1012" s="1"/>
    </row>
    <row r="1013" spans="15:59">
      <c r="O1013" s="1"/>
      <c r="P1013" s="1"/>
      <c r="AA1013" s="1"/>
      <c r="AB1013" s="1"/>
      <c r="AG1013" s="1"/>
      <c r="AH1013" s="1"/>
      <c r="AK1013" s="1"/>
      <c r="AL1013" s="1"/>
      <c r="AM1013" s="2"/>
      <c r="AN1013" s="2"/>
      <c r="AQ1013" s="1"/>
      <c r="BG1013" s="1"/>
    </row>
    <row r="1014" spans="15:59">
      <c r="O1014" s="1"/>
      <c r="P1014" s="1"/>
      <c r="AA1014" s="1"/>
      <c r="AB1014" s="1"/>
      <c r="AG1014" s="1"/>
      <c r="AH1014" s="1"/>
      <c r="AK1014" s="1"/>
      <c r="AL1014" s="1"/>
      <c r="AM1014" s="2"/>
      <c r="AN1014" s="2"/>
      <c r="AQ1014" s="1"/>
      <c r="BG1014" s="1"/>
    </row>
    <row r="1015" spans="15:59">
      <c r="O1015" s="1"/>
      <c r="P1015" s="1"/>
      <c r="AA1015" s="1"/>
      <c r="AB1015" s="1"/>
      <c r="AG1015" s="1"/>
      <c r="AH1015" s="1"/>
      <c r="AK1015" s="1"/>
      <c r="AL1015" s="1"/>
      <c r="AM1015" s="2"/>
      <c r="AN1015" s="2"/>
      <c r="AQ1015" s="1"/>
      <c r="BG1015" s="1"/>
    </row>
    <row r="1016" spans="15:59">
      <c r="O1016" s="1"/>
      <c r="P1016" s="1"/>
      <c r="AA1016" s="1"/>
      <c r="AB1016" s="1"/>
      <c r="AG1016" s="1"/>
      <c r="AH1016" s="1"/>
      <c r="AK1016" s="1"/>
      <c r="AL1016" s="1"/>
      <c r="AM1016" s="2"/>
      <c r="AN1016" s="2"/>
      <c r="AQ1016" s="1"/>
      <c r="BG1016" s="1"/>
    </row>
    <row r="1017" spans="15:59">
      <c r="O1017" s="1"/>
      <c r="P1017" s="1"/>
      <c r="AA1017" s="1"/>
      <c r="AB1017" s="1"/>
      <c r="AG1017" s="1"/>
      <c r="AH1017" s="1"/>
      <c r="AK1017" s="1"/>
      <c r="AL1017" s="1"/>
      <c r="AM1017" s="2"/>
      <c r="AN1017" s="2"/>
      <c r="AQ1017" s="1"/>
      <c r="BG1017" s="1"/>
    </row>
    <row r="1018" spans="15:59">
      <c r="O1018" s="1"/>
      <c r="P1018" s="1"/>
      <c r="AA1018" s="1"/>
      <c r="AB1018" s="1"/>
      <c r="AG1018" s="1"/>
      <c r="AH1018" s="1"/>
      <c r="AK1018" s="1"/>
      <c r="AL1018" s="1"/>
      <c r="AM1018" s="2"/>
      <c r="AN1018" s="2"/>
      <c r="AQ1018" s="1"/>
      <c r="BG1018" s="1"/>
    </row>
    <row r="1019" spans="15:59">
      <c r="O1019" s="1"/>
      <c r="P1019" s="1"/>
      <c r="AA1019" s="1"/>
      <c r="AB1019" s="1"/>
      <c r="AG1019" s="1"/>
      <c r="AH1019" s="1"/>
      <c r="AK1019" s="1"/>
      <c r="AL1019" s="1"/>
      <c r="AM1019" s="2"/>
      <c r="AN1019" s="2"/>
      <c r="AQ1019" s="1"/>
      <c r="BG1019" s="1"/>
    </row>
    <row r="1020" spans="15:59">
      <c r="O1020" s="1"/>
      <c r="P1020" s="1"/>
      <c r="AA1020" s="1"/>
      <c r="AB1020" s="1"/>
      <c r="AG1020" s="1"/>
      <c r="AH1020" s="1"/>
      <c r="AK1020" s="1"/>
      <c r="AL1020" s="1"/>
      <c r="AM1020" s="2"/>
      <c r="AN1020" s="2"/>
      <c r="AQ1020" s="1"/>
      <c r="BG1020" s="1"/>
    </row>
    <row r="1021" spans="15:59">
      <c r="O1021" s="1"/>
      <c r="P1021" s="1"/>
      <c r="AA1021" s="1"/>
      <c r="AB1021" s="1"/>
      <c r="AG1021" s="1"/>
      <c r="AH1021" s="1"/>
      <c r="AK1021" s="1"/>
      <c r="AL1021" s="1"/>
      <c r="AM1021" s="2"/>
      <c r="AN1021" s="2"/>
      <c r="AQ1021" s="1"/>
      <c r="BG1021" s="1"/>
    </row>
    <row r="1022" spans="15:59">
      <c r="O1022" s="1"/>
      <c r="P1022" s="1"/>
      <c r="AA1022" s="1"/>
      <c r="AB1022" s="1"/>
      <c r="AG1022" s="1"/>
      <c r="AH1022" s="1"/>
      <c r="AK1022" s="1"/>
      <c r="AL1022" s="1"/>
      <c r="AM1022" s="2"/>
      <c r="AN1022" s="2"/>
      <c r="AQ1022" s="1"/>
      <c r="BG1022" s="1"/>
    </row>
    <row r="1023" spans="15:59">
      <c r="O1023" s="1"/>
      <c r="P1023" s="1"/>
      <c r="AA1023" s="1"/>
      <c r="AB1023" s="1"/>
      <c r="AG1023" s="1"/>
      <c r="AH1023" s="1"/>
      <c r="AK1023" s="1"/>
      <c r="AL1023" s="1"/>
      <c r="AM1023" s="2"/>
      <c r="AN1023" s="2"/>
      <c r="AQ1023" s="1"/>
      <c r="BG1023" s="1"/>
    </row>
    <row r="1024" spans="15:59">
      <c r="O1024" s="1"/>
      <c r="P1024" s="1"/>
      <c r="AA1024" s="1"/>
      <c r="AB1024" s="1"/>
      <c r="AG1024" s="1"/>
      <c r="AH1024" s="1"/>
      <c r="AK1024" s="1"/>
      <c r="AL1024" s="1"/>
      <c r="AM1024" s="2"/>
      <c r="AN1024" s="2"/>
      <c r="AQ1024" s="1"/>
      <c r="BG1024" s="1"/>
    </row>
    <row r="1025" spans="15:59">
      <c r="O1025" s="1"/>
      <c r="P1025" s="1"/>
      <c r="AA1025" s="1"/>
      <c r="AB1025" s="1"/>
      <c r="AG1025" s="1"/>
      <c r="AH1025" s="1"/>
      <c r="AK1025" s="1"/>
      <c r="AL1025" s="1"/>
      <c r="AM1025" s="2"/>
      <c r="AN1025" s="2"/>
      <c r="AQ1025" s="1"/>
      <c r="BG1025" s="1"/>
    </row>
    <row r="1026" spans="15:59">
      <c r="O1026" s="1"/>
      <c r="P1026" s="1"/>
      <c r="AA1026" s="1"/>
      <c r="AB1026" s="1"/>
      <c r="AG1026" s="1"/>
      <c r="AH1026" s="1"/>
      <c r="AK1026" s="1"/>
      <c r="AL1026" s="1"/>
      <c r="AM1026" s="2"/>
      <c r="AN1026" s="2"/>
      <c r="AQ1026" s="1"/>
      <c r="BG1026" s="1"/>
    </row>
    <row r="1027" spans="15:59">
      <c r="O1027" s="1"/>
      <c r="P1027" s="1"/>
      <c r="AA1027" s="1"/>
      <c r="AB1027" s="1"/>
      <c r="AG1027" s="1"/>
      <c r="AH1027" s="1"/>
      <c r="AK1027" s="1"/>
      <c r="AL1027" s="1"/>
      <c r="AM1027" s="2"/>
      <c r="AN1027" s="2"/>
      <c r="AQ1027" s="1"/>
      <c r="BG1027" s="1"/>
    </row>
    <row r="1028" spans="15:59">
      <c r="O1028" s="1"/>
      <c r="P1028" s="1"/>
      <c r="AA1028" s="1"/>
      <c r="AB1028" s="1"/>
      <c r="AG1028" s="1"/>
      <c r="AH1028" s="1"/>
      <c r="AK1028" s="1"/>
      <c r="AL1028" s="1"/>
      <c r="AM1028" s="2"/>
      <c r="AN1028" s="2"/>
      <c r="AQ1028" s="1"/>
      <c r="BG1028" s="1"/>
    </row>
    <row r="1029" spans="15:59">
      <c r="O1029" s="1"/>
      <c r="P1029" s="1"/>
      <c r="AA1029" s="1"/>
      <c r="AB1029" s="1"/>
      <c r="AG1029" s="1"/>
      <c r="AH1029" s="1"/>
      <c r="AK1029" s="1"/>
      <c r="AL1029" s="1"/>
      <c r="AM1029" s="2"/>
      <c r="AN1029" s="2"/>
      <c r="AQ1029" s="1"/>
      <c r="BG1029" s="1"/>
    </row>
    <row r="1030" spans="15:59">
      <c r="O1030" s="1"/>
      <c r="P1030" s="1"/>
      <c r="AA1030" s="1"/>
      <c r="AB1030" s="1"/>
      <c r="AG1030" s="1"/>
      <c r="AH1030" s="1"/>
      <c r="AK1030" s="1"/>
      <c r="AL1030" s="1"/>
      <c r="AM1030" s="2"/>
      <c r="AN1030" s="2"/>
      <c r="AQ1030" s="1"/>
      <c r="BG1030" s="1"/>
    </row>
    <row r="1031" spans="15:59">
      <c r="O1031" s="1"/>
      <c r="P1031" s="1"/>
      <c r="AA1031" s="1"/>
      <c r="AB1031" s="1"/>
      <c r="AG1031" s="1"/>
      <c r="AH1031" s="1"/>
      <c r="AK1031" s="1"/>
      <c r="AL1031" s="1"/>
      <c r="AM1031" s="2"/>
      <c r="AN1031" s="2"/>
      <c r="AQ1031" s="1"/>
      <c r="BG1031" s="1"/>
    </row>
    <row r="1032" spans="15:59">
      <c r="O1032" s="1"/>
      <c r="P1032" s="1"/>
      <c r="AA1032" s="1"/>
      <c r="AB1032" s="1"/>
      <c r="AG1032" s="1"/>
      <c r="AH1032" s="1"/>
      <c r="AK1032" s="1"/>
      <c r="AL1032" s="1"/>
      <c r="AM1032" s="2"/>
      <c r="AN1032" s="2"/>
      <c r="AQ1032" s="1"/>
      <c r="BG1032" s="1"/>
    </row>
    <row r="1033" spans="15:59">
      <c r="O1033" s="1"/>
      <c r="P1033" s="1"/>
      <c r="AA1033" s="1"/>
      <c r="AB1033" s="1"/>
      <c r="AG1033" s="1"/>
      <c r="AH1033" s="1"/>
      <c r="AK1033" s="1"/>
      <c r="AL1033" s="1"/>
      <c r="AM1033" s="2"/>
      <c r="AN1033" s="2"/>
      <c r="AQ1033" s="1"/>
      <c r="BG1033" s="1"/>
    </row>
    <row r="1034" spans="15:59">
      <c r="O1034" s="1"/>
      <c r="P1034" s="1"/>
      <c r="AA1034" s="1"/>
      <c r="AB1034" s="1"/>
      <c r="AG1034" s="1"/>
      <c r="AH1034" s="1"/>
      <c r="AK1034" s="1"/>
      <c r="AL1034" s="1"/>
      <c r="AM1034" s="2"/>
      <c r="AN1034" s="2"/>
      <c r="AQ1034" s="1"/>
      <c r="BG1034" s="1"/>
    </row>
    <row r="1035" spans="15:59">
      <c r="O1035" s="1"/>
      <c r="P1035" s="1"/>
      <c r="AA1035" s="1"/>
      <c r="AB1035" s="1"/>
      <c r="AG1035" s="1"/>
      <c r="AH1035" s="1"/>
      <c r="AK1035" s="1"/>
      <c r="AL1035" s="1"/>
      <c r="AM1035" s="2"/>
      <c r="AN1035" s="2"/>
      <c r="AQ1035" s="1"/>
      <c r="BG1035" s="1"/>
    </row>
    <row r="1036" spans="15:59">
      <c r="O1036" s="1"/>
      <c r="P1036" s="1"/>
      <c r="AA1036" s="1"/>
      <c r="AB1036" s="1"/>
      <c r="AG1036" s="1"/>
      <c r="AH1036" s="1"/>
      <c r="AK1036" s="1"/>
      <c r="AL1036" s="1"/>
      <c r="AM1036" s="2"/>
      <c r="AN1036" s="2"/>
      <c r="AQ1036" s="1"/>
      <c r="BG1036" s="1"/>
    </row>
    <row r="1037" spans="15:59">
      <c r="O1037" s="1"/>
      <c r="P1037" s="1"/>
      <c r="AA1037" s="1"/>
      <c r="AB1037" s="1"/>
      <c r="AG1037" s="1"/>
      <c r="AH1037" s="1"/>
      <c r="AK1037" s="1"/>
      <c r="AL1037" s="1"/>
      <c r="AM1037" s="2"/>
      <c r="AN1037" s="2"/>
      <c r="AQ1037" s="1"/>
      <c r="BG1037" s="1"/>
    </row>
    <row r="1038" spans="15:59">
      <c r="O1038" s="1"/>
      <c r="P1038" s="1"/>
      <c r="AA1038" s="1"/>
      <c r="AB1038" s="1"/>
      <c r="AG1038" s="1"/>
      <c r="AH1038" s="1"/>
      <c r="AK1038" s="1"/>
      <c r="AL1038" s="1"/>
      <c r="AM1038" s="2"/>
      <c r="AN1038" s="2"/>
      <c r="AQ1038" s="1"/>
      <c r="BG1038" s="1"/>
    </row>
    <row r="1039" spans="15:59">
      <c r="O1039" s="1"/>
      <c r="P1039" s="1"/>
      <c r="AA1039" s="1"/>
      <c r="AB1039" s="1"/>
      <c r="AG1039" s="1"/>
      <c r="AH1039" s="1"/>
      <c r="AK1039" s="1"/>
      <c r="AL1039" s="1"/>
      <c r="AM1039" s="2"/>
      <c r="AN1039" s="2"/>
      <c r="AQ1039" s="1"/>
      <c r="BG1039" s="1"/>
    </row>
    <row r="1040" spans="15:59">
      <c r="O1040" s="1"/>
      <c r="P1040" s="1"/>
      <c r="AA1040" s="1"/>
      <c r="AB1040" s="1"/>
      <c r="AG1040" s="1"/>
      <c r="AH1040" s="1"/>
      <c r="AK1040" s="1"/>
      <c r="AL1040" s="1"/>
      <c r="AM1040" s="2"/>
      <c r="AN1040" s="2"/>
      <c r="AQ1040" s="1"/>
      <c r="BG1040" s="1"/>
    </row>
    <row r="1041" spans="15:59">
      <c r="O1041" s="1"/>
      <c r="P1041" s="1"/>
      <c r="AA1041" s="1"/>
      <c r="AB1041" s="1"/>
      <c r="AG1041" s="1"/>
      <c r="AH1041" s="1"/>
      <c r="AK1041" s="1"/>
      <c r="AL1041" s="1"/>
      <c r="AM1041" s="2"/>
      <c r="AN1041" s="2"/>
      <c r="AQ1041" s="1"/>
      <c r="BG1041" s="1"/>
    </row>
    <row r="1042" spans="15:59">
      <c r="O1042" s="1"/>
      <c r="P1042" s="1"/>
      <c r="AA1042" s="1"/>
      <c r="AB1042" s="1"/>
      <c r="AG1042" s="1"/>
      <c r="AH1042" s="1"/>
      <c r="AK1042" s="1"/>
      <c r="AL1042" s="1"/>
      <c r="AM1042" s="2"/>
      <c r="AN1042" s="2"/>
      <c r="AQ1042" s="1"/>
      <c r="BG1042" s="1"/>
    </row>
    <row r="1043" spans="15:59">
      <c r="O1043" s="1"/>
      <c r="P1043" s="1"/>
      <c r="AA1043" s="1"/>
      <c r="AB1043" s="1"/>
      <c r="AG1043" s="1"/>
      <c r="AH1043" s="1"/>
      <c r="AK1043" s="1"/>
      <c r="AL1043" s="1"/>
      <c r="AM1043" s="2"/>
      <c r="AN1043" s="2"/>
      <c r="AQ1043" s="1"/>
      <c r="BG1043" s="1"/>
    </row>
    <row r="1044" spans="15:59">
      <c r="O1044" s="1"/>
      <c r="P1044" s="1"/>
      <c r="AA1044" s="1"/>
      <c r="AB1044" s="1"/>
      <c r="AG1044" s="1"/>
      <c r="AH1044" s="1"/>
      <c r="AK1044" s="1"/>
      <c r="AL1044" s="1"/>
      <c r="AM1044" s="2"/>
      <c r="AN1044" s="2"/>
      <c r="AQ1044" s="1"/>
      <c r="BG1044" s="1"/>
    </row>
    <row r="1045" spans="15:59">
      <c r="O1045" s="1"/>
      <c r="P1045" s="1"/>
      <c r="AA1045" s="1"/>
      <c r="AB1045" s="1"/>
      <c r="AG1045" s="1"/>
      <c r="AH1045" s="1"/>
      <c r="AK1045" s="1"/>
      <c r="AL1045" s="1"/>
      <c r="AM1045" s="2"/>
      <c r="AN1045" s="2"/>
      <c r="AQ1045" s="1"/>
      <c r="BG1045" s="1"/>
    </row>
    <row r="1046" spans="15:59">
      <c r="O1046" s="1"/>
      <c r="P1046" s="1"/>
      <c r="AA1046" s="1"/>
      <c r="AB1046" s="1"/>
      <c r="AG1046" s="1"/>
      <c r="AH1046" s="1"/>
      <c r="AK1046" s="1"/>
      <c r="AL1046" s="1"/>
      <c r="AM1046" s="2"/>
      <c r="AN1046" s="2"/>
      <c r="AQ1046" s="1"/>
      <c r="BG1046" s="1"/>
    </row>
    <row r="1047" spans="15:59">
      <c r="O1047" s="1"/>
      <c r="P1047" s="1"/>
      <c r="AA1047" s="1"/>
      <c r="AB1047" s="1"/>
      <c r="AG1047" s="1"/>
      <c r="AH1047" s="1"/>
      <c r="AK1047" s="1"/>
      <c r="AL1047" s="1"/>
      <c r="AM1047" s="2"/>
      <c r="AN1047" s="2"/>
      <c r="AQ1047" s="1"/>
      <c r="BG1047" s="1"/>
    </row>
    <row r="1048" spans="15:59">
      <c r="O1048" s="1"/>
      <c r="P1048" s="1"/>
      <c r="AA1048" s="1"/>
      <c r="AB1048" s="1"/>
      <c r="AG1048" s="1"/>
      <c r="AH1048" s="1"/>
      <c r="AK1048" s="1"/>
      <c r="AL1048" s="1"/>
      <c r="AM1048" s="2"/>
      <c r="AN1048" s="2"/>
      <c r="AQ1048" s="1"/>
      <c r="BG1048" s="1"/>
    </row>
    <row r="1049" spans="15:59">
      <c r="O1049" s="1"/>
      <c r="P1049" s="1"/>
      <c r="AA1049" s="1"/>
      <c r="AB1049" s="1"/>
      <c r="AG1049" s="1"/>
      <c r="AH1049" s="1"/>
      <c r="AK1049" s="1"/>
      <c r="AL1049" s="1"/>
      <c r="AM1049" s="2"/>
      <c r="AN1049" s="2"/>
      <c r="AQ1049" s="1"/>
      <c r="BG1049" s="1"/>
    </row>
    <row r="1050" spans="15:59">
      <c r="O1050" s="1"/>
      <c r="P1050" s="1"/>
      <c r="AA1050" s="1"/>
      <c r="AB1050" s="1"/>
      <c r="AG1050" s="1"/>
      <c r="AH1050" s="1"/>
      <c r="AK1050" s="1"/>
      <c r="AL1050" s="1"/>
      <c r="AM1050" s="2"/>
      <c r="AN1050" s="2"/>
      <c r="AQ1050" s="1"/>
      <c r="BG1050" s="1"/>
    </row>
    <row r="1051" spans="15:59">
      <c r="O1051" s="1"/>
      <c r="P1051" s="1"/>
      <c r="AA1051" s="1"/>
      <c r="AB1051" s="1"/>
      <c r="AG1051" s="1"/>
      <c r="AH1051" s="1"/>
      <c r="AK1051" s="1"/>
      <c r="AL1051" s="1"/>
      <c r="AM1051" s="2"/>
      <c r="AN1051" s="2"/>
      <c r="AQ1051" s="1"/>
      <c r="BG1051" s="1"/>
    </row>
    <row r="1052" spans="15:59">
      <c r="O1052" s="1"/>
      <c r="P1052" s="1"/>
      <c r="AA1052" s="1"/>
      <c r="AB1052" s="1"/>
      <c r="AG1052" s="1"/>
      <c r="AH1052" s="1"/>
      <c r="AK1052" s="1"/>
      <c r="AL1052" s="1"/>
      <c r="AM1052" s="2"/>
      <c r="AN1052" s="2"/>
      <c r="AQ1052" s="1"/>
      <c r="BG1052" s="1"/>
    </row>
    <row r="1053" spans="15:59">
      <c r="O1053" s="1"/>
      <c r="P1053" s="1"/>
      <c r="AA1053" s="1"/>
      <c r="AB1053" s="1"/>
      <c r="AG1053" s="1"/>
      <c r="AH1053" s="1"/>
      <c r="AK1053" s="1"/>
      <c r="AL1053" s="1"/>
      <c r="AM1053" s="2"/>
      <c r="AN1053" s="2"/>
      <c r="AQ1053" s="1"/>
      <c r="BG1053" s="1"/>
    </row>
    <row r="1054" spans="15:59">
      <c r="O1054" s="1"/>
      <c r="P1054" s="1"/>
      <c r="AA1054" s="1"/>
      <c r="AB1054" s="1"/>
      <c r="AG1054" s="1"/>
      <c r="AH1054" s="1"/>
      <c r="AK1054" s="1"/>
      <c r="AL1054" s="1"/>
      <c r="AM1054" s="2"/>
      <c r="AN1054" s="2"/>
      <c r="AQ1054" s="1"/>
      <c r="BG1054" s="1"/>
    </row>
    <row r="1055" spans="15:59">
      <c r="O1055" s="1"/>
      <c r="P1055" s="1"/>
      <c r="AA1055" s="1"/>
      <c r="AB1055" s="1"/>
      <c r="AG1055" s="1"/>
      <c r="AH1055" s="1"/>
      <c r="AK1055" s="1"/>
      <c r="AL1055" s="1"/>
      <c r="AM1055" s="2"/>
      <c r="AN1055" s="2"/>
      <c r="AQ1055" s="1"/>
      <c r="BG1055" s="1"/>
    </row>
    <row r="1056" spans="15:59">
      <c r="O1056" s="1"/>
      <c r="P1056" s="1"/>
      <c r="AA1056" s="1"/>
      <c r="AB1056" s="1"/>
      <c r="AG1056" s="1"/>
      <c r="AH1056" s="1"/>
      <c r="AK1056" s="1"/>
      <c r="AL1056" s="1"/>
      <c r="AM1056" s="2"/>
      <c r="AN1056" s="2"/>
      <c r="AQ1056" s="1"/>
      <c r="BG1056" s="1"/>
    </row>
    <row r="1057" spans="15:59">
      <c r="O1057" s="1"/>
      <c r="P1057" s="1"/>
      <c r="AA1057" s="1"/>
      <c r="AB1057" s="1"/>
      <c r="AG1057" s="1"/>
      <c r="AH1057" s="1"/>
      <c r="AK1057" s="1"/>
      <c r="AL1057" s="1"/>
      <c r="AM1057" s="2"/>
      <c r="AN1057" s="2"/>
      <c r="AQ1057" s="1"/>
      <c r="BG1057" s="1"/>
    </row>
    <row r="1058" spans="15:59">
      <c r="O1058" s="1"/>
      <c r="P1058" s="1"/>
      <c r="AA1058" s="1"/>
      <c r="AB1058" s="1"/>
      <c r="AG1058" s="1"/>
      <c r="AH1058" s="1"/>
      <c r="AK1058" s="1"/>
      <c r="AL1058" s="1"/>
      <c r="AM1058" s="2"/>
      <c r="AN1058" s="2"/>
      <c r="AQ1058" s="1"/>
      <c r="BG1058" s="1"/>
    </row>
    <row r="1059" spans="15:59">
      <c r="O1059" s="1"/>
      <c r="P1059" s="1"/>
      <c r="AA1059" s="1"/>
      <c r="AB1059" s="1"/>
      <c r="AG1059" s="1"/>
      <c r="AH1059" s="1"/>
      <c r="AK1059" s="1"/>
      <c r="AL1059" s="1"/>
      <c r="AM1059" s="2"/>
      <c r="AN1059" s="2"/>
      <c r="AQ1059" s="1"/>
      <c r="BG1059" s="1"/>
    </row>
    <row r="1060" spans="15:59">
      <c r="O1060" s="1"/>
      <c r="P1060" s="1"/>
      <c r="AA1060" s="1"/>
      <c r="AB1060" s="1"/>
      <c r="AG1060" s="1"/>
      <c r="AH1060" s="1"/>
      <c r="AK1060" s="1"/>
      <c r="AL1060" s="1"/>
      <c r="AM1060" s="2"/>
      <c r="AN1060" s="2"/>
      <c r="AQ1060" s="1"/>
      <c r="BG1060" s="1"/>
    </row>
    <row r="1061" spans="15:59">
      <c r="O1061" s="1"/>
      <c r="P1061" s="1"/>
      <c r="AA1061" s="1"/>
      <c r="AB1061" s="1"/>
      <c r="AG1061" s="1"/>
      <c r="AH1061" s="1"/>
      <c r="AK1061" s="1"/>
      <c r="AL1061" s="1"/>
      <c r="AM1061" s="2"/>
      <c r="AN1061" s="2"/>
      <c r="AQ1061" s="1"/>
      <c r="BG1061" s="1"/>
    </row>
    <row r="1062" spans="15:59">
      <c r="O1062" s="1"/>
      <c r="P1062" s="1"/>
      <c r="AA1062" s="1"/>
      <c r="AB1062" s="1"/>
      <c r="AG1062" s="1"/>
      <c r="AH1062" s="1"/>
      <c r="AK1062" s="1"/>
      <c r="AL1062" s="1"/>
      <c r="AM1062" s="2"/>
      <c r="AN1062" s="2"/>
      <c r="AQ1062" s="1"/>
      <c r="BG1062" s="1"/>
    </row>
    <row r="1063" spans="15:59">
      <c r="O1063" s="1"/>
      <c r="P1063" s="1"/>
      <c r="AA1063" s="1"/>
      <c r="AB1063" s="1"/>
      <c r="AG1063" s="1"/>
      <c r="AH1063" s="1"/>
      <c r="AK1063" s="1"/>
      <c r="AL1063" s="1"/>
      <c r="AM1063" s="2"/>
      <c r="AN1063" s="2"/>
      <c r="AQ1063" s="1"/>
      <c r="BG1063" s="1"/>
    </row>
    <row r="1064" spans="15:59">
      <c r="O1064" s="1"/>
      <c r="P1064" s="1"/>
      <c r="AA1064" s="1"/>
      <c r="AB1064" s="1"/>
      <c r="AG1064" s="1"/>
      <c r="AH1064" s="1"/>
      <c r="AK1064" s="1"/>
      <c r="AL1064" s="1"/>
      <c r="AM1064" s="2"/>
      <c r="AN1064" s="2"/>
      <c r="AQ1064" s="1"/>
      <c r="BG1064" s="1"/>
    </row>
    <row r="1065" spans="15:59">
      <c r="O1065" s="1"/>
      <c r="P1065" s="1"/>
      <c r="AA1065" s="1"/>
      <c r="AB1065" s="1"/>
      <c r="AG1065" s="1"/>
      <c r="AH1065" s="1"/>
      <c r="AK1065" s="1"/>
      <c r="AL1065" s="1"/>
      <c r="AM1065" s="2"/>
      <c r="AN1065" s="2"/>
      <c r="AQ1065" s="1"/>
      <c r="BG1065" s="1"/>
    </row>
    <row r="1066" spans="15:59">
      <c r="O1066" s="1"/>
      <c r="P1066" s="1"/>
      <c r="AA1066" s="1"/>
      <c r="AB1066" s="1"/>
      <c r="AG1066" s="1"/>
      <c r="AH1066" s="1"/>
      <c r="AK1066" s="1"/>
      <c r="AL1066" s="1"/>
      <c r="AM1066" s="2"/>
      <c r="AN1066" s="2"/>
      <c r="AQ1066" s="1"/>
      <c r="BG1066" s="1"/>
    </row>
    <row r="1067" spans="15:59">
      <c r="O1067" s="1"/>
      <c r="P1067" s="1"/>
      <c r="AA1067" s="1"/>
      <c r="AB1067" s="1"/>
      <c r="AG1067" s="1"/>
      <c r="AH1067" s="1"/>
      <c r="AK1067" s="1"/>
      <c r="AL1067" s="1"/>
      <c r="AM1067" s="2"/>
      <c r="AN1067" s="2"/>
      <c r="AQ1067" s="1"/>
      <c r="BG1067" s="1"/>
    </row>
    <row r="1068" spans="15:59">
      <c r="O1068" s="1"/>
      <c r="P1068" s="1"/>
      <c r="AA1068" s="1"/>
      <c r="AB1068" s="1"/>
      <c r="AG1068" s="1"/>
      <c r="AH1068" s="1"/>
      <c r="AK1068" s="1"/>
      <c r="AL1068" s="1"/>
      <c r="AM1068" s="2"/>
      <c r="AN1068" s="2"/>
      <c r="AQ1068" s="1"/>
      <c r="BG1068" s="1"/>
    </row>
    <row r="1069" spans="15:59">
      <c r="O1069" s="1"/>
      <c r="P1069" s="1"/>
      <c r="AA1069" s="1"/>
      <c r="AB1069" s="1"/>
      <c r="AG1069" s="1"/>
      <c r="AH1069" s="1"/>
      <c r="AK1069" s="1"/>
      <c r="AL1069" s="1"/>
      <c r="AM1069" s="2"/>
      <c r="AN1069" s="2"/>
      <c r="AQ1069" s="1"/>
      <c r="BG1069" s="1"/>
    </row>
    <row r="1070" spans="15:59">
      <c r="O1070" s="1"/>
      <c r="P1070" s="1"/>
      <c r="AA1070" s="1"/>
      <c r="AB1070" s="1"/>
      <c r="AG1070" s="1"/>
      <c r="AH1070" s="1"/>
      <c r="AK1070" s="1"/>
      <c r="AL1070" s="1"/>
      <c r="AM1070" s="2"/>
      <c r="AN1070" s="2"/>
      <c r="AQ1070" s="1"/>
      <c r="BG1070" s="1"/>
    </row>
    <row r="1071" spans="15:59">
      <c r="O1071" s="1"/>
      <c r="P1071" s="1"/>
      <c r="AA1071" s="1"/>
      <c r="AB1071" s="1"/>
      <c r="AG1071" s="1"/>
      <c r="AH1071" s="1"/>
      <c r="AK1071" s="1"/>
      <c r="AL1071" s="1"/>
      <c r="AM1071" s="2"/>
      <c r="AN1071" s="2"/>
      <c r="AQ1071" s="1"/>
      <c r="BG1071" s="1"/>
    </row>
    <row r="1072" spans="15:59">
      <c r="O1072" s="1"/>
      <c r="P1072" s="1"/>
      <c r="AA1072" s="1"/>
      <c r="AB1072" s="1"/>
      <c r="AG1072" s="1"/>
      <c r="AH1072" s="1"/>
      <c r="AK1072" s="1"/>
      <c r="AL1072" s="1"/>
      <c r="AM1072" s="2"/>
      <c r="AN1072" s="2"/>
      <c r="AQ1072" s="1"/>
      <c r="BG1072" s="1"/>
    </row>
    <row r="1073" spans="15:59">
      <c r="O1073" s="1"/>
      <c r="P1073" s="1"/>
      <c r="AA1073" s="1"/>
      <c r="AB1073" s="1"/>
      <c r="AG1073" s="1"/>
      <c r="AH1073" s="1"/>
      <c r="AK1073" s="1"/>
      <c r="AL1073" s="1"/>
      <c r="AM1073" s="2"/>
      <c r="AN1073" s="2"/>
      <c r="AQ1073" s="1"/>
      <c r="BG1073" s="1"/>
    </row>
    <row r="1074" spans="15:59">
      <c r="O1074" s="1"/>
      <c r="P1074" s="1"/>
      <c r="AA1074" s="1"/>
      <c r="AB1074" s="1"/>
      <c r="AG1074" s="1"/>
      <c r="AH1074" s="1"/>
      <c r="AK1074" s="1"/>
      <c r="AL1074" s="1"/>
      <c r="AM1074" s="2"/>
      <c r="AN1074" s="2"/>
      <c r="AQ1074" s="1"/>
      <c r="BG1074" s="1"/>
    </row>
    <row r="1075" spans="15:59">
      <c r="O1075" s="1"/>
      <c r="P1075" s="1"/>
      <c r="AA1075" s="1"/>
      <c r="AB1075" s="1"/>
      <c r="AG1075" s="1"/>
      <c r="AH1075" s="1"/>
      <c r="AK1075" s="1"/>
      <c r="AL1075" s="1"/>
      <c r="AM1075" s="2"/>
      <c r="AN1075" s="2"/>
      <c r="AQ1075" s="1"/>
      <c r="BG1075" s="1"/>
    </row>
    <row r="1076" spans="15:59">
      <c r="O1076" s="1"/>
      <c r="P1076" s="1"/>
      <c r="AA1076" s="1"/>
      <c r="AB1076" s="1"/>
      <c r="AG1076" s="1"/>
      <c r="AH1076" s="1"/>
      <c r="AK1076" s="1"/>
      <c r="AL1076" s="1"/>
      <c r="AM1076" s="2"/>
      <c r="AN1076" s="2"/>
      <c r="AQ1076" s="1"/>
      <c r="BG1076" s="1"/>
    </row>
    <row r="1077" spans="15:59">
      <c r="O1077" s="1"/>
      <c r="P1077" s="1"/>
      <c r="AA1077" s="1"/>
      <c r="AB1077" s="1"/>
      <c r="AG1077" s="1"/>
      <c r="AH1077" s="1"/>
      <c r="AK1077" s="1"/>
      <c r="AL1077" s="1"/>
      <c r="AM1077" s="2"/>
      <c r="AN1077" s="2"/>
      <c r="AQ1077" s="1"/>
      <c r="BG1077" s="1"/>
    </row>
    <row r="1078" spans="15:59">
      <c r="O1078" s="1"/>
      <c r="P1078" s="1"/>
      <c r="AA1078" s="1"/>
      <c r="AB1078" s="1"/>
      <c r="AG1078" s="1"/>
      <c r="AH1078" s="1"/>
      <c r="AK1078" s="1"/>
      <c r="AL1078" s="1"/>
      <c r="AM1078" s="2"/>
      <c r="AN1078" s="2"/>
      <c r="AQ1078" s="1"/>
      <c r="BG1078" s="1"/>
    </row>
    <row r="1079" spans="15:59">
      <c r="O1079" s="1"/>
      <c r="P1079" s="1"/>
      <c r="AA1079" s="1"/>
      <c r="AB1079" s="1"/>
      <c r="AG1079" s="1"/>
      <c r="AH1079" s="1"/>
      <c r="AK1079" s="1"/>
      <c r="AL1079" s="1"/>
      <c r="AM1079" s="2"/>
      <c r="AN1079" s="2"/>
      <c r="AQ1079" s="1"/>
      <c r="BG1079" s="1"/>
    </row>
    <row r="1080" spans="15:59">
      <c r="O1080" s="1"/>
      <c r="P1080" s="1"/>
      <c r="AA1080" s="1"/>
      <c r="AB1080" s="1"/>
      <c r="AG1080" s="1"/>
      <c r="AH1080" s="1"/>
      <c r="AK1080" s="1"/>
      <c r="AL1080" s="1"/>
      <c r="AM1080" s="2"/>
      <c r="AN1080" s="2"/>
      <c r="AQ1080" s="1"/>
      <c r="BG1080" s="1"/>
    </row>
    <row r="1081" spans="15:59">
      <c r="O1081" s="1"/>
      <c r="P1081" s="1"/>
      <c r="AA1081" s="1"/>
      <c r="AB1081" s="1"/>
      <c r="AG1081" s="1"/>
      <c r="AH1081" s="1"/>
      <c r="AK1081" s="1"/>
      <c r="AL1081" s="1"/>
      <c r="AM1081" s="2"/>
      <c r="AN1081" s="2"/>
      <c r="AQ1081" s="1"/>
      <c r="BG1081" s="1"/>
    </row>
    <row r="1082" spans="15:59">
      <c r="O1082" s="1"/>
      <c r="P1082" s="1"/>
      <c r="AA1082" s="1"/>
      <c r="AB1082" s="1"/>
      <c r="AG1082" s="1"/>
      <c r="AH1082" s="1"/>
      <c r="AK1082" s="1"/>
      <c r="AL1082" s="1"/>
      <c r="AM1082" s="2"/>
      <c r="AN1082" s="2"/>
      <c r="AQ1082" s="1"/>
      <c r="BG1082" s="1"/>
    </row>
    <row r="1083" spans="15:59">
      <c r="O1083" s="1"/>
      <c r="P1083" s="1"/>
      <c r="AA1083" s="1"/>
      <c r="AB1083" s="1"/>
      <c r="AG1083" s="1"/>
      <c r="AH1083" s="1"/>
      <c r="AK1083" s="1"/>
      <c r="AL1083" s="1"/>
      <c r="AM1083" s="2"/>
      <c r="AN1083" s="2"/>
      <c r="AQ1083" s="1"/>
      <c r="BG1083" s="1"/>
    </row>
    <row r="1084" spans="15:59">
      <c r="O1084" s="1"/>
      <c r="P1084" s="1"/>
      <c r="AA1084" s="1"/>
      <c r="AB1084" s="1"/>
      <c r="AG1084" s="1"/>
      <c r="AH1084" s="1"/>
      <c r="AK1084" s="1"/>
      <c r="AL1084" s="1"/>
      <c r="AM1084" s="2"/>
      <c r="AN1084" s="2"/>
      <c r="AQ1084" s="1"/>
      <c r="BG1084" s="1"/>
    </row>
    <row r="1085" spans="15:59">
      <c r="O1085" s="1"/>
      <c r="P1085" s="1"/>
      <c r="AA1085" s="1"/>
      <c r="AB1085" s="1"/>
      <c r="AG1085" s="1"/>
      <c r="AH1085" s="1"/>
      <c r="AK1085" s="1"/>
      <c r="AL1085" s="1"/>
      <c r="AM1085" s="2"/>
      <c r="AN1085" s="2"/>
      <c r="AQ1085" s="1"/>
      <c r="BG1085" s="1"/>
    </row>
    <row r="1086" spans="15:59">
      <c r="O1086" s="1"/>
      <c r="P1086" s="1"/>
      <c r="AA1086" s="1"/>
      <c r="AB1086" s="1"/>
      <c r="AG1086" s="1"/>
      <c r="AH1086" s="1"/>
      <c r="AK1086" s="1"/>
      <c r="AL1086" s="1"/>
      <c r="AM1086" s="2"/>
      <c r="AN1086" s="2"/>
      <c r="AQ1086" s="1"/>
      <c r="BG1086" s="1"/>
    </row>
    <row r="1087" spans="15:59">
      <c r="O1087" s="1"/>
      <c r="P1087" s="1"/>
      <c r="AA1087" s="1"/>
      <c r="AB1087" s="1"/>
      <c r="AG1087" s="1"/>
      <c r="AH1087" s="1"/>
      <c r="AK1087" s="1"/>
      <c r="AL1087" s="1"/>
      <c r="AM1087" s="2"/>
      <c r="AN1087" s="2"/>
      <c r="AQ1087" s="1"/>
      <c r="BG1087" s="1"/>
    </row>
    <row r="1088" spans="15:59">
      <c r="O1088" s="1"/>
      <c r="P1088" s="1"/>
      <c r="AA1088" s="1"/>
      <c r="AB1088" s="1"/>
      <c r="AG1088" s="1"/>
      <c r="AH1088" s="1"/>
      <c r="AK1088" s="1"/>
      <c r="AL1088" s="1"/>
      <c r="AM1088" s="2"/>
      <c r="AN1088" s="2"/>
      <c r="AQ1088" s="1"/>
      <c r="BG1088" s="1"/>
    </row>
    <row r="1089" spans="15:59">
      <c r="O1089" s="1"/>
      <c r="P1089" s="1"/>
      <c r="AA1089" s="1"/>
      <c r="AB1089" s="1"/>
      <c r="AG1089" s="1"/>
      <c r="AH1089" s="1"/>
      <c r="AK1089" s="1"/>
      <c r="AL1089" s="1"/>
      <c r="AM1089" s="2"/>
      <c r="AN1089" s="2"/>
      <c r="AQ1089" s="1"/>
      <c r="BG1089" s="1"/>
    </row>
    <row r="1090" spans="15:59">
      <c r="O1090" s="1"/>
      <c r="P1090" s="1"/>
      <c r="AA1090" s="1"/>
      <c r="AB1090" s="1"/>
      <c r="AG1090" s="1"/>
      <c r="AH1090" s="1"/>
      <c r="AK1090" s="1"/>
      <c r="AL1090" s="1"/>
      <c r="AM1090" s="2"/>
      <c r="AN1090" s="2"/>
      <c r="AQ1090" s="1"/>
      <c r="BG1090" s="1"/>
    </row>
    <row r="1091" spans="15:59">
      <c r="O1091" s="1"/>
      <c r="P1091" s="1"/>
      <c r="AA1091" s="1"/>
      <c r="AB1091" s="1"/>
      <c r="AG1091" s="1"/>
      <c r="AH1091" s="1"/>
      <c r="AK1091" s="1"/>
      <c r="AL1091" s="1"/>
      <c r="AM1091" s="2"/>
      <c r="AN1091" s="2"/>
      <c r="AQ1091" s="1"/>
      <c r="BG1091" s="1"/>
    </row>
    <row r="1092" spans="15:59">
      <c r="O1092" s="1"/>
      <c r="P1092" s="1"/>
      <c r="AA1092" s="1"/>
      <c r="AB1092" s="1"/>
      <c r="AG1092" s="1"/>
      <c r="AH1092" s="1"/>
      <c r="AK1092" s="1"/>
      <c r="AL1092" s="1"/>
      <c r="AM1092" s="2"/>
      <c r="AN1092" s="2"/>
      <c r="AQ1092" s="1"/>
      <c r="BG1092" s="1"/>
    </row>
    <row r="1093" spans="15:59">
      <c r="O1093" s="1"/>
      <c r="P1093" s="1"/>
      <c r="AA1093" s="1"/>
      <c r="AB1093" s="1"/>
      <c r="AG1093" s="1"/>
      <c r="AH1093" s="1"/>
      <c r="AK1093" s="1"/>
      <c r="AL1093" s="1"/>
      <c r="AM1093" s="2"/>
      <c r="AN1093" s="2"/>
      <c r="AQ1093" s="1"/>
      <c r="BG1093" s="1"/>
    </row>
    <row r="1094" spans="15:59">
      <c r="O1094" s="1"/>
      <c r="P1094" s="1"/>
      <c r="AA1094" s="1"/>
      <c r="AB1094" s="1"/>
      <c r="AG1094" s="1"/>
      <c r="AH1094" s="1"/>
      <c r="AK1094" s="1"/>
      <c r="AL1094" s="1"/>
      <c r="AM1094" s="2"/>
      <c r="AN1094" s="2"/>
      <c r="AQ1094" s="1"/>
      <c r="BG1094" s="1"/>
    </row>
    <row r="1095" spans="15:59">
      <c r="O1095" s="1"/>
      <c r="P1095" s="1"/>
      <c r="AA1095" s="1"/>
      <c r="AB1095" s="1"/>
      <c r="AG1095" s="1"/>
      <c r="AH1095" s="1"/>
      <c r="AK1095" s="1"/>
      <c r="AL1095" s="1"/>
      <c r="AM1095" s="2"/>
      <c r="AN1095" s="2"/>
      <c r="AQ1095" s="1"/>
      <c r="BG1095" s="1"/>
    </row>
    <row r="1096" spans="15:59">
      <c r="O1096" s="1"/>
      <c r="P1096" s="1"/>
      <c r="AA1096" s="1"/>
      <c r="AB1096" s="1"/>
      <c r="AG1096" s="1"/>
      <c r="AH1096" s="1"/>
      <c r="AK1096" s="1"/>
      <c r="AL1096" s="1"/>
      <c r="AM1096" s="2"/>
      <c r="AN1096" s="2"/>
      <c r="AQ1096" s="1"/>
      <c r="BG1096" s="1"/>
    </row>
    <row r="1097" spans="15:59">
      <c r="O1097" s="1"/>
      <c r="P1097" s="1"/>
      <c r="AA1097" s="1"/>
      <c r="AB1097" s="1"/>
      <c r="AG1097" s="1"/>
      <c r="AH1097" s="1"/>
      <c r="AK1097" s="1"/>
      <c r="AL1097" s="1"/>
      <c r="AM1097" s="2"/>
      <c r="AN1097" s="2"/>
      <c r="AQ1097" s="1"/>
      <c r="BG1097" s="1"/>
    </row>
    <row r="1098" spans="15:59">
      <c r="O1098" s="1"/>
      <c r="P1098" s="1"/>
      <c r="AA1098" s="1"/>
      <c r="AB1098" s="1"/>
      <c r="AG1098" s="1"/>
      <c r="AH1098" s="1"/>
      <c r="AK1098" s="1"/>
      <c r="AL1098" s="1"/>
      <c r="AM1098" s="2"/>
      <c r="AN1098" s="2"/>
      <c r="AQ1098" s="1"/>
      <c r="BG1098" s="1"/>
    </row>
    <row r="1099" spans="15:59">
      <c r="O1099" s="1"/>
      <c r="P1099" s="1"/>
      <c r="AA1099" s="1"/>
      <c r="AB1099" s="1"/>
      <c r="AG1099" s="1"/>
      <c r="AH1099" s="1"/>
      <c r="AK1099" s="1"/>
      <c r="AL1099" s="1"/>
      <c r="AM1099" s="2"/>
      <c r="AN1099" s="2"/>
      <c r="AQ1099" s="1"/>
      <c r="BG1099" s="1"/>
    </row>
    <row r="1100" spans="15:59">
      <c r="O1100" s="1"/>
      <c r="P1100" s="1"/>
      <c r="AA1100" s="1"/>
      <c r="AB1100" s="1"/>
      <c r="AG1100" s="1"/>
      <c r="AH1100" s="1"/>
      <c r="AK1100" s="1"/>
      <c r="AL1100" s="1"/>
      <c r="AM1100" s="2"/>
      <c r="AN1100" s="2"/>
      <c r="AQ1100" s="1"/>
      <c r="BG1100" s="1"/>
    </row>
    <row r="1101" spans="15:59">
      <c r="O1101" s="1"/>
      <c r="P1101" s="1"/>
      <c r="AA1101" s="1"/>
      <c r="AB1101" s="1"/>
      <c r="AG1101" s="1"/>
      <c r="AH1101" s="1"/>
      <c r="AK1101" s="1"/>
      <c r="AL1101" s="1"/>
      <c r="AM1101" s="2"/>
      <c r="AN1101" s="2"/>
      <c r="AQ1101" s="1"/>
      <c r="BG1101" s="1"/>
    </row>
    <row r="1102" spans="15:59">
      <c r="O1102" s="1"/>
      <c r="P1102" s="1"/>
      <c r="AA1102" s="1"/>
      <c r="AB1102" s="1"/>
      <c r="AG1102" s="1"/>
      <c r="AH1102" s="1"/>
      <c r="AK1102" s="1"/>
      <c r="AL1102" s="1"/>
      <c r="AM1102" s="2"/>
      <c r="AN1102" s="2"/>
      <c r="AQ1102" s="1"/>
      <c r="BG1102" s="1"/>
    </row>
    <row r="1103" spans="15:59">
      <c r="O1103" s="1"/>
      <c r="P1103" s="1"/>
      <c r="AA1103" s="1"/>
      <c r="AB1103" s="1"/>
      <c r="AG1103" s="1"/>
      <c r="AH1103" s="1"/>
      <c r="AK1103" s="1"/>
      <c r="AL1103" s="1"/>
      <c r="AM1103" s="2"/>
      <c r="AN1103" s="2"/>
      <c r="AQ1103" s="1"/>
      <c r="BG1103" s="1"/>
    </row>
    <row r="1104" spans="15:59">
      <c r="O1104" s="1"/>
      <c r="P1104" s="1"/>
      <c r="AA1104" s="1"/>
      <c r="AB1104" s="1"/>
      <c r="AG1104" s="1"/>
      <c r="AH1104" s="1"/>
      <c r="AK1104" s="1"/>
      <c r="AL1104" s="1"/>
      <c r="AM1104" s="2"/>
      <c r="AN1104" s="2"/>
      <c r="AQ1104" s="1"/>
      <c r="BG1104" s="1"/>
    </row>
    <row r="1105" spans="15:59">
      <c r="O1105" s="1"/>
      <c r="P1105" s="1"/>
      <c r="AA1105" s="1"/>
      <c r="AB1105" s="1"/>
      <c r="AG1105" s="1"/>
      <c r="AH1105" s="1"/>
      <c r="AK1105" s="1"/>
      <c r="AL1105" s="1"/>
      <c r="AM1105" s="2"/>
      <c r="AN1105" s="2"/>
      <c r="AQ1105" s="1"/>
      <c r="BG1105" s="1"/>
    </row>
    <row r="1106" spans="15:59">
      <c r="O1106" s="1"/>
      <c r="P1106" s="1"/>
      <c r="AA1106" s="1"/>
      <c r="AB1106" s="1"/>
      <c r="AG1106" s="1"/>
      <c r="AH1106" s="1"/>
      <c r="AK1106" s="1"/>
      <c r="AL1106" s="1"/>
      <c r="AM1106" s="2"/>
      <c r="AN1106" s="2"/>
      <c r="AQ1106" s="1"/>
      <c r="BG1106" s="1"/>
    </row>
    <row r="1107" spans="15:59">
      <c r="O1107" s="1"/>
      <c r="P1107" s="1"/>
      <c r="AA1107" s="1"/>
      <c r="AB1107" s="1"/>
      <c r="AG1107" s="1"/>
      <c r="AH1107" s="1"/>
      <c r="AK1107" s="1"/>
      <c r="AL1107" s="1"/>
      <c r="AM1107" s="2"/>
      <c r="AN1107" s="2"/>
      <c r="AQ1107" s="1"/>
      <c r="BG1107" s="1"/>
    </row>
    <row r="1108" spans="15:59">
      <c r="O1108" s="1"/>
      <c r="P1108" s="1"/>
      <c r="AA1108" s="1"/>
      <c r="AB1108" s="1"/>
      <c r="AG1108" s="1"/>
      <c r="AH1108" s="1"/>
      <c r="AK1108" s="1"/>
      <c r="AL1108" s="1"/>
      <c r="AM1108" s="2"/>
      <c r="AN1108" s="2"/>
      <c r="AQ1108" s="1"/>
      <c r="BG1108" s="1"/>
    </row>
    <row r="1109" spans="15:59">
      <c r="O1109" s="1"/>
      <c r="P1109" s="1"/>
      <c r="AA1109" s="1"/>
      <c r="AB1109" s="1"/>
      <c r="AG1109" s="1"/>
      <c r="AH1109" s="1"/>
      <c r="AK1109" s="1"/>
      <c r="AL1109" s="1"/>
      <c r="AM1109" s="2"/>
      <c r="AN1109" s="2"/>
      <c r="AQ1109" s="1"/>
      <c r="BG1109" s="1"/>
    </row>
    <row r="1110" spans="15:59">
      <c r="O1110" s="1"/>
      <c r="P1110" s="1"/>
      <c r="AA1110" s="1"/>
      <c r="AB1110" s="1"/>
      <c r="AG1110" s="1"/>
      <c r="AH1110" s="1"/>
      <c r="AK1110" s="1"/>
      <c r="AL1110" s="1"/>
      <c r="AM1110" s="2"/>
      <c r="AN1110" s="2"/>
      <c r="AQ1110" s="1"/>
      <c r="BG1110" s="1"/>
    </row>
    <row r="1111" spans="15:59">
      <c r="O1111" s="1"/>
      <c r="P1111" s="1"/>
      <c r="AA1111" s="1"/>
      <c r="AB1111" s="1"/>
      <c r="AG1111" s="1"/>
      <c r="AH1111" s="1"/>
      <c r="AK1111" s="1"/>
      <c r="AL1111" s="1"/>
      <c r="AM1111" s="2"/>
      <c r="AN1111" s="2"/>
      <c r="AQ1111" s="1"/>
      <c r="BG1111" s="1"/>
    </row>
    <row r="1112" spans="15:59">
      <c r="O1112" s="1"/>
      <c r="P1112" s="1"/>
      <c r="AA1112" s="1"/>
      <c r="AB1112" s="1"/>
      <c r="AG1112" s="1"/>
      <c r="AH1112" s="1"/>
      <c r="AK1112" s="1"/>
      <c r="AL1112" s="1"/>
      <c r="AM1112" s="2"/>
      <c r="AN1112" s="2"/>
      <c r="AQ1112" s="1"/>
      <c r="BG1112" s="1"/>
    </row>
    <row r="1113" spans="15:59">
      <c r="O1113" s="1"/>
      <c r="P1113" s="1"/>
      <c r="AA1113" s="1"/>
      <c r="AB1113" s="1"/>
      <c r="AG1113" s="1"/>
      <c r="AH1113" s="1"/>
      <c r="AK1113" s="1"/>
      <c r="AL1113" s="1"/>
      <c r="AM1113" s="2"/>
      <c r="AN1113" s="2"/>
      <c r="AQ1113" s="1"/>
      <c r="BG1113" s="1"/>
    </row>
    <row r="1114" spans="15:59">
      <c r="O1114" s="1"/>
      <c r="P1114" s="1"/>
      <c r="AA1114" s="1"/>
      <c r="AB1114" s="1"/>
      <c r="AG1114" s="1"/>
      <c r="AH1114" s="1"/>
      <c r="AK1114" s="1"/>
      <c r="AL1114" s="1"/>
      <c r="AM1114" s="2"/>
      <c r="AN1114" s="2"/>
      <c r="AQ1114" s="1"/>
      <c r="BG1114" s="1"/>
    </row>
    <row r="1115" spans="15:59">
      <c r="O1115" s="1"/>
      <c r="P1115" s="1"/>
      <c r="AA1115" s="1"/>
      <c r="AB1115" s="1"/>
      <c r="AG1115" s="1"/>
      <c r="AH1115" s="1"/>
      <c r="AK1115" s="1"/>
      <c r="AL1115" s="1"/>
      <c r="AM1115" s="2"/>
      <c r="AN1115" s="2"/>
      <c r="AQ1115" s="1"/>
      <c r="BG1115" s="1"/>
    </row>
    <row r="1116" spans="15:59">
      <c r="O1116" s="1"/>
      <c r="P1116" s="1"/>
      <c r="AA1116" s="1"/>
      <c r="AB1116" s="1"/>
      <c r="AG1116" s="1"/>
      <c r="AH1116" s="1"/>
      <c r="AK1116" s="1"/>
      <c r="AL1116" s="1"/>
      <c r="AM1116" s="2"/>
      <c r="AN1116" s="2"/>
      <c r="AQ1116" s="1"/>
      <c r="BG1116" s="1"/>
    </row>
    <row r="1117" spans="15:59">
      <c r="O1117" s="1"/>
      <c r="P1117" s="1"/>
      <c r="AA1117" s="1"/>
      <c r="AB1117" s="1"/>
      <c r="AG1117" s="1"/>
      <c r="AH1117" s="1"/>
      <c r="AK1117" s="1"/>
      <c r="AL1117" s="1"/>
      <c r="AM1117" s="2"/>
      <c r="AN1117" s="2"/>
      <c r="AQ1117" s="1"/>
      <c r="BG1117" s="1"/>
    </row>
    <row r="1118" spans="15:59">
      <c r="O1118" s="1"/>
      <c r="P1118" s="1"/>
      <c r="AA1118" s="1"/>
      <c r="AB1118" s="1"/>
      <c r="AG1118" s="1"/>
      <c r="AH1118" s="1"/>
      <c r="AK1118" s="1"/>
      <c r="AL1118" s="1"/>
      <c r="AM1118" s="2"/>
      <c r="AN1118" s="2"/>
      <c r="AQ1118" s="1"/>
      <c r="BG1118" s="1"/>
    </row>
    <row r="1119" spans="15:59">
      <c r="O1119" s="1"/>
      <c r="P1119" s="1"/>
      <c r="AA1119" s="1"/>
      <c r="AB1119" s="1"/>
      <c r="AG1119" s="1"/>
      <c r="AH1119" s="1"/>
      <c r="AK1119" s="1"/>
      <c r="AL1119" s="1"/>
      <c r="AM1119" s="2"/>
      <c r="AN1119" s="2"/>
      <c r="AQ1119" s="1"/>
      <c r="BG1119" s="1"/>
    </row>
    <row r="1120" spans="15:59">
      <c r="O1120" s="1"/>
      <c r="P1120" s="1"/>
      <c r="AA1120" s="1"/>
      <c r="AB1120" s="1"/>
      <c r="AG1120" s="1"/>
      <c r="AH1120" s="1"/>
      <c r="AK1120" s="1"/>
      <c r="AL1120" s="1"/>
      <c r="AM1120" s="2"/>
      <c r="AN1120" s="2"/>
      <c r="AQ1120" s="1"/>
      <c r="BG1120" s="1"/>
    </row>
    <row r="1121" spans="15:59">
      <c r="O1121" s="1"/>
      <c r="P1121" s="1"/>
      <c r="AA1121" s="1"/>
      <c r="AB1121" s="1"/>
      <c r="AG1121" s="1"/>
      <c r="AH1121" s="1"/>
      <c r="AK1121" s="1"/>
      <c r="AL1121" s="1"/>
      <c r="AM1121" s="2"/>
      <c r="AN1121" s="2"/>
      <c r="AQ1121" s="1"/>
      <c r="BG1121" s="1"/>
    </row>
    <row r="1122" spans="15:59">
      <c r="O1122" s="1"/>
      <c r="P1122" s="1"/>
      <c r="AA1122" s="1"/>
      <c r="AB1122" s="1"/>
      <c r="AG1122" s="1"/>
      <c r="AH1122" s="1"/>
      <c r="AK1122" s="1"/>
      <c r="AL1122" s="1"/>
      <c r="AM1122" s="2"/>
      <c r="AN1122" s="2"/>
      <c r="AQ1122" s="1"/>
      <c r="BG1122" s="1"/>
    </row>
    <row r="1123" spans="15:59">
      <c r="O1123" s="1"/>
      <c r="P1123" s="1"/>
      <c r="AA1123" s="1"/>
      <c r="AB1123" s="1"/>
      <c r="AG1123" s="1"/>
      <c r="AH1123" s="1"/>
      <c r="AK1123" s="1"/>
      <c r="AL1123" s="1"/>
      <c r="AM1123" s="2"/>
      <c r="AN1123" s="2"/>
      <c r="AQ1123" s="1"/>
      <c r="BG1123" s="1"/>
    </row>
    <row r="1124" spans="15:59">
      <c r="O1124" s="1"/>
      <c r="P1124" s="1"/>
      <c r="AA1124" s="1"/>
      <c r="AB1124" s="1"/>
      <c r="AG1124" s="1"/>
      <c r="AH1124" s="1"/>
      <c r="AK1124" s="1"/>
      <c r="AL1124" s="1"/>
      <c r="AM1124" s="2"/>
      <c r="AN1124" s="2"/>
      <c r="AQ1124" s="1"/>
      <c r="BG1124" s="1"/>
    </row>
    <row r="1125" spans="15:59">
      <c r="O1125" s="1"/>
      <c r="P1125" s="1"/>
      <c r="AA1125" s="1"/>
      <c r="AB1125" s="1"/>
      <c r="AG1125" s="1"/>
      <c r="AH1125" s="1"/>
      <c r="AK1125" s="1"/>
      <c r="AL1125" s="1"/>
      <c r="AM1125" s="2"/>
      <c r="AN1125" s="2"/>
      <c r="AQ1125" s="1"/>
      <c r="BG1125" s="1"/>
    </row>
    <row r="1126" spans="15:59">
      <c r="O1126" s="1"/>
      <c r="P1126" s="1"/>
      <c r="AA1126" s="1"/>
      <c r="AB1126" s="1"/>
      <c r="AG1126" s="1"/>
      <c r="AH1126" s="1"/>
      <c r="AK1126" s="1"/>
      <c r="AL1126" s="1"/>
      <c r="AM1126" s="2"/>
      <c r="AN1126" s="2"/>
      <c r="AQ1126" s="1"/>
      <c r="BG1126" s="1"/>
    </row>
    <row r="1127" spans="15:59">
      <c r="O1127" s="1"/>
      <c r="P1127" s="1"/>
      <c r="AA1127" s="1"/>
      <c r="AB1127" s="1"/>
      <c r="AG1127" s="1"/>
      <c r="AH1127" s="1"/>
      <c r="AK1127" s="1"/>
      <c r="AL1127" s="1"/>
      <c r="AM1127" s="2"/>
      <c r="AN1127" s="2"/>
      <c r="AQ1127" s="1"/>
      <c r="BG1127" s="1"/>
    </row>
    <row r="1128" spans="15:59">
      <c r="O1128" s="1"/>
      <c r="P1128" s="1"/>
      <c r="AA1128" s="1"/>
      <c r="AB1128" s="1"/>
      <c r="AG1128" s="1"/>
      <c r="AH1128" s="1"/>
      <c r="AK1128" s="1"/>
      <c r="AL1128" s="1"/>
      <c r="AM1128" s="2"/>
      <c r="AN1128" s="2"/>
      <c r="AQ1128" s="1"/>
      <c r="BG1128" s="1"/>
    </row>
    <row r="1129" spans="15:59">
      <c r="O1129" s="1"/>
      <c r="P1129" s="1"/>
      <c r="AA1129" s="1"/>
      <c r="AB1129" s="1"/>
      <c r="AG1129" s="1"/>
      <c r="AH1129" s="1"/>
      <c r="AK1129" s="1"/>
      <c r="AL1129" s="1"/>
      <c r="AM1129" s="2"/>
      <c r="AN1129" s="2"/>
      <c r="AQ1129" s="1"/>
      <c r="BG1129" s="1"/>
    </row>
    <row r="1130" spans="15:59">
      <c r="O1130" s="1"/>
      <c r="P1130" s="1"/>
      <c r="AA1130" s="1"/>
      <c r="AB1130" s="1"/>
      <c r="AG1130" s="1"/>
      <c r="AH1130" s="1"/>
      <c r="AK1130" s="1"/>
      <c r="AL1130" s="1"/>
      <c r="AM1130" s="2"/>
      <c r="AN1130" s="2"/>
      <c r="AQ1130" s="1"/>
      <c r="BG1130" s="1"/>
    </row>
    <row r="1131" spans="15:59">
      <c r="O1131" s="1"/>
      <c r="P1131" s="1"/>
      <c r="AA1131" s="1"/>
      <c r="AB1131" s="1"/>
      <c r="AG1131" s="1"/>
      <c r="AH1131" s="1"/>
      <c r="AK1131" s="1"/>
      <c r="AL1131" s="1"/>
      <c r="AM1131" s="2"/>
      <c r="AN1131" s="2"/>
      <c r="AQ1131" s="1"/>
      <c r="BG1131" s="1"/>
    </row>
    <row r="1132" spans="15:59">
      <c r="O1132" s="1"/>
      <c r="P1132" s="1"/>
      <c r="AA1132" s="1"/>
      <c r="AB1132" s="1"/>
      <c r="AG1132" s="1"/>
      <c r="AH1132" s="1"/>
      <c r="AK1132" s="1"/>
      <c r="AL1132" s="1"/>
      <c r="AM1132" s="2"/>
      <c r="AN1132" s="2"/>
      <c r="AQ1132" s="1"/>
      <c r="BG1132" s="1"/>
    </row>
    <row r="1133" spans="15:59">
      <c r="O1133" s="1"/>
      <c r="P1133" s="1"/>
      <c r="AA1133" s="1"/>
      <c r="AB1133" s="1"/>
      <c r="AG1133" s="1"/>
      <c r="AH1133" s="1"/>
      <c r="AK1133" s="1"/>
      <c r="AL1133" s="1"/>
      <c r="AM1133" s="2"/>
      <c r="AN1133" s="2"/>
      <c r="AQ1133" s="1"/>
      <c r="BG1133" s="1"/>
    </row>
    <row r="1134" spans="15:59">
      <c r="O1134" s="1"/>
      <c r="P1134" s="1"/>
      <c r="AA1134" s="1"/>
      <c r="AB1134" s="1"/>
      <c r="AG1134" s="1"/>
      <c r="AH1134" s="1"/>
      <c r="AK1134" s="1"/>
      <c r="AL1134" s="1"/>
      <c r="AM1134" s="2"/>
      <c r="AN1134" s="2"/>
      <c r="AQ1134" s="1"/>
      <c r="BG1134" s="1"/>
    </row>
    <row r="1135" spans="15:59">
      <c r="O1135" s="1"/>
      <c r="P1135" s="1"/>
      <c r="AA1135" s="1"/>
      <c r="AB1135" s="1"/>
      <c r="AG1135" s="1"/>
      <c r="AH1135" s="1"/>
      <c r="AK1135" s="1"/>
      <c r="AL1135" s="1"/>
      <c r="AM1135" s="2"/>
      <c r="AN1135" s="2"/>
      <c r="AQ1135" s="1"/>
      <c r="BG1135" s="1"/>
    </row>
    <row r="1136" spans="15:59">
      <c r="O1136" s="1"/>
      <c r="P1136" s="1"/>
      <c r="AA1136" s="1"/>
      <c r="AB1136" s="1"/>
      <c r="AG1136" s="1"/>
      <c r="AH1136" s="1"/>
      <c r="AK1136" s="1"/>
      <c r="AL1136" s="1"/>
      <c r="AM1136" s="2"/>
      <c r="AN1136" s="2"/>
      <c r="AQ1136" s="1"/>
      <c r="BG1136" s="1"/>
    </row>
    <row r="1137" spans="15:59">
      <c r="O1137" s="1"/>
      <c r="P1137" s="1"/>
      <c r="AA1137" s="1"/>
      <c r="AB1137" s="1"/>
      <c r="AG1137" s="1"/>
      <c r="AH1137" s="1"/>
      <c r="AK1137" s="1"/>
      <c r="AL1137" s="1"/>
      <c r="AM1137" s="2"/>
      <c r="AN1137" s="2"/>
      <c r="AQ1137" s="1"/>
      <c r="BG1137" s="1"/>
    </row>
    <row r="1138" spans="15:59">
      <c r="O1138" s="1"/>
      <c r="P1138" s="1"/>
      <c r="AA1138" s="1"/>
      <c r="AB1138" s="1"/>
      <c r="AG1138" s="1"/>
      <c r="AH1138" s="1"/>
      <c r="AK1138" s="1"/>
      <c r="AL1138" s="1"/>
      <c r="AM1138" s="2"/>
      <c r="AN1138" s="2"/>
      <c r="AQ1138" s="1"/>
      <c r="BG1138" s="1"/>
    </row>
    <row r="1139" spans="15:59">
      <c r="O1139" s="1"/>
      <c r="P1139" s="1"/>
      <c r="AA1139" s="1"/>
      <c r="AB1139" s="1"/>
      <c r="AG1139" s="1"/>
      <c r="AH1139" s="1"/>
      <c r="AK1139" s="1"/>
      <c r="AL1139" s="1"/>
      <c r="AM1139" s="2"/>
      <c r="AN1139" s="2"/>
      <c r="AQ1139" s="1"/>
      <c r="BG1139" s="1"/>
    </row>
    <row r="1140" spans="15:59">
      <c r="O1140" s="1"/>
      <c r="P1140" s="1"/>
      <c r="AA1140" s="1"/>
      <c r="AB1140" s="1"/>
      <c r="AG1140" s="1"/>
      <c r="AH1140" s="1"/>
      <c r="AK1140" s="1"/>
      <c r="AL1140" s="1"/>
      <c r="AM1140" s="2"/>
      <c r="AN1140" s="2"/>
      <c r="AQ1140" s="1"/>
      <c r="BG1140" s="1"/>
    </row>
    <row r="1141" spans="15:59">
      <c r="O1141" s="1"/>
      <c r="P1141" s="1"/>
      <c r="AA1141" s="1"/>
      <c r="AB1141" s="1"/>
      <c r="AG1141" s="1"/>
      <c r="AH1141" s="1"/>
      <c r="AK1141" s="1"/>
      <c r="AL1141" s="1"/>
      <c r="AM1141" s="2"/>
      <c r="AN1141" s="2"/>
      <c r="AQ1141" s="1"/>
      <c r="BG1141" s="1"/>
    </row>
    <row r="1142" spans="15:59">
      <c r="O1142" s="1"/>
      <c r="P1142" s="1"/>
      <c r="AA1142" s="1"/>
      <c r="AB1142" s="1"/>
      <c r="AG1142" s="1"/>
      <c r="AH1142" s="1"/>
      <c r="AK1142" s="1"/>
      <c r="AL1142" s="1"/>
      <c r="AM1142" s="2"/>
      <c r="AN1142" s="2"/>
      <c r="AQ1142" s="1"/>
      <c r="BG1142" s="1"/>
    </row>
    <row r="1143" spans="15:59">
      <c r="O1143" s="1"/>
      <c r="P1143" s="1"/>
      <c r="AA1143" s="1"/>
      <c r="AB1143" s="1"/>
      <c r="AG1143" s="1"/>
      <c r="AH1143" s="1"/>
      <c r="AK1143" s="1"/>
      <c r="AL1143" s="1"/>
      <c r="AM1143" s="2"/>
      <c r="AN1143" s="2"/>
      <c r="AQ1143" s="1"/>
      <c r="BG1143" s="1"/>
    </row>
    <row r="1144" spans="15:59">
      <c r="O1144" s="1"/>
      <c r="P1144" s="1"/>
      <c r="AA1144" s="1"/>
      <c r="AB1144" s="1"/>
      <c r="AG1144" s="1"/>
      <c r="AH1144" s="1"/>
      <c r="AK1144" s="1"/>
      <c r="AL1144" s="1"/>
      <c r="AM1144" s="2"/>
      <c r="AN1144" s="2"/>
      <c r="AQ1144" s="1"/>
      <c r="BG1144" s="1"/>
    </row>
    <row r="1145" spans="15:59">
      <c r="O1145" s="1"/>
      <c r="P1145" s="1"/>
      <c r="AA1145" s="1"/>
      <c r="AB1145" s="1"/>
      <c r="AG1145" s="1"/>
      <c r="AH1145" s="1"/>
      <c r="AK1145" s="1"/>
      <c r="AL1145" s="1"/>
      <c r="AM1145" s="2"/>
      <c r="AN1145" s="2"/>
      <c r="AQ1145" s="1"/>
      <c r="BG1145" s="1"/>
    </row>
    <row r="1146" spans="15:59">
      <c r="O1146" s="1"/>
      <c r="P1146" s="1"/>
      <c r="AA1146" s="1"/>
      <c r="AB1146" s="1"/>
      <c r="AG1146" s="1"/>
      <c r="AH1146" s="1"/>
      <c r="AK1146" s="1"/>
      <c r="AL1146" s="1"/>
      <c r="AM1146" s="2"/>
      <c r="AN1146" s="2"/>
      <c r="AQ1146" s="1"/>
      <c r="BG1146" s="1"/>
    </row>
    <row r="1147" spans="15:59">
      <c r="O1147" s="1"/>
      <c r="P1147" s="1"/>
      <c r="AA1147" s="1"/>
      <c r="AB1147" s="1"/>
      <c r="AG1147" s="1"/>
      <c r="AH1147" s="1"/>
      <c r="AK1147" s="1"/>
      <c r="AL1147" s="1"/>
      <c r="AM1147" s="2"/>
      <c r="AN1147" s="2"/>
      <c r="AQ1147" s="1"/>
      <c r="BG1147" s="1"/>
    </row>
    <row r="1148" spans="15:59">
      <c r="O1148" s="1"/>
      <c r="P1148" s="1"/>
      <c r="AA1148" s="1"/>
      <c r="AB1148" s="1"/>
      <c r="AG1148" s="1"/>
      <c r="AH1148" s="1"/>
      <c r="AK1148" s="1"/>
      <c r="AL1148" s="1"/>
      <c r="AM1148" s="2"/>
      <c r="AN1148" s="2"/>
      <c r="AQ1148" s="1"/>
      <c r="BG1148" s="1"/>
    </row>
    <row r="1149" spans="15:59">
      <c r="O1149" s="1"/>
      <c r="P1149" s="1"/>
      <c r="AA1149" s="1"/>
      <c r="AB1149" s="1"/>
      <c r="AG1149" s="1"/>
      <c r="AH1149" s="1"/>
      <c r="AK1149" s="1"/>
      <c r="AL1149" s="1"/>
      <c r="AM1149" s="2"/>
      <c r="AN1149" s="2"/>
      <c r="AQ1149" s="1"/>
      <c r="BG1149" s="1"/>
    </row>
    <row r="1150" spans="15:59">
      <c r="O1150" s="1"/>
      <c r="P1150" s="1"/>
      <c r="AA1150" s="1"/>
      <c r="AB1150" s="1"/>
      <c r="AG1150" s="1"/>
      <c r="AH1150" s="1"/>
      <c r="AK1150" s="1"/>
      <c r="AL1150" s="1"/>
      <c r="AM1150" s="2"/>
      <c r="AN1150" s="2"/>
      <c r="AQ1150" s="1"/>
      <c r="BG1150" s="1"/>
    </row>
    <row r="1151" spans="15:59">
      <c r="O1151" s="1"/>
      <c r="P1151" s="1"/>
      <c r="AA1151" s="1"/>
      <c r="AB1151" s="1"/>
      <c r="AG1151" s="1"/>
      <c r="AH1151" s="1"/>
      <c r="AK1151" s="1"/>
      <c r="AL1151" s="1"/>
      <c r="AM1151" s="2"/>
      <c r="AN1151" s="2"/>
      <c r="AQ1151" s="1"/>
      <c r="BG1151" s="1"/>
    </row>
    <row r="1152" spans="15:59">
      <c r="O1152" s="1"/>
      <c r="P1152" s="1"/>
      <c r="AA1152" s="1"/>
      <c r="AB1152" s="1"/>
      <c r="AG1152" s="1"/>
      <c r="AH1152" s="1"/>
      <c r="AK1152" s="1"/>
      <c r="AL1152" s="1"/>
      <c r="AM1152" s="2"/>
      <c r="AN1152" s="2"/>
      <c r="AQ1152" s="1"/>
      <c r="BG1152" s="1"/>
    </row>
    <row r="1153" spans="15:59">
      <c r="O1153" s="1"/>
      <c r="P1153" s="1"/>
      <c r="AA1153" s="1"/>
      <c r="AB1153" s="1"/>
      <c r="AG1153" s="1"/>
      <c r="AH1153" s="1"/>
      <c r="AK1153" s="1"/>
      <c r="AL1153" s="1"/>
      <c r="AM1153" s="2"/>
      <c r="AN1153" s="2"/>
      <c r="AQ1153" s="1"/>
      <c r="BG1153" s="1"/>
    </row>
    <row r="1154" spans="15:59">
      <c r="O1154" s="1"/>
      <c r="P1154" s="1"/>
      <c r="AA1154" s="1"/>
      <c r="AB1154" s="1"/>
      <c r="AG1154" s="1"/>
      <c r="AH1154" s="1"/>
      <c r="AK1154" s="1"/>
      <c r="AL1154" s="1"/>
      <c r="AM1154" s="2"/>
      <c r="AN1154" s="2"/>
      <c r="AQ1154" s="1"/>
      <c r="BG1154" s="1"/>
    </row>
    <row r="1155" spans="15:59">
      <c r="O1155" s="1"/>
      <c r="P1155" s="1"/>
      <c r="AA1155" s="1"/>
      <c r="AB1155" s="1"/>
      <c r="AG1155" s="1"/>
      <c r="AH1155" s="1"/>
      <c r="AK1155" s="1"/>
      <c r="AL1155" s="1"/>
      <c r="AM1155" s="2"/>
      <c r="AN1155" s="2"/>
      <c r="AQ1155" s="1"/>
      <c r="BG1155" s="1"/>
    </row>
    <row r="1156" spans="15:59">
      <c r="O1156" s="1"/>
      <c r="P1156" s="1"/>
      <c r="AA1156" s="1"/>
      <c r="AB1156" s="1"/>
      <c r="AG1156" s="1"/>
      <c r="AH1156" s="1"/>
      <c r="AK1156" s="1"/>
      <c r="AL1156" s="1"/>
      <c r="AM1156" s="2"/>
      <c r="AN1156" s="2"/>
      <c r="AQ1156" s="1"/>
      <c r="BG1156" s="1"/>
    </row>
    <row r="1157" spans="15:59">
      <c r="O1157" s="1"/>
      <c r="P1157" s="1"/>
      <c r="AA1157" s="1"/>
      <c r="AB1157" s="1"/>
      <c r="AG1157" s="1"/>
      <c r="AH1157" s="1"/>
      <c r="AK1157" s="1"/>
      <c r="AL1157" s="1"/>
      <c r="AM1157" s="2"/>
      <c r="AN1157" s="2"/>
      <c r="AQ1157" s="1"/>
      <c r="BG1157" s="1"/>
    </row>
    <row r="1158" spans="15:59">
      <c r="O1158" s="1"/>
      <c r="P1158" s="1"/>
      <c r="AA1158" s="1"/>
      <c r="AB1158" s="1"/>
      <c r="AG1158" s="1"/>
      <c r="AH1158" s="1"/>
      <c r="AK1158" s="1"/>
      <c r="AL1158" s="1"/>
      <c r="AM1158" s="2"/>
      <c r="AN1158" s="2"/>
      <c r="AQ1158" s="1"/>
      <c r="BG1158" s="1"/>
    </row>
    <row r="1159" spans="15:59">
      <c r="O1159" s="1"/>
      <c r="P1159" s="1"/>
      <c r="AA1159" s="1"/>
      <c r="AB1159" s="1"/>
      <c r="AG1159" s="1"/>
      <c r="AH1159" s="1"/>
      <c r="AK1159" s="1"/>
      <c r="AL1159" s="1"/>
      <c r="AM1159" s="2"/>
      <c r="AN1159" s="2"/>
      <c r="AQ1159" s="1"/>
      <c r="BG1159" s="1"/>
    </row>
    <row r="1160" spans="15:59">
      <c r="O1160" s="1"/>
      <c r="P1160" s="1"/>
      <c r="AA1160" s="1"/>
      <c r="AB1160" s="1"/>
      <c r="AG1160" s="1"/>
      <c r="AH1160" s="1"/>
      <c r="AK1160" s="1"/>
      <c r="AL1160" s="1"/>
      <c r="AM1160" s="2"/>
      <c r="AN1160" s="2"/>
      <c r="AQ1160" s="1"/>
      <c r="BG1160" s="1"/>
    </row>
    <row r="1161" spans="15:59">
      <c r="O1161" s="1"/>
      <c r="P1161" s="1"/>
      <c r="AA1161" s="1"/>
      <c r="AB1161" s="1"/>
      <c r="AG1161" s="1"/>
      <c r="AH1161" s="1"/>
      <c r="AK1161" s="1"/>
      <c r="AL1161" s="1"/>
      <c r="AM1161" s="2"/>
      <c r="AN1161" s="2"/>
      <c r="AQ1161" s="1"/>
      <c r="BG1161" s="1"/>
    </row>
    <row r="1162" spans="15:59">
      <c r="O1162" s="1"/>
      <c r="P1162" s="1"/>
      <c r="AA1162" s="1"/>
      <c r="AB1162" s="1"/>
      <c r="AG1162" s="1"/>
      <c r="AH1162" s="1"/>
      <c r="AK1162" s="1"/>
      <c r="AL1162" s="1"/>
      <c r="AM1162" s="2"/>
      <c r="AN1162" s="2"/>
      <c r="AQ1162" s="1"/>
      <c r="BG1162" s="1"/>
    </row>
    <row r="1163" spans="15:59">
      <c r="O1163" s="1"/>
      <c r="P1163" s="1"/>
      <c r="AA1163" s="1"/>
      <c r="AB1163" s="1"/>
      <c r="AG1163" s="1"/>
      <c r="AH1163" s="1"/>
      <c r="AK1163" s="1"/>
      <c r="AL1163" s="1"/>
      <c r="AM1163" s="2"/>
      <c r="AN1163" s="2"/>
      <c r="AQ1163" s="1"/>
      <c r="BG1163" s="1"/>
    </row>
    <row r="1164" spans="15:59">
      <c r="O1164" s="1"/>
      <c r="P1164" s="1"/>
      <c r="AA1164" s="1"/>
      <c r="AB1164" s="1"/>
      <c r="AG1164" s="1"/>
      <c r="AH1164" s="1"/>
      <c r="AK1164" s="1"/>
      <c r="AL1164" s="1"/>
      <c r="AM1164" s="2"/>
      <c r="AN1164" s="2"/>
      <c r="AQ1164" s="1"/>
      <c r="BG1164" s="1"/>
    </row>
    <row r="1165" spans="15:59">
      <c r="O1165" s="1"/>
      <c r="P1165" s="1"/>
      <c r="AA1165" s="1"/>
      <c r="AB1165" s="1"/>
      <c r="AG1165" s="1"/>
      <c r="AH1165" s="1"/>
      <c r="AK1165" s="1"/>
      <c r="AL1165" s="1"/>
      <c r="AM1165" s="2"/>
      <c r="AN1165" s="2"/>
      <c r="AQ1165" s="1"/>
      <c r="BG1165" s="1"/>
    </row>
    <row r="1166" spans="15:59">
      <c r="O1166" s="1"/>
      <c r="P1166" s="1"/>
      <c r="AA1166" s="1"/>
      <c r="AB1166" s="1"/>
      <c r="AG1166" s="1"/>
      <c r="AH1166" s="1"/>
      <c r="AK1166" s="1"/>
      <c r="AL1166" s="1"/>
      <c r="AM1166" s="2"/>
      <c r="AN1166" s="2"/>
      <c r="AQ1166" s="1"/>
      <c r="BG1166" s="1"/>
    </row>
    <row r="1167" spans="15:59">
      <c r="O1167" s="1"/>
      <c r="P1167" s="1"/>
      <c r="AA1167" s="1"/>
      <c r="AB1167" s="1"/>
      <c r="AG1167" s="1"/>
      <c r="AH1167" s="1"/>
      <c r="AK1167" s="1"/>
      <c r="AL1167" s="1"/>
      <c r="AM1167" s="2"/>
      <c r="AN1167" s="2"/>
      <c r="AQ1167" s="1"/>
      <c r="BG1167" s="1"/>
    </row>
    <row r="1168" spans="15:59">
      <c r="O1168" s="1"/>
      <c r="P1168" s="1"/>
      <c r="AA1168" s="1"/>
      <c r="AB1168" s="1"/>
      <c r="AG1168" s="1"/>
      <c r="AH1168" s="1"/>
      <c r="AK1168" s="1"/>
      <c r="AL1168" s="1"/>
      <c r="AM1168" s="2"/>
      <c r="AN1168" s="2"/>
      <c r="AQ1168" s="1"/>
      <c r="BG1168" s="1"/>
    </row>
    <row r="1169" spans="15:59">
      <c r="O1169" s="1"/>
      <c r="P1169" s="1"/>
      <c r="AA1169" s="1"/>
      <c r="AB1169" s="1"/>
      <c r="AG1169" s="1"/>
      <c r="AH1169" s="1"/>
      <c r="AK1169" s="1"/>
      <c r="AL1169" s="1"/>
      <c r="AM1169" s="2"/>
      <c r="AN1169" s="2"/>
      <c r="AQ1169" s="1"/>
      <c r="BG1169" s="1"/>
    </row>
    <row r="1170" spans="15:59">
      <c r="O1170" s="1"/>
      <c r="P1170" s="1"/>
      <c r="AA1170" s="1"/>
      <c r="AB1170" s="1"/>
      <c r="AG1170" s="1"/>
      <c r="AH1170" s="1"/>
      <c r="AK1170" s="1"/>
      <c r="AL1170" s="1"/>
      <c r="AM1170" s="2"/>
      <c r="AN1170" s="2"/>
      <c r="AQ1170" s="1"/>
      <c r="BG1170" s="1"/>
    </row>
    <row r="1171" spans="15:59">
      <c r="O1171" s="1"/>
      <c r="P1171" s="1"/>
      <c r="AA1171" s="1"/>
      <c r="AB1171" s="1"/>
      <c r="AG1171" s="1"/>
      <c r="AH1171" s="1"/>
      <c r="AK1171" s="1"/>
      <c r="AL1171" s="1"/>
      <c r="AM1171" s="2"/>
      <c r="AN1171" s="2"/>
      <c r="AQ1171" s="1"/>
      <c r="BG1171" s="1"/>
    </row>
    <row r="1172" spans="15:59">
      <c r="O1172" s="1"/>
      <c r="P1172" s="1"/>
      <c r="AA1172" s="1"/>
      <c r="AB1172" s="1"/>
      <c r="AG1172" s="1"/>
      <c r="AH1172" s="1"/>
      <c r="AK1172" s="1"/>
      <c r="AL1172" s="1"/>
      <c r="AM1172" s="2"/>
      <c r="AN1172" s="2"/>
      <c r="AQ1172" s="1"/>
      <c r="BG1172" s="1"/>
    </row>
    <row r="1173" spans="15:59">
      <c r="O1173" s="1"/>
      <c r="P1173" s="1"/>
      <c r="AA1173" s="1"/>
      <c r="AB1173" s="1"/>
      <c r="AG1173" s="1"/>
      <c r="AH1173" s="1"/>
      <c r="AK1173" s="1"/>
      <c r="AL1173" s="1"/>
      <c r="AM1173" s="2"/>
      <c r="AN1173" s="2"/>
      <c r="AQ1173" s="1"/>
      <c r="BG1173" s="1"/>
    </row>
    <row r="1174" spans="15:59">
      <c r="O1174" s="1"/>
      <c r="P1174" s="1"/>
      <c r="AA1174" s="1"/>
      <c r="AB1174" s="1"/>
      <c r="AG1174" s="1"/>
      <c r="AH1174" s="1"/>
      <c r="AK1174" s="1"/>
      <c r="AL1174" s="1"/>
      <c r="AM1174" s="2"/>
      <c r="AN1174" s="2"/>
      <c r="AQ1174" s="1"/>
      <c r="BG1174" s="1"/>
    </row>
    <row r="1175" spans="15:59">
      <c r="O1175" s="1"/>
      <c r="P1175" s="1"/>
      <c r="AA1175" s="1"/>
      <c r="AB1175" s="1"/>
      <c r="AG1175" s="1"/>
      <c r="AH1175" s="1"/>
      <c r="AK1175" s="1"/>
      <c r="AL1175" s="1"/>
      <c r="AM1175" s="2"/>
      <c r="AN1175" s="2"/>
      <c r="AQ1175" s="1"/>
      <c r="BG1175" s="1"/>
    </row>
    <row r="1176" spans="15:59">
      <c r="O1176" s="1"/>
      <c r="P1176" s="1"/>
      <c r="AA1176" s="1"/>
      <c r="AB1176" s="1"/>
      <c r="AG1176" s="1"/>
      <c r="AH1176" s="1"/>
      <c r="AK1176" s="1"/>
      <c r="AL1176" s="1"/>
      <c r="AM1176" s="2"/>
      <c r="AN1176" s="2"/>
      <c r="AQ1176" s="1"/>
      <c r="BG1176" s="1"/>
    </row>
    <row r="1177" spans="15:59">
      <c r="O1177" s="1"/>
      <c r="P1177" s="1"/>
      <c r="AA1177" s="1"/>
      <c r="AB1177" s="1"/>
      <c r="AG1177" s="1"/>
      <c r="AH1177" s="1"/>
      <c r="AK1177" s="1"/>
      <c r="AL1177" s="1"/>
      <c r="AM1177" s="2"/>
      <c r="AN1177" s="2"/>
      <c r="AQ1177" s="1"/>
      <c r="BG1177" s="1"/>
    </row>
    <row r="1178" spans="15:59">
      <c r="O1178" s="1"/>
      <c r="P1178" s="1"/>
      <c r="AA1178" s="1"/>
      <c r="AB1178" s="1"/>
      <c r="AG1178" s="1"/>
      <c r="AH1178" s="1"/>
      <c r="AK1178" s="1"/>
      <c r="AL1178" s="1"/>
      <c r="AM1178" s="2"/>
      <c r="AN1178" s="2"/>
      <c r="AQ1178" s="1"/>
      <c r="BG1178" s="1"/>
    </row>
    <row r="1179" spans="15:59">
      <c r="O1179" s="1"/>
      <c r="P1179" s="1"/>
      <c r="AA1179" s="1"/>
      <c r="AB1179" s="1"/>
      <c r="AG1179" s="1"/>
      <c r="AH1179" s="1"/>
      <c r="AK1179" s="1"/>
      <c r="AL1179" s="1"/>
      <c r="AM1179" s="2"/>
      <c r="AN1179" s="2"/>
      <c r="AQ1179" s="1"/>
      <c r="BG1179" s="1"/>
    </row>
    <row r="1180" spans="15:59">
      <c r="O1180" s="1"/>
      <c r="P1180" s="1"/>
      <c r="AA1180" s="1"/>
      <c r="AB1180" s="1"/>
      <c r="AG1180" s="1"/>
      <c r="AH1180" s="1"/>
      <c r="AK1180" s="1"/>
      <c r="AL1180" s="1"/>
      <c r="AM1180" s="2"/>
      <c r="AN1180" s="2"/>
      <c r="AQ1180" s="1"/>
      <c r="BG1180" s="1"/>
    </row>
    <row r="1181" spans="15:59">
      <c r="O1181" s="1"/>
      <c r="P1181" s="1"/>
      <c r="AA1181" s="1"/>
      <c r="AB1181" s="1"/>
      <c r="AG1181" s="1"/>
      <c r="AH1181" s="1"/>
      <c r="AK1181" s="1"/>
      <c r="AL1181" s="1"/>
      <c r="AM1181" s="2"/>
      <c r="AN1181" s="2"/>
      <c r="AQ1181" s="1"/>
      <c r="BG1181" s="1"/>
    </row>
    <row r="1182" spans="15:59">
      <c r="O1182" s="1"/>
      <c r="P1182" s="1"/>
      <c r="AA1182" s="1"/>
      <c r="AB1182" s="1"/>
      <c r="AG1182" s="1"/>
      <c r="AH1182" s="1"/>
      <c r="AK1182" s="1"/>
      <c r="AL1182" s="1"/>
      <c r="AM1182" s="2"/>
      <c r="AN1182" s="2"/>
      <c r="AQ1182" s="1"/>
      <c r="BG1182" s="1"/>
    </row>
    <row r="1183" spans="15:59">
      <c r="O1183" s="1"/>
      <c r="P1183" s="1"/>
      <c r="AA1183" s="1"/>
      <c r="AB1183" s="1"/>
      <c r="AG1183" s="1"/>
      <c r="AH1183" s="1"/>
      <c r="AK1183" s="1"/>
      <c r="AL1183" s="1"/>
      <c r="AM1183" s="2"/>
      <c r="AN1183" s="2"/>
      <c r="AQ1183" s="1"/>
      <c r="BG1183" s="1"/>
    </row>
    <row r="1184" spans="15:59">
      <c r="O1184" s="1"/>
      <c r="P1184" s="1"/>
      <c r="AA1184" s="1"/>
      <c r="AB1184" s="1"/>
      <c r="AG1184" s="1"/>
      <c r="AH1184" s="1"/>
      <c r="AK1184" s="1"/>
      <c r="AL1184" s="1"/>
      <c r="AM1184" s="2"/>
      <c r="AN1184" s="2"/>
      <c r="AQ1184" s="1"/>
      <c r="BG1184" s="1"/>
    </row>
    <row r="1185" spans="15:59">
      <c r="O1185" s="1"/>
      <c r="P1185" s="1"/>
      <c r="AA1185" s="1"/>
      <c r="AB1185" s="1"/>
      <c r="AG1185" s="1"/>
      <c r="AH1185" s="1"/>
      <c r="AK1185" s="1"/>
      <c r="AL1185" s="1"/>
      <c r="AM1185" s="2"/>
      <c r="AN1185" s="2"/>
      <c r="AQ1185" s="1"/>
      <c r="BG1185" s="1"/>
    </row>
    <row r="1186" spans="15:59">
      <c r="O1186" s="1"/>
      <c r="P1186" s="1"/>
      <c r="AA1186" s="1"/>
      <c r="AB1186" s="1"/>
      <c r="AG1186" s="1"/>
      <c r="AH1186" s="1"/>
      <c r="AK1186" s="1"/>
      <c r="AL1186" s="1"/>
      <c r="AM1186" s="2"/>
      <c r="AN1186" s="2"/>
      <c r="AQ1186" s="1"/>
      <c r="BG1186" s="1"/>
    </row>
    <row r="1187" spans="15:59">
      <c r="O1187" s="1"/>
      <c r="P1187" s="1"/>
      <c r="AA1187" s="1"/>
      <c r="AB1187" s="1"/>
      <c r="AG1187" s="1"/>
      <c r="AH1187" s="1"/>
      <c r="AK1187" s="1"/>
      <c r="AL1187" s="1"/>
      <c r="AM1187" s="2"/>
      <c r="AN1187" s="2"/>
      <c r="AQ1187" s="1"/>
      <c r="BG1187" s="1"/>
    </row>
    <row r="1188" spans="15:59">
      <c r="O1188" s="1"/>
      <c r="P1188" s="1"/>
      <c r="AA1188" s="1"/>
      <c r="AB1188" s="1"/>
      <c r="AG1188" s="1"/>
      <c r="AH1188" s="1"/>
      <c r="AK1188" s="1"/>
      <c r="AL1188" s="1"/>
      <c r="AM1188" s="2"/>
      <c r="AN1188" s="2"/>
      <c r="AQ1188" s="1"/>
      <c r="BG1188" s="1"/>
    </row>
    <row r="1189" spans="15:59">
      <c r="O1189" s="1"/>
      <c r="P1189" s="1"/>
      <c r="AA1189" s="1"/>
      <c r="AB1189" s="1"/>
      <c r="AG1189" s="1"/>
      <c r="AH1189" s="1"/>
      <c r="AK1189" s="1"/>
      <c r="AL1189" s="1"/>
      <c r="AM1189" s="2"/>
      <c r="AN1189" s="2"/>
      <c r="AQ1189" s="1"/>
      <c r="BG1189" s="1"/>
    </row>
    <row r="1190" spans="15:59">
      <c r="O1190" s="1"/>
      <c r="P1190" s="1"/>
      <c r="AA1190" s="1"/>
      <c r="AB1190" s="1"/>
      <c r="AG1190" s="1"/>
      <c r="AH1190" s="1"/>
      <c r="AK1190" s="1"/>
      <c r="AL1190" s="1"/>
      <c r="AM1190" s="2"/>
      <c r="AN1190" s="2"/>
      <c r="AQ1190" s="1"/>
      <c r="BG1190" s="1"/>
    </row>
    <row r="1191" spans="15:59">
      <c r="O1191" s="1"/>
      <c r="P1191" s="1"/>
      <c r="AA1191" s="1"/>
      <c r="AB1191" s="1"/>
      <c r="AG1191" s="1"/>
      <c r="AH1191" s="1"/>
      <c r="AK1191" s="1"/>
      <c r="AL1191" s="1"/>
      <c r="AM1191" s="2"/>
      <c r="AN1191" s="2"/>
      <c r="AQ1191" s="1"/>
      <c r="BG1191" s="1"/>
    </row>
    <row r="1192" spans="15:59">
      <c r="O1192" s="1"/>
      <c r="P1192" s="1"/>
      <c r="AA1192" s="1"/>
      <c r="AB1192" s="1"/>
      <c r="AG1192" s="1"/>
      <c r="AH1192" s="1"/>
      <c r="AK1192" s="1"/>
      <c r="AL1192" s="1"/>
      <c r="AM1192" s="2"/>
      <c r="AN1192" s="2"/>
      <c r="AQ1192" s="1"/>
      <c r="BG1192" s="1"/>
    </row>
    <row r="1193" spans="15:59">
      <c r="O1193" s="1"/>
      <c r="P1193" s="1"/>
      <c r="AA1193" s="1"/>
      <c r="AB1193" s="1"/>
      <c r="AG1193" s="1"/>
      <c r="AH1193" s="1"/>
      <c r="AK1193" s="1"/>
      <c r="AL1193" s="1"/>
      <c r="AM1193" s="2"/>
      <c r="AN1193" s="2"/>
      <c r="AQ1193" s="1"/>
      <c r="BG1193" s="1"/>
    </row>
    <row r="1194" spans="15:59">
      <c r="O1194" s="1"/>
      <c r="P1194" s="1"/>
      <c r="AA1194" s="1"/>
      <c r="AB1194" s="1"/>
      <c r="AG1194" s="1"/>
      <c r="AH1194" s="1"/>
      <c r="AK1194" s="1"/>
      <c r="AL1194" s="1"/>
      <c r="AM1194" s="2"/>
      <c r="AN1194" s="2"/>
      <c r="AQ1194" s="1"/>
      <c r="BG1194" s="1"/>
    </row>
    <row r="1195" spans="15:59">
      <c r="O1195" s="1"/>
      <c r="P1195" s="1"/>
      <c r="AA1195" s="1"/>
      <c r="AB1195" s="1"/>
      <c r="AG1195" s="1"/>
      <c r="AH1195" s="1"/>
      <c r="AK1195" s="1"/>
      <c r="AL1195" s="1"/>
      <c r="AM1195" s="2"/>
      <c r="AN1195" s="2"/>
      <c r="AQ1195" s="1"/>
      <c r="BG1195" s="1"/>
    </row>
    <row r="1196" spans="15:59">
      <c r="O1196" s="1"/>
      <c r="P1196" s="1"/>
      <c r="AA1196" s="1"/>
      <c r="AB1196" s="1"/>
      <c r="AG1196" s="1"/>
      <c r="AH1196" s="1"/>
      <c r="AK1196" s="1"/>
      <c r="AL1196" s="1"/>
      <c r="AM1196" s="2"/>
      <c r="AN1196" s="2"/>
      <c r="AQ1196" s="1"/>
      <c r="BG1196" s="1"/>
    </row>
    <row r="1197" spans="15:59">
      <c r="O1197" s="1"/>
      <c r="P1197" s="1"/>
      <c r="AA1197" s="1"/>
      <c r="AB1197" s="1"/>
      <c r="AG1197" s="1"/>
      <c r="AH1197" s="1"/>
      <c r="AK1197" s="1"/>
      <c r="AL1197" s="1"/>
      <c r="AM1197" s="2"/>
      <c r="AN1197" s="2"/>
      <c r="AQ1197" s="1"/>
      <c r="BG1197" s="1"/>
    </row>
    <row r="1198" spans="15:59">
      <c r="O1198" s="1"/>
      <c r="P1198" s="1"/>
      <c r="AA1198" s="1"/>
      <c r="AB1198" s="1"/>
      <c r="AG1198" s="1"/>
      <c r="AH1198" s="1"/>
      <c r="AK1198" s="1"/>
      <c r="AL1198" s="1"/>
      <c r="AM1198" s="2"/>
      <c r="AN1198" s="2"/>
      <c r="AQ1198" s="1"/>
      <c r="BG1198" s="1"/>
    </row>
    <row r="1199" spans="15:59">
      <c r="O1199" s="1"/>
      <c r="P1199" s="1"/>
      <c r="AA1199" s="1"/>
      <c r="AB1199" s="1"/>
      <c r="AG1199" s="1"/>
      <c r="AH1199" s="1"/>
      <c r="AK1199" s="1"/>
      <c r="AL1199" s="1"/>
      <c r="AM1199" s="2"/>
      <c r="AN1199" s="2"/>
      <c r="AQ1199" s="1"/>
      <c r="BG1199" s="1"/>
    </row>
    <row r="1200" spans="15:59">
      <c r="O1200" s="1"/>
      <c r="P1200" s="1"/>
      <c r="AA1200" s="1"/>
      <c r="AB1200" s="1"/>
      <c r="AG1200" s="1"/>
      <c r="AH1200" s="1"/>
      <c r="AK1200" s="1"/>
      <c r="AL1200" s="1"/>
      <c r="AM1200" s="2"/>
      <c r="AN1200" s="2"/>
      <c r="AQ1200" s="1"/>
      <c r="BG1200" s="1"/>
    </row>
    <row r="1201" spans="15:59">
      <c r="O1201" s="1"/>
      <c r="P1201" s="1"/>
      <c r="AA1201" s="1"/>
      <c r="AB1201" s="1"/>
      <c r="AG1201" s="1"/>
      <c r="AH1201" s="1"/>
      <c r="AK1201" s="1"/>
      <c r="AL1201" s="1"/>
      <c r="AM1201" s="2"/>
      <c r="AN1201" s="2"/>
      <c r="AQ1201" s="1"/>
      <c r="BG1201" s="1"/>
    </row>
    <row r="1202" spans="15:59">
      <c r="O1202" s="1"/>
      <c r="P1202" s="1"/>
      <c r="AA1202" s="1"/>
      <c r="AB1202" s="1"/>
      <c r="AG1202" s="1"/>
      <c r="AH1202" s="1"/>
      <c r="AK1202" s="1"/>
      <c r="AL1202" s="1"/>
      <c r="AM1202" s="2"/>
      <c r="AN1202" s="2"/>
      <c r="AQ1202" s="1"/>
      <c r="BG1202" s="1"/>
    </row>
    <row r="1203" spans="15:59">
      <c r="O1203" s="1"/>
      <c r="P1203" s="1"/>
      <c r="AA1203" s="1"/>
      <c r="AB1203" s="1"/>
      <c r="AG1203" s="1"/>
      <c r="AH1203" s="1"/>
      <c r="AK1203" s="1"/>
      <c r="AL1203" s="1"/>
      <c r="AM1203" s="2"/>
      <c r="AN1203" s="2"/>
      <c r="AQ1203" s="1"/>
      <c r="BG1203" s="1"/>
    </row>
    <row r="1204" spans="15:59">
      <c r="O1204" s="1"/>
      <c r="P1204" s="1"/>
      <c r="AA1204" s="1"/>
      <c r="AB1204" s="1"/>
      <c r="AG1204" s="1"/>
      <c r="AH1204" s="1"/>
      <c r="AK1204" s="1"/>
      <c r="AL1204" s="1"/>
      <c r="AM1204" s="2"/>
      <c r="AN1204" s="2"/>
      <c r="AQ1204" s="1"/>
      <c r="BG1204" s="1"/>
    </row>
    <row r="1205" spans="15:59">
      <c r="O1205" s="1"/>
      <c r="P1205" s="1"/>
      <c r="AA1205" s="1"/>
      <c r="AB1205" s="1"/>
      <c r="AG1205" s="1"/>
      <c r="AH1205" s="1"/>
      <c r="AK1205" s="1"/>
      <c r="AL1205" s="1"/>
      <c r="AM1205" s="2"/>
      <c r="AN1205" s="2"/>
      <c r="AQ1205" s="1"/>
      <c r="BG1205" s="1"/>
    </row>
    <row r="1206" spans="15:59">
      <c r="O1206" s="1"/>
      <c r="P1206" s="1"/>
      <c r="AA1206" s="1"/>
      <c r="AB1206" s="1"/>
      <c r="AG1206" s="1"/>
      <c r="AH1206" s="1"/>
      <c r="AK1206" s="1"/>
      <c r="AL1206" s="1"/>
      <c r="AM1206" s="2"/>
      <c r="AN1206" s="2"/>
      <c r="AQ1206" s="1"/>
      <c r="BG1206" s="1"/>
    </row>
    <row r="1207" spans="15:59">
      <c r="O1207" s="1"/>
      <c r="P1207" s="1"/>
      <c r="AA1207" s="1"/>
      <c r="AB1207" s="1"/>
      <c r="AG1207" s="1"/>
      <c r="AH1207" s="1"/>
      <c r="AK1207" s="1"/>
      <c r="AL1207" s="1"/>
      <c r="AM1207" s="2"/>
      <c r="AN1207" s="2"/>
      <c r="AQ1207" s="1"/>
      <c r="BG1207" s="1"/>
    </row>
    <row r="1208" spans="15:59">
      <c r="O1208" s="1"/>
      <c r="P1208" s="1"/>
      <c r="AA1208" s="1"/>
      <c r="AB1208" s="1"/>
      <c r="AG1208" s="1"/>
      <c r="AH1208" s="1"/>
      <c r="AK1208" s="1"/>
      <c r="AL1208" s="1"/>
      <c r="AM1208" s="2"/>
      <c r="AN1208" s="2"/>
      <c r="AQ1208" s="1"/>
      <c r="BG1208" s="1"/>
    </row>
    <row r="1209" spans="15:59">
      <c r="O1209" s="1"/>
      <c r="P1209" s="1"/>
      <c r="AA1209" s="1"/>
      <c r="AB1209" s="1"/>
      <c r="AG1209" s="1"/>
      <c r="AH1209" s="1"/>
      <c r="AK1209" s="1"/>
      <c r="AL1209" s="1"/>
      <c r="AM1209" s="2"/>
      <c r="AN1209" s="2"/>
      <c r="AQ1209" s="1"/>
      <c r="BG1209" s="1"/>
    </row>
    <row r="1210" spans="15:59">
      <c r="O1210" s="1"/>
      <c r="P1210" s="1"/>
      <c r="AA1210" s="1"/>
      <c r="AB1210" s="1"/>
      <c r="AG1210" s="1"/>
      <c r="AH1210" s="1"/>
      <c r="AK1210" s="1"/>
      <c r="AL1210" s="1"/>
      <c r="AM1210" s="2"/>
      <c r="AN1210" s="2"/>
      <c r="AQ1210" s="1"/>
      <c r="BG1210" s="1"/>
    </row>
    <row r="1211" spans="15:59">
      <c r="O1211" s="1"/>
      <c r="P1211" s="1"/>
      <c r="AA1211" s="1"/>
      <c r="AB1211" s="1"/>
      <c r="AG1211" s="1"/>
      <c r="AH1211" s="1"/>
      <c r="AK1211" s="1"/>
      <c r="AL1211" s="1"/>
      <c r="AM1211" s="2"/>
      <c r="AN1211" s="2"/>
      <c r="AQ1211" s="1"/>
      <c r="BG1211" s="1"/>
    </row>
    <row r="1212" spans="15:59">
      <c r="O1212" s="1"/>
      <c r="P1212" s="1"/>
      <c r="AA1212" s="1"/>
      <c r="AB1212" s="1"/>
      <c r="AG1212" s="1"/>
      <c r="AH1212" s="1"/>
      <c r="AK1212" s="1"/>
      <c r="AL1212" s="1"/>
      <c r="AM1212" s="2"/>
      <c r="AN1212" s="2"/>
      <c r="AQ1212" s="1"/>
      <c r="BG1212" s="1"/>
    </row>
    <row r="1213" spans="15:59">
      <c r="O1213" s="1"/>
      <c r="P1213" s="1"/>
      <c r="AA1213" s="1"/>
      <c r="AB1213" s="1"/>
      <c r="AG1213" s="1"/>
      <c r="AH1213" s="1"/>
      <c r="AK1213" s="1"/>
      <c r="AL1213" s="1"/>
      <c r="AM1213" s="2"/>
      <c r="AN1213" s="2"/>
      <c r="AQ1213" s="1"/>
      <c r="BG1213" s="1"/>
    </row>
    <row r="1214" spans="15:59">
      <c r="O1214" s="1"/>
      <c r="P1214" s="1"/>
      <c r="AA1214" s="1"/>
      <c r="AB1214" s="1"/>
      <c r="AG1214" s="1"/>
      <c r="AH1214" s="1"/>
      <c r="AK1214" s="1"/>
      <c r="AL1214" s="1"/>
      <c r="AM1214" s="2"/>
      <c r="AN1214" s="2"/>
      <c r="AQ1214" s="1"/>
      <c r="BG1214" s="1"/>
    </row>
    <row r="1215" spans="15:59">
      <c r="O1215" s="1"/>
      <c r="P1215" s="1"/>
      <c r="AA1215" s="1"/>
      <c r="AB1215" s="1"/>
      <c r="AG1215" s="1"/>
      <c r="AH1215" s="1"/>
      <c r="AK1215" s="1"/>
      <c r="AL1215" s="1"/>
      <c r="AM1215" s="2"/>
      <c r="AN1215" s="2"/>
      <c r="AQ1215" s="1"/>
      <c r="BG1215" s="1"/>
    </row>
    <row r="1216" spans="15:59">
      <c r="O1216" s="1"/>
      <c r="P1216" s="1"/>
      <c r="AA1216" s="1"/>
      <c r="AB1216" s="1"/>
      <c r="AG1216" s="1"/>
      <c r="AH1216" s="1"/>
      <c r="AK1216" s="1"/>
      <c r="AL1216" s="1"/>
      <c r="AM1216" s="2"/>
      <c r="AN1216" s="2"/>
      <c r="AQ1216" s="1"/>
      <c r="BG1216" s="1"/>
    </row>
    <row r="1217" spans="15:59">
      <c r="O1217" s="1"/>
      <c r="P1217" s="1"/>
      <c r="AA1217" s="1"/>
      <c r="AB1217" s="1"/>
      <c r="AG1217" s="1"/>
      <c r="AH1217" s="1"/>
      <c r="AK1217" s="1"/>
      <c r="AL1217" s="1"/>
      <c r="AM1217" s="2"/>
      <c r="AN1217" s="2"/>
      <c r="AQ1217" s="1"/>
      <c r="BG1217" s="1"/>
    </row>
    <row r="1218" spans="15:59">
      <c r="O1218" s="1"/>
      <c r="P1218" s="1"/>
      <c r="AA1218" s="1"/>
      <c r="AB1218" s="1"/>
      <c r="AG1218" s="1"/>
      <c r="AH1218" s="1"/>
      <c r="AK1218" s="1"/>
      <c r="AL1218" s="1"/>
      <c r="AM1218" s="2"/>
      <c r="AN1218" s="2"/>
      <c r="AQ1218" s="1"/>
      <c r="BG1218" s="1"/>
    </row>
    <row r="1219" spans="15:59">
      <c r="O1219" s="1"/>
      <c r="P1219" s="1"/>
      <c r="AA1219" s="1"/>
      <c r="AB1219" s="1"/>
      <c r="AG1219" s="1"/>
      <c r="AH1219" s="1"/>
      <c r="AK1219" s="1"/>
      <c r="AL1219" s="1"/>
      <c r="AM1219" s="2"/>
      <c r="AN1219" s="2"/>
      <c r="AQ1219" s="1"/>
      <c r="BG1219" s="1"/>
    </row>
    <row r="1220" spans="15:59">
      <c r="O1220" s="1"/>
      <c r="P1220" s="1"/>
      <c r="AA1220" s="1"/>
      <c r="AB1220" s="1"/>
      <c r="AG1220" s="1"/>
      <c r="AH1220" s="1"/>
      <c r="AK1220" s="1"/>
      <c r="AL1220" s="1"/>
      <c r="AM1220" s="2"/>
      <c r="AN1220" s="2"/>
      <c r="AQ1220" s="1"/>
      <c r="BG1220" s="1"/>
    </row>
    <row r="1221" spans="15:59">
      <c r="O1221" s="1"/>
      <c r="P1221" s="1"/>
      <c r="AA1221" s="1"/>
      <c r="AB1221" s="1"/>
      <c r="AG1221" s="1"/>
      <c r="AH1221" s="1"/>
      <c r="AK1221" s="1"/>
      <c r="AL1221" s="1"/>
      <c r="AM1221" s="2"/>
      <c r="AN1221" s="2"/>
      <c r="AQ1221" s="1"/>
      <c r="BG1221" s="1"/>
    </row>
    <row r="1222" spans="15:59">
      <c r="O1222" s="1"/>
      <c r="P1222" s="1"/>
      <c r="AA1222" s="1"/>
      <c r="AB1222" s="1"/>
      <c r="AG1222" s="1"/>
      <c r="AH1222" s="1"/>
      <c r="AK1222" s="1"/>
      <c r="AL1222" s="1"/>
      <c r="AM1222" s="2"/>
      <c r="AN1222" s="2"/>
      <c r="AQ1222" s="1"/>
      <c r="BG1222" s="1"/>
    </row>
    <row r="1223" spans="15:59">
      <c r="O1223" s="1"/>
      <c r="P1223" s="1"/>
      <c r="AA1223" s="1"/>
      <c r="AB1223" s="1"/>
      <c r="AG1223" s="1"/>
      <c r="AH1223" s="1"/>
      <c r="AK1223" s="1"/>
      <c r="AL1223" s="1"/>
      <c r="AM1223" s="2"/>
      <c r="AN1223" s="2"/>
      <c r="AQ1223" s="1"/>
      <c r="BG1223" s="1"/>
    </row>
    <row r="1224" spans="15:59">
      <c r="O1224" s="1"/>
      <c r="P1224" s="1"/>
      <c r="AA1224" s="1"/>
      <c r="AB1224" s="1"/>
      <c r="AG1224" s="1"/>
      <c r="AH1224" s="1"/>
      <c r="AK1224" s="1"/>
      <c r="AL1224" s="1"/>
      <c r="AM1224" s="2"/>
      <c r="AN1224" s="2"/>
      <c r="AQ1224" s="1"/>
      <c r="BG1224" s="1"/>
    </row>
    <row r="1225" spans="15:59">
      <c r="O1225" s="1"/>
      <c r="P1225" s="1"/>
      <c r="AA1225" s="1"/>
      <c r="AB1225" s="1"/>
      <c r="AG1225" s="1"/>
      <c r="AH1225" s="1"/>
      <c r="AK1225" s="1"/>
      <c r="AL1225" s="1"/>
      <c r="AM1225" s="2"/>
      <c r="AN1225" s="2"/>
      <c r="AQ1225" s="1"/>
      <c r="BG1225" s="1"/>
    </row>
    <row r="1226" spans="15:59">
      <c r="O1226" s="1"/>
      <c r="P1226" s="1"/>
      <c r="AA1226" s="1"/>
      <c r="AB1226" s="1"/>
      <c r="AG1226" s="1"/>
      <c r="AH1226" s="1"/>
      <c r="AK1226" s="1"/>
      <c r="AL1226" s="1"/>
      <c r="AM1226" s="2"/>
      <c r="AN1226" s="2"/>
      <c r="AQ1226" s="1"/>
      <c r="BG1226" s="1"/>
    </row>
    <row r="1227" spans="15:59">
      <c r="O1227" s="1"/>
      <c r="P1227" s="1"/>
      <c r="AA1227" s="1"/>
      <c r="AB1227" s="1"/>
      <c r="AG1227" s="1"/>
      <c r="AH1227" s="1"/>
      <c r="AK1227" s="1"/>
      <c r="AL1227" s="1"/>
      <c r="AM1227" s="2"/>
      <c r="AN1227" s="2"/>
      <c r="AQ1227" s="1"/>
      <c r="BG1227" s="1"/>
    </row>
    <row r="1228" spans="15:59">
      <c r="O1228" s="1"/>
      <c r="P1228" s="1"/>
      <c r="AA1228" s="1"/>
      <c r="AB1228" s="1"/>
      <c r="AG1228" s="1"/>
      <c r="AH1228" s="1"/>
      <c r="AK1228" s="1"/>
      <c r="AL1228" s="1"/>
      <c r="AM1228" s="2"/>
      <c r="AN1228" s="2"/>
      <c r="AQ1228" s="1"/>
      <c r="BG1228" s="1"/>
    </row>
    <row r="1229" spans="15:59">
      <c r="O1229" s="1"/>
      <c r="P1229" s="1"/>
      <c r="AA1229" s="1"/>
      <c r="AB1229" s="1"/>
      <c r="AG1229" s="1"/>
      <c r="AH1229" s="1"/>
      <c r="AK1229" s="1"/>
      <c r="AL1229" s="1"/>
      <c r="AM1229" s="2"/>
      <c r="AN1229" s="2"/>
      <c r="AQ1229" s="1"/>
      <c r="BG1229" s="1"/>
    </row>
    <row r="1230" spans="15:59">
      <c r="O1230" s="1"/>
      <c r="P1230" s="1"/>
      <c r="AA1230" s="1"/>
      <c r="AB1230" s="1"/>
      <c r="AG1230" s="1"/>
      <c r="AH1230" s="1"/>
      <c r="AK1230" s="1"/>
      <c r="AL1230" s="1"/>
      <c r="AM1230" s="2"/>
      <c r="AN1230" s="2"/>
      <c r="AQ1230" s="1"/>
      <c r="BG1230" s="1"/>
    </row>
    <row r="1231" spans="15:59">
      <c r="O1231" s="1"/>
      <c r="P1231" s="1"/>
      <c r="AA1231" s="1"/>
      <c r="AB1231" s="1"/>
      <c r="AG1231" s="1"/>
      <c r="AH1231" s="1"/>
      <c r="AK1231" s="1"/>
      <c r="AL1231" s="1"/>
      <c r="AM1231" s="2"/>
      <c r="AN1231" s="2"/>
      <c r="AQ1231" s="1"/>
      <c r="BG1231" s="1"/>
    </row>
    <row r="1232" spans="15:59">
      <c r="O1232" s="1"/>
      <c r="P1232" s="1"/>
      <c r="AA1232" s="1"/>
      <c r="AB1232" s="1"/>
      <c r="AG1232" s="1"/>
      <c r="AH1232" s="1"/>
      <c r="AK1232" s="1"/>
      <c r="AL1232" s="1"/>
      <c r="AM1232" s="2"/>
      <c r="AN1232" s="2"/>
      <c r="AQ1232" s="1"/>
      <c r="BG1232" s="1"/>
    </row>
    <row r="1233" spans="15:59">
      <c r="O1233" s="1"/>
      <c r="P1233" s="1"/>
      <c r="AA1233" s="1"/>
      <c r="AB1233" s="1"/>
      <c r="AG1233" s="1"/>
      <c r="AH1233" s="1"/>
      <c r="AK1233" s="1"/>
      <c r="AL1233" s="1"/>
      <c r="AM1233" s="2"/>
      <c r="AN1233" s="2"/>
      <c r="AQ1233" s="1"/>
      <c r="BG1233" s="1"/>
    </row>
    <row r="1234" spans="15:59">
      <c r="O1234" s="1"/>
      <c r="P1234" s="1"/>
      <c r="AA1234" s="1"/>
      <c r="AB1234" s="1"/>
      <c r="AG1234" s="1"/>
      <c r="AH1234" s="1"/>
      <c r="AK1234" s="1"/>
      <c r="AL1234" s="1"/>
      <c r="AM1234" s="2"/>
      <c r="AN1234" s="2"/>
      <c r="AQ1234" s="1"/>
      <c r="BG1234" s="1"/>
    </row>
    <row r="1235" spans="15:59">
      <c r="O1235" s="1"/>
      <c r="P1235" s="1"/>
      <c r="AA1235" s="1"/>
      <c r="AB1235" s="1"/>
      <c r="AG1235" s="1"/>
      <c r="AH1235" s="1"/>
      <c r="AK1235" s="1"/>
      <c r="AL1235" s="1"/>
      <c r="AM1235" s="2"/>
      <c r="AN1235" s="2"/>
      <c r="AQ1235" s="1"/>
      <c r="BG1235" s="1"/>
    </row>
    <row r="1236" spans="15:59">
      <c r="O1236" s="1"/>
      <c r="P1236" s="1"/>
      <c r="AA1236" s="1"/>
      <c r="AB1236" s="1"/>
      <c r="AG1236" s="1"/>
      <c r="AH1236" s="1"/>
      <c r="AK1236" s="1"/>
      <c r="AL1236" s="1"/>
      <c r="AM1236" s="2"/>
      <c r="AN1236" s="2"/>
      <c r="AQ1236" s="1"/>
      <c r="BG1236" s="1"/>
    </row>
    <row r="1237" spans="15:59">
      <c r="O1237" s="1"/>
      <c r="P1237" s="1"/>
      <c r="AA1237" s="1"/>
      <c r="AB1237" s="1"/>
      <c r="AG1237" s="1"/>
      <c r="AH1237" s="1"/>
      <c r="AK1237" s="1"/>
      <c r="AL1237" s="1"/>
      <c r="AM1237" s="2"/>
      <c r="AN1237" s="2"/>
      <c r="AQ1237" s="1"/>
      <c r="BG1237" s="1"/>
    </row>
    <row r="1238" spans="15:59">
      <c r="O1238" s="1"/>
      <c r="P1238" s="1"/>
      <c r="AA1238" s="1"/>
      <c r="AB1238" s="1"/>
      <c r="AG1238" s="1"/>
      <c r="AH1238" s="1"/>
      <c r="AK1238" s="1"/>
      <c r="AL1238" s="1"/>
      <c r="AM1238" s="2"/>
      <c r="AN1238" s="2"/>
      <c r="AQ1238" s="1"/>
      <c r="BG1238" s="1"/>
    </row>
    <row r="1239" spans="15:59">
      <c r="O1239" s="1"/>
      <c r="P1239" s="1"/>
      <c r="AA1239" s="1"/>
      <c r="AB1239" s="1"/>
      <c r="AG1239" s="1"/>
      <c r="AH1239" s="1"/>
      <c r="AK1239" s="1"/>
      <c r="AL1239" s="1"/>
      <c r="AM1239" s="2"/>
      <c r="AN1239" s="2"/>
      <c r="AQ1239" s="1"/>
      <c r="BG1239" s="1"/>
    </row>
    <row r="1240" spans="15:59">
      <c r="O1240" s="1"/>
      <c r="P1240" s="1"/>
      <c r="AA1240" s="1"/>
      <c r="AB1240" s="1"/>
      <c r="AG1240" s="1"/>
      <c r="AH1240" s="1"/>
      <c r="AK1240" s="1"/>
      <c r="AL1240" s="1"/>
      <c r="AM1240" s="2"/>
      <c r="AN1240" s="2"/>
      <c r="AQ1240" s="1"/>
      <c r="BG1240" s="1"/>
    </row>
    <row r="1241" spans="15:59">
      <c r="O1241" s="1"/>
      <c r="P1241" s="1"/>
      <c r="AA1241" s="1"/>
      <c r="AB1241" s="1"/>
      <c r="AG1241" s="1"/>
      <c r="AH1241" s="1"/>
      <c r="AK1241" s="1"/>
      <c r="AL1241" s="1"/>
      <c r="AM1241" s="2"/>
      <c r="AN1241" s="2"/>
      <c r="AQ1241" s="1"/>
      <c r="BG1241" s="1"/>
    </row>
    <row r="1242" spans="15:59">
      <c r="O1242" s="1"/>
      <c r="P1242" s="1"/>
      <c r="AA1242" s="1"/>
      <c r="AB1242" s="1"/>
      <c r="AG1242" s="1"/>
      <c r="AH1242" s="1"/>
      <c r="AK1242" s="1"/>
      <c r="AL1242" s="1"/>
      <c r="AM1242" s="2"/>
      <c r="AN1242" s="2"/>
      <c r="AQ1242" s="1"/>
      <c r="BG1242" s="1"/>
    </row>
    <row r="1243" spans="15:59">
      <c r="O1243" s="1"/>
      <c r="P1243" s="1"/>
      <c r="AA1243" s="1"/>
      <c r="AB1243" s="1"/>
      <c r="AG1243" s="1"/>
      <c r="AH1243" s="1"/>
      <c r="AK1243" s="1"/>
      <c r="AL1243" s="1"/>
      <c r="AM1243" s="2"/>
      <c r="AN1243" s="2"/>
      <c r="AQ1243" s="1"/>
      <c r="BG1243" s="1"/>
    </row>
    <row r="1244" spans="15:59">
      <c r="O1244" s="1"/>
      <c r="P1244" s="1"/>
      <c r="AA1244" s="1"/>
      <c r="AB1244" s="1"/>
      <c r="AG1244" s="1"/>
      <c r="AH1244" s="1"/>
      <c r="AK1244" s="1"/>
      <c r="AL1244" s="1"/>
      <c r="AM1244" s="2"/>
      <c r="AN1244" s="2"/>
      <c r="AQ1244" s="1"/>
      <c r="BG1244" s="1"/>
    </row>
    <row r="1245" spans="15:59">
      <c r="O1245" s="1"/>
      <c r="P1245" s="1"/>
      <c r="AA1245" s="1"/>
      <c r="AB1245" s="1"/>
      <c r="AG1245" s="1"/>
      <c r="AH1245" s="1"/>
      <c r="AK1245" s="1"/>
      <c r="AL1245" s="1"/>
      <c r="AM1245" s="2"/>
      <c r="AN1245" s="2"/>
      <c r="AQ1245" s="1"/>
      <c r="BG1245" s="1"/>
    </row>
    <row r="1246" spans="15:59">
      <c r="O1246" s="1"/>
      <c r="P1246" s="1"/>
      <c r="AA1246" s="1"/>
      <c r="AB1246" s="1"/>
      <c r="AG1246" s="1"/>
      <c r="AH1246" s="1"/>
      <c r="AK1246" s="1"/>
      <c r="AL1246" s="1"/>
      <c r="AM1246" s="2"/>
      <c r="AN1246" s="2"/>
      <c r="AQ1246" s="1"/>
      <c r="BG1246" s="1"/>
    </row>
    <row r="1247" spans="15:59">
      <c r="O1247" s="1"/>
      <c r="P1247" s="1"/>
      <c r="AA1247" s="1"/>
      <c r="AB1247" s="1"/>
      <c r="AG1247" s="1"/>
      <c r="AH1247" s="1"/>
      <c r="AK1247" s="1"/>
      <c r="AL1247" s="1"/>
      <c r="AM1247" s="2"/>
      <c r="AN1247" s="2"/>
      <c r="AQ1247" s="1"/>
      <c r="BG1247" s="1"/>
    </row>
    <row r="1248" spans="15:59">
      <c r="O1248" s="1"/>
      <c r="P1248" s="1"/>
      <c r="AA1248" s="1"/>
      <c r="AB1248" s="1"/>
      <c r="AG1248" s="1"/>
      <c r="AH1248" s="1"/>
      <c r="AK1248" s="1"/>
      <c r="AL1248" s="1"/>
      <c r="AM1248" s="2"/>
      <c r="AN1248" s="2"/>
      <c r="AQ1248" s="1"/>
      <c r="BG1248" s="1"/>
    </row>
    <row r="1249" spans="15:59">
      <c r="O1249" s="1"/>
      <c r="P1249" s="1"/>
      <c r="AA1249" s="1"/>
      <c r="AB1249" s="1"/>
      <c r="AG1249" s="1"/>
      <c r="AH1249" s="1"/>
      <c r="AK1249" s="1"/>
      <c r="AL1249" s="1"/>
      <c r="AM1249" s="2"/>
      <c r="AN1249" s="2"/>
      <c r="AQ1249" s="1"/>
      <c r="BG1249" s="1"/>
    </row>
    <row r="1250" spans="15:59">
      <c r="O1250" s="1"/>
      <c r="P1250" s="1"/>
      <c r="AA1250" s="1"/>
      <c r="AB1250" s="1"/>
      <c r="AG1250" s="1"/>
      <c r="AH1250" s="1"/>
      <c r="AK1250" s="1"/>
      <c r="AL1250" s="1"/>
      <c r="AM1250" s="2"/>
      <c r="AN1250" s="2"/>
      <c r="AQ1250" s="1"/>
      <c r="BG1250" s="1"/>
    </row>
    <row r="1251" spans="15:59">
      <c r="O1251" s="1"/>
      <c r="P1251" s="1"/>
      <c r="AA1251" s="1"/>
      <c r="AB1251" s="1"/>
      <c r="AG1251" s="1"/>
      <c r="AH1251" s="1"/>
      <c r="AK1251" s="1"/>
      <c r="AL1251" s="1"/>
      <c r="AM1251" s="2"/>
      <c r="AN1251" s="2"/>
      <c r="AQ1251" s="1"/>
      <c r="BG1251" s="1"/>
    </row>
    <row r="1252" spans="15:59">
      <c r="O1252" s="1"/>
      <c r="P1252" s="1"/>
      <c r="AA1252" s="1"/>
      <c r="AB1252" s="1"/>
      <c r="AG1252" s="1"/>
      <c r="AH1252" s="1"/>
      <c r="AK1252" s="1"/>
      <c r="AL1252" s="1"/>
      <c r="AM1252" s="2"/>
      <c r="AN1252" s="2"/>
      <c r="AQ1252" s="1"/>
      <c r="BG1252" s="1"/>
    </row>
    <row r="1253" spans="15:59">
      <c r="O1253" s="1"/>
      <c r="P1253" s="1"/>
      <c r="AA1253" s="1"/>
      <c r="AB1253" s="1"/>
      <c r="AG1253" s="1"/>
      <c r="AH1253" s="1"/>
      <c r="AK1253" s="1"/>
      <c r="AL1253" s="1"/>
      <c r="AM1253" s="2"/>
      <c r="AN1253" s="2"/>
      <c r="AQ1253" s="1"/>
      <c r="BG1253" s="1"/>
    </row>
    <row r="1254" spans="15:59">
      <c r="O1254" s="1"/>
      <c r="P1254" s="1"/>
      <c r="AA1254" s="1"/>
      <c r="AB1254" s="1"/>
      <c r="AG1254" s="1"/>
      <c r="AH1254" s="1"/>
      <c r="AK1254" s="1"/>
      <c r="AL1254" s="1"/>
      <c r="AM1254" s="2"/>
      <c r="AN1254" s="2"/>
      <c r="AQ1254" s="1"/>
      <c r="BG1254" s="1"/>
    </row>
    <row r="1255" spans="15:59">
      <c r="O1255" s="1"/>
      <c r="P1255" s="1"/>
      <c r="AA1255" s="1"/>
      <c r="AB1255" s="1"/>
      <c r="AG1255" s="1"/>
      <c r="AH1255" s="1"/>
      <c r="AK1255" s="1"/>
      <c r="AL1255" s="1"/>
      <c r="AM1255" s="2"/>
      <c r="AN1255" s="2"/>
      <c r="AQ1255" s="1"/>
      <c r="BG1255" s="1"/>
    </row>
    <row r="1256" spans="15:59">
      <c r="O1256" s="1"/>
      <c r="P1256" s="1"/>
      <c r="AA1256" s="1"/>
      <c r="AB1256" s="1"/>
      <c r="AG1256" s="1"/>
      <c r="AH1256" s="1"/>
      <c r="AK1256" s="1"/>
      <c r="AL1256" s="1"/>
      <c r="AM1256" s="2"/>
      <c r="AN1256" s="2"/>
      <c r="AQ1256" s="1"/>
      <c r="BG1256" s="1"/>
    </row>
    <row r="1257" spans="15:59">
      <c r="O1257" s="1"/>
      <c r="P1257" s="1"/>
      <c r="AA1257" s="1"/>
      <c r="AB1257" s="1"/>
      <c r="AG1257" s="1"/>
      <c r="AH1257" s="1"/>
      <c r="AK1257" s="1"/>
      <c r="AL1257" s="1"/>
      <c r="AM1257" s="2"/>
      <c r="AN1257" s="2"/>
      <c r="AQ1257" s="1"/>
      <c r="BG1257" s="1"/>
    </row>
    <row r="1258" spans="15:59">
      <c r="O1258" s="1"/>
      <c r="P1258" s="1"/>
      <c r="AA1258" s="1"/>
      <c r="AB1258" s="1"/>
      <c r="AG1258" s="1"/>
      <c r="AH1258" s="1"/>
      <c r="AK1258" s="1"/>
      <c r="AL1258" s="1"/>
      <c r="AM1258" s="2"/>
      <c r="AN1258" s="2"/>
      <c r="AQ1258" s="1"/>
      <c r="BG1258" s="1"/>
    </row>
    <row r="1259" spans="15:59">
      <c r="O1259" s="1"/>
      <c r="P1259" s="1"/>
      <c r="AA1259" s="1"/>
      <c r="AB1259" s="1"/>
      <c r="AG1259" s="1"/>
      <c r="AH1259" s="1"/>
      <c r="AK1259" s="1"/>
      <c r="AL1259" s="1"/>
      <c r="AM1259" s="2"/>
      <c r="AN1259" s="2"/>
      <c r="AQ1259" s="1"/>
      <c r="BG1259" s="1"/>
    </row>
    <row r="1260" spans="15:59">
      <c r="O1260" s="1"/>
      <c r="P1260" s="1"/>
      <c r="AA1260" s="1"/>
      <c r="AB1260" s="1"/>
      <c r="AG1260" s="1"/>
      <c r="AH1260" s="1"/>
      <c r="AK1260" s="1"/>
      <c r="AL1260" s="1"/>
      <c r="AM1260" s="2"/>
      <c r="AN1260" s="2"/>
      <c r="AQ1260" s="1"/>
      <c r="BG1260" s="1"/>
    </row>
    <row r="1261" spans="15:59">
      <c r="O1261" s="1"/>
      <c r="P1261" s="1"/>
      <c r="AA1261" s="1"/>
      <c r="AB1261" s="1"/>
      <c r="AG1261" s="1"/>
      <c r="AH1261" s="1"/>
      <c r="AK1261" s="1"/>
      <c r="AL1261" s="1"/>
      <c r="AM1261" s="2"/>
      <c r="AN1261" s="2"/>
      <c r="AQ1261" s="1"/>
      <c r="BG1261" s="1"/>
    </row>
    <row r="1262" spans="15:59">
      <c r="O1262" s="1"/>
      <c r="P1262" s="1"/>
      <c r="AA1262" s="1"/>
      <c r="AB1262" s="1"/>
      <c r="AG1262" s="1"/>
      <c r="AH1262" s="1"/>
      <c r="AK1262" s="1"/>
      <c r="AL1262" s="1"/>
      <c r="AM1262" s="2"/>
      <c r="AN1262" s="2"/>
      <c r="AQ1262" s="1"/>
      <c r="BG1262" s="1"/>
    </row>
    <row r="1263" spans="15:59">
      <c r="O1263" s="1"/>
      <c r="P1263" s="1"/>
      <c r="AA1263" s="1"/>
      <c r="AB1263" s="1"/>
      <c r="AG1263" s="1"/>
      <c r="AH1263" s="1"/>
      <c r="AK1263" s="1"/>
      <c r="AL1263" s="1"/>
      <c r="AM1263" s="2"/>
      <c r="AN1263" s="2"/>
      <c r="AQ1263" s="1"/>
      <c r="BG1263" s="1"/>
    </row>
    <row r="1264" spans="15:59">
      <c r="O1264" s="1"/>
      <c r="P1264" s="1"/>
      <c r="AA1264" s="1"/>
      <c r="AB1264" s="1"/>
      <c r="AG1264" s="1"/>
      <c r="AH1264" s="1"/>
      <c r="AK1264" s="1"/>
      <c r="AL1264" s="1"/>
      <c r="AM1264" s="2"/>
      <c r="AN1264" s="2"/>
      <c r="AQ1264" s="1"/>
      <c r="BG1264" s="1"/>
    </row>
    <row r="1265" spans="15:59">
      <c r="O1265" s="1"/>
      <c r="P1265" s="1"/>
      <c r="AA1265" s="1"/>
      <c r="AB1265" s="1"/>
      <c r="AG1265" s="1"/>
      <c r="AH1265" s="1"/>
      <c r="AK1265" s="1"/>
      <c r="AL1265" s="1"/>
      <c r="AM1265" s="2"/>
      <c r="AN1265" s="2"/>
      <c r="AQ1265" s="1"/>
      <c r="BG1265" s="1"/>
    </row>
    <row r="1266" spans="15:59">
      <c r="O1266" s="1"/>
      <c r="P1266" s="1"/>
      <c r="AA1266" s="1"/>
      <c r="AB1266" s="1"/>
      <c r="AG1266" s="1"/>
      <c r="AH1266" s="1"/>
      <c r="AK1266" s="1"/>
      <c r="AL1266" s="1"/>
      <c r="AM1266" s="2"/>
      <c r="AN1266" s="2"/>
      <c r="AQ1266" s="1"/>
      <c r="BG1266" s="1"/>
    </row>
    <row r="1267" spans="15:59">
      <c r="O1267" s="1"/>
      <c r="P1267" s="1"/>
      <c r="AA1267" s="1"/>
      <c r="AB1267" s="1"/>
      <c r="AG1267" s="1"/>
      <c r="AH1267" s="1"/>
      <c r="AK1267" s="1"/>
      <c r="AL1267" s="1"/>
      <c r="AM1267" s="2"/>
      <c r="AN1267" s="2"/>
      <c r="AQ1267" s="1"/>
      <c r="BG1267" s="1"/>
    </row>
    <row r="1268" spans="15:59">
      <c r="O1268" s="1"/>
      <c r="P1268" s="1"/>
      <c r="AA1268" s="1"/>
      <c r="AB1268" s="1"/>
      <c r="AG1268" s="1"/>
      <c r="AH1268" s="1"/>
      <c r="AK1268" s="1"/>
      <c r="AL1268" s="1"/>
      <c r="AM1268" s="2"/>
      <c r="AN1268" s="2"/>
      <c r="AQ1268" s="1"/>
      <c r="BG1268" s="1"/>
    </row>
    <row r="1269" spans="15:59">
      <c r="O1269" s="1"/>
      <c r="P1269" s="1"/>
      <c r="AA1269" s="1"/>
      <c r="AB1269" s="1"/>
      <c r="AG1269" s="1"/>
      <c r="AH1269" s="1"/>
      <c r="AK1269" s="1"/>
      <c r="AL1269" s="1"/>
      <c r="AM1269" s="2"/>
      <c r="AN1269" s="2"/>
      <c r="AQ1269" s="1"/>
      <c r="BG1269" s="1"/>
    </row>
    <row r="1270" spans="15:59">
      <c r="O1270" s="1"/>
      <c r="P1270" s="1"/>
      <c r="AA1270" s="1"/>
      <c r="AB1270" s="1"/>
      <c r="AG1270" s="1"/>
      <c r="AH1270" s="1"/>
      <c r="AK1270" s="1"/>
      <c r="AL1270" s="1"/>
      <c r="AM1270" s="2"/>
      <c r="AN1270" s="2"/>
      <c r="AQ1270" s="1"/>
      <c r="BG1270" s="1"/>
    </row>
    <row r="1271" spans="15:59">
      <c r="O1271" s="1"/>
      <c r="P1271" s="1"/>
      <c r="AA1271" s="1"/>
      <c r="AB1271" s="1"/>
      <c r="AG1271" s="1"/>
      <c r="AH1271" s="1"/>
      <c r="AK1271" s="1"/>
      <c r="AL1271" s="1"/>
      <c r="AM1271" s="2"/>
      <c r="AN1271" s="2"/>
      <c r="AQ1271" s="1"/>
      <c r="BG1271" s="1"/>
    </row>
    <row r="1272" spans="15:59">
      <c r="O1272" s="1"/>
      <c r="P1272" s="1"/>
      <c r="AA1272" s="1"/>
      <c r="AB1272" s="1"/>
      <c r="AG1272" s="1"/>
      <c r="AH1272" s="1"/>
      <c r="AK1272" s="1"/>
      <c r="AL1272" s="1"/>
      <c r="AM1272" s="2"/>
      <c r="AN1272" s="2"/>
      <c r="AQ1272" s="1"/>
      <c r="BG1272" s="1"/>
    </row>
    <row r="1273" spans="15:59">
      <c r="O1273" s="1"/>
      <c r="P1273" s="1"/>
      <c r="AA1273" s="1"/>
      <c r="AB1273" s="1"/>
      <c r="AG1273" s="1"/>
      <c r="AH1273" s="1"/>
      <c r="AK1273" s="1"/>
      <c r="AL1273" s="1"/>
      <c r="AM1273" s="2"/>
      <c r="AN1273" s="2"/>
      <c r="AQ1273" s="1"/>
      <c r="BG1273" s="1"/>
    </row>
    <row r="1274" spans="15:59">
      <c r="O1274" s="1"/>
      <c r="P1274" s="1"/>
      <c r="AA1274" s="1"/>
      <c r="AB1274" s="1"/>
      <c r="AG1274" s="1"/>
      <c r="AH1274" s="1"/>
      <c r="AK1274" s="1"/>
      <c r="AL1274" s="1"/>
      <c r="AM1274" s="2"/>
      <c r="AN1274" s="2"/>
      <c r="AQ1274" s="1"/>
      <c r="BG1274" s="1"/>
    </row>
    <row r="1275" spans="15:59">
      <c r="O1275" s="1"/>
      <c r="P1275" s="1"/>
      <c r="AA1275" s="1"/>
      <c r="AB1275" s="1"/>
      <c r="AG1275" s="1"/>
      <c r="AH1275" s="1"/>
      <c r="AK1275" s="1"/>
      <c r="AL1275" s="1"/>
      <c r="AM1275" s="2"/>
      <c r="AN1275" s="2"/>
      <c r="AQ1275" s="1"/>
      <c r="BG1275" s="1"/>
    </row>
    <row r="1276" spans="15:59">
      <c r="O1276" s="1"/>
      <c r="P1276" s="1"/>
      <c r="AA1276" s="1"/>
      <c r="AB1276" s="1"/>
      <c r="AG1276" s="1"/>
      <c r="AH1276" s="1"/>
      <c r="AK1276" s="1"/>
      <c r="AL1276" s="1"/>
      <c r="AM1276" s="2"/>
      <c r="AN1276" s="2"/>
      <c r="AQ1276" s="1"/>
      <c r="BG1276" s="1"/>
    </row>
    <row r="1277" spans="15:59">
      <c r="O1277" s="1"/>
      <c r="P1277" s="1"/>
      <c r="AA1277" s="1"/>
      <c r="AB1277" s="1"/>
      <c r="AG1277" s="1"/>
      <c r="AH1277" s="1"/>
      <c r="AK1277" s="1"/>
      <c r="AL1277" s="1"/>
      <c r="AM1277" s="2"/>
      <c r="AN1277" s="2"/>
      <c r="AQ1277" s="1"/>
      <c r="BG1277" s="1"/>
    </row>
    <row r="1278" spans="15:59">
      <c r="O1278" s="1"/>
      <c r="P1278" s="1"/>
      <c r="AA1278" s="1"/>
      <c r="AB1278" s="1"/>
      <c r="AG1278" s="1"/>
      <c r="AH1278" s="1"/>
      <c r="AK1278" s="1"/>
      <c r="AL1278" s="1"/>
      <c r="AM1278" s="2"/>
      <c r="AN1278" s="2"/>
      <c r="AQ1278" s="1"/>
      <c r="BG1278" s="1"/>
    </row>
    <row r="1279" spans="15:59">
      <c r="O1279" s="1"/>
      <c r="P1279" s="1"/>
      <c r="AA1279" s="1"/>
      <c r="AB1279" s="1"/>
      <c r="AG1279" s="1"/>
      <c r="AH1279" s="1"/>
      <c r="AK1279" s="1"/>
      <c r="AL1279" s="1"/>
      <c r="AM1279" s="2"/>
      <c r="AN1279" s="2"/>
      <c r="AQ1279" s="1"/>
      <c r="BG1279" s="1"/>
    </row>
    <row r="1280" spans="15:59">
      <c r="O1280" s="1"/>
      <c r="P1280" s="1"/>
      <c r="AA1280" s="1"/>
      <c r="AB1280" s="1"/>
      <c r="AG1280" s="1"/>
      <c r="AH1280" s="1"/>
      <c r="AK1280" s="1"/>
      <c r="AL1280" s="1"/>
      <c r="AM1280" s="2"/>
      <c r="AN1280" s="2"/>
      <c r="AQ1280" s="1"/>
      <c r="BG1280" s="1"/>
    </row>
    <row r="1281" spans="15:59">
      <c r="O1281" s="1"/>
      <c r="P1281" s="1"/>
      <c r="AA1281" s="1"/>
      <c r="AB1281" s="1"/>
      <c r="AG1281" s="1"/>
      <c r="AH1281" s="1"/>
      <c r="AK1281" s="1"/>
      <c r="AL1281" s="1"/>
      <c r="AM1281" s="2"/>
      <c r="AN1281" s="2"/>
      <c r="AQ1281" s="1"/>
      <c r="BG1281" s="1"/>
    </row>
    <row r="1282" spans="15:59">
      <c r="O1282" s="1"/>
      <c r="P1282" s="1"/>
      <c r="AA1282" s="1"/>
      <c r="AB1282" s="1"/>
      <c r="AG1282" s="1"/>
      <c r="AH1282" s="1"/>
      <c r="AK1282" s="1"/>
      <c r="AL1282" s="1"/>
      <c r="AM1282" s="2"/>
      <c r="AN1282" s="2"/>
      <c r="AQ1282" s="1"/>
      <c r="BG1282" s="1"/>
    </row>
    <row r="1283" spans="15:59">
      <c r="O1283" s="1"/>
      <c r="P1283" s="1"/>
      <c r="AA1283" s="1"/>
      <c r="AB1283" s="1"/>
      <c r="AG1283" s="1"/>
      <c r="AH1283" s="1"/>
      <c r="AK1283" s="1"/>
      <c r="AL1283" s="1"/>
      <c r="AM1283" s="2"/>
      <c r="AN1283" s="2"/>
      <c r="AQ1283" s="1"/>
      <c r="BG1283" s="1"/>
    </row>
    <row r="1284" spans="15:59">
      <c r="O1284" s="1"/>
      <c r="P1284" s="1"/>
      <c r="AA1284" s="1"/>
      <c r="AB1284" s="1"/>
      <c r="AG1284" s="1"/>
      <c r="AH1284" s="1"/>
      <c r="AK1284" s="1"/>
      <c r="AL1284" s="1"/>
      <c r="AM1284" s="2"/>
      <c r="AN1284" s="2"/>
      <c r="AQ1284" s="1"/>
      <c r="BG1284" s="1"/>
    </row>
    <row r="1285" spans="15:59">
      <c r="O1285" s="1"/>
      <c r="P1285" s="1"/>
      <c r="AA1285" s="1"/>
      <c r="AB1285" s="1"/>
      <c r="AG1285" s="1"/>
      <c r="AH1285" s="1"/>
      <c r="AK1285" s="1"/>
      <c r="AL1285" s="1"/>
      <c r="AM1285" s="2"/>
      <c r="AN1285" s="2"/>
      <c r="AQ1285" s="1"/>
      <c r="BG1285" s="1"/>
    </row>
    <row r="1286" spans="15:59">
      <c r="O1286" s="1"/>
      <c r="P1286" s="1"/>
      <c r="AA1286" s="1"/>
      <c r="AB1286" s="1"/>
      <c r="AG1286" s="1"/>
      <c r="AH1286" s="1"/>
      <c r="AK1286" s="1"/>
      <c r="AL1286" s="1"/>
      <c r="AM1286" s="2"/>
      <c r="AN1286" s="2"/>
      <c r="AQ1286" s="1"/>
      <c r="BG1286" s="1"/>
    </row>
    <row r="1287" spans="15:59">
      <c r="O1287" s="1"/>
      <c r="P1287" s="1"/>
      <c r="AA1287" s="1"/>
      <c r="AB1287" s="1"/>
      <c r="AG1287" s="1"/>
      <c r="AH1287" s="1"/>
      <c r="AK1287" s="1"/>
      <c r="AL1287" s="1"/>
      <c r="AM1287" s="2"/>
      <c r="AN1287" s="2"/>
      <c r="AQ1287" s="1"/>
      <c r="BG1287" s="1"/>
    </row>
    <row r="1288" spans="15:59">
      <c r="O1288" s="1"/>
      <c r="P1288" s="1"/>
      <c r="AA1288" s="1"/>
      <c r="AB1288" s="1"/>
      <c r="AG1288" s="1"/>
      <c r="AH1288" s="1"/>
      <c r="AK1288" s="1"/>
      <c r="AL1288" s="1"/>
      <c r="AM1288" s="2"/>
      <c r="AN1288" s="2"/>
      <c r="AQ1288" s="1"/>
      <c r="BG1288" s="1"/>
    </row>
    <row r="1289" spans="15:59">
      <c r="O1289" s="1"/>
      <c r="P1289" s="1"/>
      <c r="AA1289" s="1"/>
      <c r="AB1289" s="1"/>
      <c r="AG1289" s="1"/>
      <c r="AH1289" s="1"/>
      <c r="AK1289" s="1"/>
      <c r="AL1289" s="1"/>
      <c r="AM1289" s="2"/>
      <c r="AN1289" s="2"/>
      <c r="AQ1289" s="1"/>
      <c r="BG1289" s="1"/>
    </row>
    <row r="1290" spans="15:59">
      <c r="O1290" s="1"/>
      <c r="P1290" s="1"/>
      <c r="AA1290" s="1"/>
      <c r="AB1290" s="1"/>
      <c r="AG1290" s="1"/>
      <c r="AH1290" s="1"/>
      <c r="AK1290" s="1"/>
      <c r="AL1290" s="1"/>
      <c r="AM1290" s="2"/>
      <c r="AN1290" s="2"/>
      <c r="AQ1290" s="1"/>
      <c r="BG1290" s="1"/>
    </row>
    <row r="1291" spans="15:59">
      <c r="O1291" s="1"/>
      <c r="P1291" s="1"/>
      <c r="AA1291" s="1"/>
      <c r="AB1291" s="1"/>
      <c r="AG1291" s="1"/>
      <c r="AH1291" s="1"/>
      <c r="AK1291" s="1"/>
      <c r="AL1291" s="1"/>
      <c r="AM1291" s="2"/>
      <c r="AN1291" s="2"/>
      <c r="AQ1291" s="1"/>
      <c r="BG1291" s="1"/>
    </row>
    <row r="1292" spans="15:59">
      <c r="O1292" s="1"/>
      <c r="P1292" s="1"/>
      <c r="AA1292" s="1"/>
      <c r="AB1292" s="1"/>
      <c r="AG1292" s="1"/>
      <c r="AH1292" s="1"/>
      <c r="AK1292" s="1"/>
      <c r="AL1292" s="1"/>
      <c r="AM1292" s="2"/>
      <c r="AN1292" s="2"/>
      <c r="AQ1292" s="1"/>
      <c r="BG1292" s="1"/>
    </row>
    <row r="1293" spans="15:59">
      <c r="O1293" s="1"/>
      <c r="P1293" s="1"/>
      <c r="AA1293" s="1"/>
      <c r="AB1293" s="1"/>
      <c r="AG1293" s="1"/>
      <c r="AH1293" s="1"/>
      <c r="AK1293" s="1"/>
      <c r="AL1293" s="1"/>
      <c r="AM1293" s="2"/>
      <c r="AN1293" s="2"/>
      <c r="AQ1293" s="1"/>
      <c r="BG1293" s="1"/>
    </row>
    <row r="1294" spans="15:59">
      <c r="O1294" s="1"/>
      <c r="P1294" s="1"/>
      <c r="AA1294" s="1"/>
      <c r="AB1294" s="1"/>
      <c r="AG1294" s="1"/>
      <c r="AH1294" s="1"/>
      <c r="AK1294" s="1"/>
      <c r="AL1294" s="1"/>
      <c r="AM1294" s="2"/>
      <c r="AN1294" s="2"/>
      <c r="AQ1294" s="1"/>
      <c r="BG1294" s="1"/>
    </row>
    <row r="1295" spans="15:59">
      <c r="O1295" s="1"/>
      <c r="P1295" s="1"/>
      <c r="AA1295" s="1"/>
      <c r="AB1295" s="1"/>
      <c r="AG1295" s="1"/>
      <c r="AH1295" s="1"/>
      <c r="AK1295" s="1"/>
      <c r="AL1295" s="1"/>
      <c r="AM1295" s="2"/>
      <c r="AN1295" s="2"/>
      <c r="AQ1295" s="1"/>
      <c r="BG1295" s="1"/>
    </row>
    <row r="1296" spans="15:59">
      <c r="O1296" s="1"/>
      <c r="P1296" s="1"/>
      <c r="AA1296" s="1"/>
      <c r="AB1296" s="1"/>
      <c r="AG1296" s="1"/>
      <c r="AH1296" s="1"/>
      <c r="AK1296" s="1"/>
      <c r="AL1296" s="1"/>
      <c r="AM1296" s="2"/>
      <c r="AN1296" s="2"/>
      <c r="AQ1296" s="1"/>
      <c r="BG1296" s="1"/>
    </row>
    <row r="1297" spans="15:59">
      <c r="O1297" s="1"/>
      <c r="P1297" s="1"/>
      <c r="AA1297" s="1"/>
      <c r="AB1297" s="1"/>
      <c r="AG1297" s="1"/>
      <c r="AH1297" s="1"/>
      <c r="AK1297" s="1"/>
      <c r="AL1297" s="1"/>
      <c r="AM1297" s="2"/>
      <c r="AN1297" s="2"/>
      <c r="AQ1297" s="1"/>
      <c r="BG1297" s="1"/>
    </row>
    <row r="1298" spans="15:59">
      <c r="O1298" s="1"/>
      <c r="P1298" s="1"/>
      <c r="AA1298" s="1"/>
      <c r="AB1298" s="1"/>
      <c r="AG1298" s="1"/>
      <c r="AH1298" s="1"/>
      <c r="AK1298" s="1"/>
      <c r="AL1298" s="1"/>
      <c r="AM1298" s="2"/>
      <c r="AN1298" s="2"/>
      <c r="AQ1298" s="1"/>
      <c r="BG1298" s="1"/>
    </row>
    <row r="1299" spans="15:59">
      <c r="O1299" s="1"/>
      <c r="P1299" s="1"/>
      <c r="AA1299" s="1"/>
      <c r="AB1299" s="1"/>
      <c r="AG1299" s="1"/>
      <c r="AH1299" s="1"/>
      <c r="AK1299" s="1"/>
      <c r="AL1299" s="1"/>
      <c r="AM1299" s="2"/>
      <c r="AN1299" s="2"/>
      <c r="AQ1299" s="1"/>
      <c r="BG1299" s="1"/>
    </row>
    <row r="1300" spans="15:59">
      <c r="O1300" s="1"/>
      <c r="P1300" s="1"/>
      <c r="AA1300" s="1"/>
      <c r="AB1300" s="1"/>
      <c r="AG1300" s="1"/>
      <c r="AH1300" s="1"/>
      <c r="AK1300" s="1"/>
      <c r="AL1300" s="1"/>
      <c r="AM1300" s="2"/>
      <c r="AN1300" s="2"/>
      <c r="AQ1300" s="1"/>
      <c r="BG1300" s="1"/>
    </row>
    <row r="1301" spans="15:59">
      <c r="O1301" s="1"/>
      <c r="P1301" s="1"/>
      <c r="AA1301" s="1"/>
      <c r="AB1301" s="1"/>
      <c r="AG1301" s="1"/>
      <c r="AH1301" s="1"/>
      <c r="AK1301" s="1"/>
      <c r="AL1301" s="1"/>
      <c r="AM1301" s="2"/>
      <c r="AN1301" s="2"/>
      <c r="AQ1301" s="1"/>
      <c r="BG1301" s="1"/>
    </row>
    <row r="1302" spans="15:59">
      <c r="O1302" s="1"/>
      <c r="P1302" s="1"/>
      <c r="AA1302" s="1"/>
      <c r="AB1302" s="1"/>
      <c r="AG1302" s="1"/>
      <c r="AH1302" s="1"/>
      <c r="AK1302" s="1"/>
      <c r="AL1302" s="1"/>
      <c r="AM1302" s="2"/>
      <c r="AN1302" s="2"/>
      <c r="AQ1302" s="1"/>
      <c r="BG1302" s="1"/>
    </row>
    <row r="1303" spans="15:59">
      <c r="O1303" s="1"/>
      <c r="P1303" s="1"/>
      <c r="AA1303" s="1"/>
      <c r="AB1303" s="1"/>
      <c r="AG1303" s="1"/>
      <c r="AH1303" s="1"/>
      <c r="AK1303" s="1"/>
      <c r="AL1303" s="1"/>
      <c r="AM1303" s="2"/>
      <c r="AN1303" s="2"/>
      <c r="AQ1303" s="1"/>
      <c r="BG1303" s="1"/>
    </row>
    <row r="1304" spans="15:59">
      <c r="O1304" s="1"/>
      <c r="P1304" s="1"/>
      <c r="AA1304" s="1"/>
      <c r="AB1304" s="1"/>
      <c r="AG1304" s="1"/>
      <c r="AH1304" s="1"/>
      <c r="AK1304" s="1"/>
      <c r="AL1304" s="1"/>
      <c r="AM1304" s="2"/>
      <c r="AN1304" s="2"/>
      <c r="AQ1304" s="1"/>
      <c r="BG1304" s="1"/>
    </row>
    <row r="1305" spans="15:59">
      <c r="O1305" s="1"/>
      <c r="P1305" s="1"/>
      <c r="AA1305" s="1"/>
      <c r="AB1305" s="1"/>
      <c r="AG1305" s="1"/>
      <c r="AH1305" s="1"/>
      <c r="AK1305" s="1"/>
      <c r="AL1305" s="1"/>
      <c r="AM1305" s="2"/>
      <c r="AN1305" s="2"/>
      <c r="AQ1305" s="1"/>
      <c r="BG1305" s="1"/>
    </row>
    <row r="1306" spans="15:59">
      <c r="O1306" s="1"/>
      <c r="P1306" s="1"/>
      <c r="AA1306" s="1"/>
      <c r="AB1306" s="1"/>
      <c r="AG1306" s="1"/>
      <c r="AH1306" s="1"/>
      <c r="AK1306" s="1"/>
      <c r="AL1306" s="1"/>
      <c r="AM1306" s="2"/>
      <c r="AN1306" s="2"/>
      <c r="AQ1306" s="1"/>
      <c r="BG1306" s="1"/>
    </row>
    <row r="1307" spans="15:59">
      <c r="O1307" s="1"/>
      <c r="P1307" s="1"/>
      <c r="AA1307" s="1"/>
      <c r="AB1307" s="1"/>
      <c r="AG1307" s="1"/>
      <c r="AH1307" s="1"/>
      <c r="AK1307" s="1"/>
      <c r="AL1307" s="1"/>
      <c r="AM1307" s="2"/>
      <c r="AN1307" s="2"/>
      <c r="AQ1307" s="1"/>
      <c r="BG1307" s="1"/>
    </row>
    <row r="1308" spans="15:59">
      <c r="O1308" s="1"/>
      <c r="P1308" s="1"/>
      <c r="AA1308" s="1"/>
      <c r="AB1308" s="1"/>
      <c r="AG1308" s="1"/>
      <c r="AH1308" s="1"/>
      <c r="AK1308" s="1"/>
      <c r="AL1308" s="1"/>
      <c r="AM1308" s="2"/>
      <c r="AN1308" s="2"/>
      <c r="AQ1308" s="1"/>
      <c r="BG1308" s="1"/>
    </row>
    <row r="1309" spans="15:59">
      <c r="O1309" s="1"/>
      <c r="P1309" s="1"/>
      <c r="AA1309" s="1"/>
      <c r="AB1309" s="1"/>
      <c r="AG1309" s="1"/>
      <c r="AH1309" s="1"/>
      <c r="AK1309" s="1"/>
      <c r="AL1309" s="1"/>
      <c r="AM1309" s="2"/>
      <c r="AN1309" s="2"/>
      <c r="AQ1309" s="1"/>
      <c r="BG1309" s="1"/>
    </row>
    <row r="1310" spans="15:59">
      <c r="O1310" s="1"/>
      <c r="P1310" s="1"/>
      <c r="AA1310" s="1"/>
      <c r="AB1310" s="1"/>
      <c r="AG1310" s="1"/>
      <c r="AH1310" s="1"/>
      <c r="AK1310" s="1"/>
      <c r="AL1310" s="1"/>
      <c r="AM1310" s="2"/>
      <c r="AN1310" s="2"/>
      <c r="AQ1310" s="1"/>
      <c r="BG1310" s="1"/>
    </row>
    <row r="1311" spans="15:59">
      <c r="O1311" s="1"/>
      <c r="P1311" s="1"/>
      <c r="AA1311" s="1"/>
      <c r="AB1311" s="1"/>
      <c r="AG1311" s="1"/>
      <c r="AH1311" s="1"/>
      <c r="AK1311" s="1"/>
      <c r="AL1311" s="1"/>
      <c r="AM1311" s="2"/>
      <c r="AN1311" s="2"/>
      <c r="AQ1311" s="1"/>
      <c r="BG1311" s="1"/>
    </row>
    <row r="1312" spans="15:59">
      <c r="O1312" s="1"/>
      <c r="P1312" s="1"/>
      <c r="AA1312" s="1"/>
      <c r="AB1312" s="1"/>
      <c r="AG1312" s="1"/>
      <c r="AH1312" s="1"/>
      <c r="AK1312" s="1"/>
      <c r="AL1312" s="1"/>
      <c r="AM1312" s="2"/>
      <c r="AN1312" s="2"/>
      <c r="AQ1312" s="1"/>
      <c r="BG1312" s="1"/>
    </row>
    <row r="1313" spans="15:59">
      <c r="O1313" s="1"/>
      <c r="P1313" s="1"/>
      <c r="AA1313" s="1"/>
      <c r="AB1313" s="1"/>
      <c r="AG1313" s="1"/>
      <c r="AH1313" s="1"/>
      <c r="AK1313" s="1"/>
      <c r="AL1313" s="1"/>
      <c r="AM1313" s="2"/>
      <c r="AN1313" s="2"/>
      <c r="AQ1313" s="1"/>
      <c r="BG1313" s="1"/>
    </row>
    <row r="1314" spans="15:59">
      <c r="O1314" s="1"/>
      <c r="P1314" s="1"/>
      <c r="AA1314" s="1"/>
      <c r="AB1314" s="1"/>
      <c r="AG1314" s="1"/>
      <c r="AH1314" s="1"/>
      <c r="AK1314" s="1"/>
      <c r="AL1314" s="1"/>
      <c r="AM1314" s="2"/>
      <c r="AN1314" s="2"/>
      <c r="AQ1314" s="1"/>
      <c r="BG1314" s="1"/>
    </row>
    <row r="1315" spans="15:59">
      <c r="O1315" s="1"/>
      <c r="P1315" s="1"/>
      <c r="AA1315" s="1"/>
      <c r="AB1315" s="1"/>
      <c r="AG1315" s="1"/>
      <c r="AH1315" s="1"/>
      <c r="AK1315" s="1"/>
      <c r="AL1315" s="1"/>
      <c r="AM1315" s="2"/>
      <c r="AN1315" s="2"/>
      <c r="AQ1315" s="1"/>
      <c r="BG1315" s="1"/>
    </row>
    <row r="1316" spans="15:59">
      <c r="O1316" s="1"/>
      <c r="P1316" s="1"/>
      <c r="AA1316" s="1"/>
      <c r="AB1316" s="1"/>
      <c r="AG1316" s="1"/>
      <c r="AH1316" s="1"/>
      <c r="AK1316" s="1"/>
      <c r="AL1316" s="1"/>
      <c r="AM1316" s="2"/>
      <c r="AN1316" s="2"/>
      <c r="AQ1316" s="1"/>
      <c r="BG1316" s="1"/>
    </row>
    <row r="1317" spans="15:59">
      <c r="O1317" s="1"/>
      <c r="P1317" s="1"/>
      <c r="AA1317" s="1"/>
      <c r="AB1317" s="1"/>
      <c r="AG1317" s="1"/>
      <c r="AH1317" s="1"/>
      <c r="AK1317" s="1"/>
      <c r="AL1317" s="1"/>
      <c r="AM1317" s="2"/>
      <c r="AN1317" s="2"/>
      <c r="AQ1317" s="1"/>
      <c r="BG1317" s="1"/>
    </row>
    <row r="1318" spans="15:59">
      <c r="O1318" s="1"/>
      <c r="P1318" s="1"/>
      <c r="AA1318" s="1"/>
      <c r="AB1318" s="1"/>
      <c r="AG1318" s="1"/>
      <c r="AH1318" s="1"/>
      <c r="AK1318" s="1"/>
      <c r="AL1318" s="1"/>
      <c r="AM1318" s="2"/>
      <c r="AN1318" s="2"/>
      <c r="AQ1318" s="1"/>
      <c r="BG1318" s="1"/>
    </row>
    <row r="1319" spans="15:59">
      <c r="O1319" s="1"/>
      <c r="P1319" s="1"/>
      <c r="AA1319" s="1"/>
      <c r="AB1319" s="1"/>
      <c r="AG1319" s="1"/>
      <c r="AH1319" s="1"/>
      <c r="AK1319" s="1"/>
      <c r="AL1319" s="1"/>
      <c r="AM1319" s="2"/>
      <c r="AN1319" s="2"/>
      <c r="AQ1319" s="1"/>
      <c r="BG1319" s="1"/>
    </row>
    <row r="1320" spans="15:59">
      <c r="O1320" s="1"/>
      <c r="P1320" s="1"/>
      <c r="AA1320" s="1"/>
      <c r="AB1320" s="1"/>
      <c r="AG1320" s="1"/>
      <c r="AH1320" s="1"/>
      <c r="AK1320" s="1"/>
      <c r="AL1320" s="1"/>
      <c r="AM1320" s="2"/>
      <c r="AN1320" s="2"/>
      <c r="AQ1320" s="1"/>
      <c r="BG1320" s="1"/>
    </row>
    <row r="1321" spans="15:59">
      <c r="O1321" s="1"/>
      <c r="P1321" s="1"/>
      <c r="AA1321" s="1"/>
      <c r="AB1321" s="1"/>
      <c r="AG1321" s="1"/>
      <c r="AH1321" s="1"/>
      <c r="AK1321" s="1"/>
      <c r="AL1321" s="1"/>
      <c r="AM1321" s="2"/>
      <c r="AN1321" s="2"/>
      <c r="AQ1321" s="1"/>
      <c r="BG1321" s="1"/>
    </row>
    <row r="1322" spans="15:59">
      <c r="O1322" s="1"/>
      <c r="P1322" s="1"/>
      <c r="AA1322" s="1"/>
      <c r="AB1322" s="1"/>
      <c r="AG1322" s="1"/>
      <c r="AH1322" s="1"/>
      <c r="AK1322" s="1"/>
      <c r="AL1322" s="1"/>
      <c r="AM1322" s="2"/>
      <c r="AN1322" s="2"/>
      <c r="AQ1322" s="1"/>
      <c r="BG1322" s="1"/>
    </row>
    <row r="1323" spans="15:59">
      <c r="O1323" s="1"/>
      <c r="P1323" s="1"/>
      <c r="AA1323" s="1"/>
      <c r="AB1323" s="1"/>
      <c r="AG1323" s="1"/>
      <c r="AH1323" s="1"/>
      <c r="AK1323" s="1"/>
      <c r="AL1323" s="1"/>
      <c r="AM1323" s="2"/>
      <c r="AN1323" s="2"/>
      <c r="AQ1323" s="1"/>
      <c r="BG1323" s="1"/>
    </row>
    <row r="1324" spans="15:59">
      <c r="O1324" s="1"/>
      <c r="P1324" s="1"/>
      <c r="AA1324" s="1"/>
      <c r="AB1324" s="1"/>
      <c r="AG1324" s="1"/>
      <c r="AH1324" s="1"/>
      <c r="AK1324" s="1"/>
      <c r="AL1324" s="1"/>
      <c r="AM1324" s="2"/>
      <c r="AN1324" s="2"/>
      <c r="AQ1324" s="1"/>
      <c r="BG1324" s="1"/>
    </row>
    <row r="1325" spans="15:59">
      <c r="O1325" s="1"/>
      <c r="P1325" s="1"/>
      <c r="AA1325" s="1"/>
      <c r="AB1325" s="1"/>
      <c r="AG1325" s="1"/>
      <c r="AH1325" s="1"/>
      <c r="AK1325" s="1"/>
      <c r="AL1325" s="1"/>
      <c r="AM1325" s="2"/>
      <c r="AN1325" s="2"/>
      <c r="AQ1325" s="1"/>
      <c r="BG1325" s="1"/>
    </row>
    <row r="1326" spans="15:59">
      <c r="O1326" s="1"/>
      <c r="P1326" s="1"/>
      <c r="AA1326" s="1"/>
      <c r="AB1326" s="1"/>
      <c r="AG1326" s="1"/>
      <c r="AH1326" s="1"/>
      <c r="AK1326" s="1"/>
      <c r="AL1326" s="1"/>
      <c r="AM1326" s="2"/>
      <c r="AN1326" s="2"/>
      <c r="AQ1326" s="1"/>
      <c r="BG1326" s="1"/>
    </row>
    <row r="1327" spans="15:59">
      <c r="O1327" s="1"/>
      <c r="P1327" s="1"/>
      <c r="AA1327" s="1"/>
      <c r="AB1327" s="1"/>
      <c r="AG1327" s="1"/>
      <c r="AH1327" s="1"/>
      <c r="AK1327" s="1"/>
      <c r="AL1327" s="1"/>
      <c r="AM1327" s="2"/>
      <c r="AN1327" s="2"/>
      <c r="AQ1327" s="1"/>
      <c r="BG1327" s="1"/>
    </row>
    <row r="1328" spans="15:59">
      <c r="O1328" s="1"/>
      <c r="P1328" s="1"/>
      <c r="AA1328" s="1"/>
      <c r="AB1328" s="1"/>
      <c r="AG1328" s="1"/>
      <c r="AH1328" s="1"/>
      <c r="AK1328" s="1"/>
      <c r="AL1328" s="1"/>
      <c r="AM1328" s="2"/>
      <c r="AN1328" s="2"/>
      <c r="AQ1328" s="1"/>
      <c r="BG1328" s="1"/>
    </row>
    <row r="1329" spans="15:59">
      <c r="O1329" s="1"/>
      <c r="P1329" s="1"/>
      <c r="AA1329" s="1"/>
      <c r="AB1329" s="1"/>
      <c r="AG1329" s="1"/>
      <c r="AH1329" s="1"/>
      <c r="AK1329" s="1"/>
      <c r="AL1329" s="1"/>
      <c r="AM1329" s="2"/>
      <c r="AN1329" s="2"/>
      <c r="AQ1329" s="1"/>
      <c r="BG1329" s="1"/>
    </row>
    <row r="1330" spans="15:59">
      <c r="O1330" s="1"/>
      <c r="P1330" s="1"/>
      <c r="AA1330" s="1"/>
      <c r="AB1330" s="1"/>
      <c r="AG1330" s="1"/>
      <c r="AH1330" s="1"/>
      <c r="AK1330" s="1"/>
      <c r="AL1330" s="1"/>
      <c r="AM1330" s="2"/>
      <c r="AN1330" s="2"/>
      <c r="AQ1330" s="1"/>
      <c r="BG1330" s="1"/>
    </row>
    <row r="1331" spans="15:59">
      <c r="O1331" s="1"/>
      <c r="P1331" s="1"/>
      <c r="AA1331" s="1"/>
      <c r="AB1331" s="1"/>
      <c r="AG1331" s="1"/>
      <c r="AH1331" s="1"/>
      <c r="AK1331" s="1"/>
      <c r="AL1331" s="1"/>
      <c r="AM1331" s="2"/>
      <c r="AN1331" s="2"/>
      <c r="AQ1331" s="1"/>
      <c r="BG1331" s="1"/>
    </row>
    <row r="1332" spans="15:59">
      <c r="O1332" s="1"/>
      <c r="P1332" s="1"/>
      <c r="AA1332" s="1"/>
      <c r="AB1332" s="1"/>
      <c r="AG1332" s="1"/>
      <c r="AH1332" s="1"/>
      <c r="AK1332" s="1"/>
      <c r="AL1332" s="1"/>
      <c r="AM1332" s="2"/>
      <c r="AN1332" s="2"/>
      <c r="AQ1332" s="1"/>
      <c r="BG1332" s="1"/>
    </row>
    <row r="1333" spans="15:59">
      <c r="O1333" s="1"/>
      <c r="P1333" s="1"/>
      <c r="AA1333" s="1"/>
      <c r="AB1333" s="1"/>
      <c r="AG1333" s="1"/>
      <c r="AH1333" s="1"/>
      <c r="AK1333" s="1"/>
      <c r="AL1333" s="1"/>
      <c r="AM1333" s="2"/>
      <c r="AN1333" s="2"/>
      <c r="AQ1333" s="1"/>
      <c r="BG1333" s="1"/>
    </row>
    <row r="1334" spans="15:59">
      <c r="O1334" s="1"/>
      <c r="P1334" s="1"/>
      <c r="AA1334" s="1"/>
      <c r="AB1334" s="1"/>
      <c r="AG1334" s="1"/>
      <c r="AH1334" s="1"/>
      <c r="AK1334" s="1"/>
      <c r="AL1334" s="1"/>
      <c r="AM1334" s="2"/>
      <c r="AN1334" s="2"/>
      <c r="AQ1334" s="1"/>
      <c r="BG1334" s="1"/>
    </row>
    <row r="1335" spans="15:59">
      <c r="O1335" s="1"/>
      <c r="P1335" s="1"/>
      <c r="AA1335" s="1"/>
      <c r="AB1335" s="1"/>
      <c r="AG1335" s="1"/>
      <c r="AH1335" s="1"/>
      <c r="AK1335" s="1"/>
      <c r="AL1335" s="1"/>
      <c r="AM1335" s="2"/>
      <c r="AN1335" s="2"/>
      <c r="AQ1335" s="1"/>
      <c r="BG1335" s="1"/>
    </row>
    <row r="1336" spans="15:59">
      <c r="O1336" s="1"/>
      <c r="P1336" s="1"/>
      <c r="AA1336" s="1"/>
      <c r="AB1336" s="1"/>
      <c r="AG1336" s="1"/>
      <c r="AH1336" s="1"/>
      <c r="AK1336" s="1"/>
      <c r="AL1336" s="1"/>
      <c r="AM1336" s="2"/>
      <c r="AN1336" s="2"/>
      <c r="AQ1336" s="1"/>
      <c r="BG1336" s="1"/>
    </row>
    <row r="1337" spans="15:59">
      <c r="O1337" s="1"/>
      <c r="P1337" s="1"/>
      <c r="AA1337" s="1"/>
      <c r="AB1337" s="1"/>
      <c r="AG1337" s="1"/>
      <c r="AH1337" s="1"/>
      <c r="AK1337" s="1"/>
      <c r="AL1337" s="1"/>
      <c r="AM1337" s="2"/>
      <c r="AN1337" s="2"/>
      <c r="AQ1337" s="1"/>
      <c r="BG1337" s="1"/>
    </row>
    <row r="1338" spans="15:59">
      <c r="O1338" s="1"/>
      <c r="P1338" s="1"/>
      <c r="AA1338" s="1"/>
      <c r="AB1338" s="1"/>
      <c r="AG1338" s="1"/>
      <c r="AH1338" s="1"/>
      <c r="AK1338" s="1"/>
      <c r="AL1338" s="1"/>
      <c r="AM1338" s="2"/>
      <c r="AN1338" s="2"/>
      <c r="AQ1338" s="1"/>
      <c r="BG1338" s="1"/>
    </row>
    <row r="1339" spans="15:59">
      <c r="O1339" s="1"/>
      <c r="P1339" s="1"/>
      <c r="AA1339" s="1"/>
      <c r="AB1339" s="1"/>
      <c r="AG1339" s="1"/>
      <c r="AH1339" s="1"/>
      <c r="AK1339" s="1"/>
      <c r="AL1339" s="1"/>
      <c r="AM1339" s="2"/>
      <c r="AN1339" s="2"/>
      <c r="AQ1339" s="1"/>
      <c r="BG1339" s="1"/>
    </row>
    <row r="1340" spans="15:59">
      <c r="O1340" s="1"/>
      <c r="P1340" s="1"/>
      <c r="AA1340" s="1"/>
      <c r="AB1340" s="1"/>
      <c r="AG1340" s="1"/>
      <c r="AH1340" s="1"/>
      <c r="AK1340" s="1"/>
      <c r="AL1340" s="1"/>
      <c r="AM1340" s="2"/>
      <c r="AN1340" s="2"/>
      <c r="AQ1340" s="1"/>
      <c r="BG1340" s="1"/>
    </row>
    <row r="1341" spans="15:59">
      <c r="O1341" s="1"/>
      <c r="P1341" s="1"/>
      <c r="AA1341" s="1"/>
      <c r="AB1341" s="1"/>
      <c r="AG1341" s="1"/>
      <c r="AH1341" s="1"/>
      <c r="AK1341" s="1"/>
      <c r="AL1341" s="1"/>
      <c r="AM1341" s="2"/>
      <c r="AN1341" s="2"/>
      <c r="AQ1341" s="1"/>
      <c r="BG1341" s="1"/>
    </row>
    <row r="1342" spans="15:59">
      <c r="O1342" s="1"/>
      <c r="P1342" s="1"/>
      <c r="AA1342" s="1"/>
      <c r="AB1342" s="1"/>
      <c r="AG1342" s="1"/>
      <c r="AH1342" s="1"/>
      <c r="AK1342" s="1"/>
      <c r="AL1342" s="1"/>
      <c r="AM1342" s="2"/>
      <c r="AN1342" s="2"/>
      <c r="AQ1342" s="1"/>
      <c r="BG1342" s="1"/>
    </row>
    <row r="1343" spans="15:59">
      <c r="O1343" s="1"/>
      <c r="P1343" s="1"/>
      <c r="AA1343" s="1"/>
      <c r="AB1343" s="1"/>
      <c r="AG1343" s="1"/>
      <c r="AH1343" s="1"/>
      <c r="AK1343" s="1"/>
      <c r="AL1343" s="1"/>
      <c r="AM1343" s="2"/>
      <c r="AN1343" s="2"/>
      <c r="AQ1343" s="1"/>
      <c r="BG1343" s="1"/>
    </row>
    <row r="1344" spans="15:59">
      <c r="O1344" s="1"/>
      <c r="P1344" s="1"/>
      <c r="AA1344" s="1"/>
      <c r="AB1344" s="1"/>
      <c r="AG1344" s="1"/>
      <c r="AH1344" s="1"/>
      <c r="AK1344" s="1"/>
      <c r="AL1344" s="1"/>
      <c r="AM1344" s="2"/>
      <c r="AN1344" s="2"/>
      <c r="AQ1344" s="1"/>
      <c r="BG1344" s="1"/>
    </row>
    <row r="1345" spans="15:59">
      <c r="O1345" s="1"/>
      <c r="P1345" s="1"/>
      <c r="AA1345" s="1"/>
      <c r="AB1345" s="1"/>
      <c r="AG1345" s="1"/>
      <c r="AH1345" s="1"/>
      <c r="AK1345" s="1"/>
      <c r="AL1345" s="1"/>
      <c r="AM1345" s="2"/>
      <c r="AN1345" s="2"/>
      <c r="AQ1345" s="1"/>
      <c r="BG1345" s="1"/>
    </row>
    <row r="1346" spans="15:59">
      <c r="O1346" s="1"/>
      <c r="P1346" s="1"/>
      <c r="AA1346" s="1"/>
      <c r="AB1346" s="1"/>
      <c r="AG1346" s="1"/>
      <c r="AH1346" s="1"/>
      <c r="AK1346" s="1"/>
      <c r="AL1346" s="1"/>
      <c r="AM1346" s="2"/>
      <c r="AN1346" s="2"/>
      <c r="AQ1346" s="1"/>
      <c r="BG1346" s="1"/>
    </row>
    <row r="1347" spans="15:59">
      <c r="O1347" s="1"/>
      <c r="P1347" s="1"/>
      <c r="AA1347" s="1"/>
      <c r="AB1347" s="1"/>
      <c r="AG1347" s="1"/>
      <c r="AH1347" s="1"/>
      <c r="AK1347" s="1"/>
      <c r="AL1347" s="1"/>
      <c r="AM1347" s="2"/>
      <c r="AN1347" s="2"/>
      <c r="AQ1347" s="1"/>
      <c r="BG1347" s="1"/>
    </row>
    <row r="1348" spans="15:59">
      <c r="O1348" s="1"/>
      <c r="P1348" s="1"/>
      <c r="AA1348" s="1"/>
      <c r="AB1348" s="1"/>
      <c r="AG1348" s="1"/>
      <c r="AH1348" s="1"/>
      <c r="AK1348" s="1"/>
      <c r="AL1348" s="1"/>
      <c r="AM1348" s="2"/>
      <c r="AN1348" s="2"/>
      <c r="AQ1348" s="1"/>
      <c r="BG1348" s="1"/>
    </row>
    <row r="1349" spans="15:59">
      <c r="O1349" s="1"/>
      <c r="P1349" s="1"/>
      <c r="AA1349" s="1"/>
      <c r="AB1349" s="1"/>
      <c r="AG1349" s="1"/>
      <c r="AH1349" s="1"/>
      <c r="AK1349" s="1"/>
      <c r="AL1349" s="1"/>
      <c r="AM1349" s="2"/>
      <c r="AN1349" s="2"/>
      <c r="AQ1349" s="1"/>
      <c r="BG1349" s="1"/>
    </row>
    <row r="1350" spans="15:59">
      <c r="O1350" s="1"/>
      <c r="P1350" s="1"/>
      <c r="AA1350" s="1"/>
      <c r="AB1350" s="1"/>
      <c r="AG1350" s="1"/>
      <c r="AH1350" s="1"/>
      <c r="AK1350" s="1"/>
      <c r="AL1350" s="1"/>
      <c r="AM1350" s="2"/>
      <c r="AN1350" s="2"/>
      <c r="AQ1350" s="1"/>
      <c r="BG1350" s="1"/>
    </row>
    <row r="1351" spans="15:59">
      <c r="O1351" s="1"/>
      <c r="P1351" s="1"/>
      <c r="AA1351" s="1"/>
      <c r="AB1351" s="1"/>
      <c r="AG1351" s="1"/>
      <c r="AH1351" s="1"/>
      <c r="AK1351" s="1"/>
      <c r="AL1351" s="1"/>
      <c r="AM1351" s="2"/>
      <c r="AN1351" s="2"/>
      <c r="AQ1351" s="1"/>
      <c r="BG1351" s="1"/>
    </row>
    <row r="1352" spans="15:59">
      <c r="O1352" s="1"/>
      <c r="P1352" s="1"/>
      <c r="AA1352" s="1"/>
      <c r="AB1352" s="1"/>
      <c r="AG1352" s="1"/>
      <c r="AH1352" s="1"/>
      <c r="AK1352" s="1"/>
      <c r="AL1352" s="1"/>
      <c r="AM1352" s="2"/>
      <c r="AN1352" s="2"/>
      <c r="AQ1352" s="1"/>
      <c r="BG1352" s="1"/>
    </row>
    <row r="1353" spans="15:59">
      <c r="O1353" s="1"/>
      <c r="P1353" s="1"/>
      <c r="AA1353" s="1"/>
      <c r="AB1353" s="1"/>
      <c r="AG1353" s="1"/>
      <c r="AH1353" s="1"/>
      <c r="AK1353" s="1"/>
      <c r="AL1353" s="1"/>
      <c r="AM1353" s="2"/>
      <c r="AN1353" s="2"/>
      <c r="AQ1353" s="1"/>
      <c r="BG1353" s="1"/>
    </row>
    <row r="1354" spans="15:59">
      <c r="O1354" s="1"/>
      <c r="P1354" s="1"/>
      <c r="AA1354" s="1"/>
      <c r="AB1354" s="1"/>
      <c r="AG1354" s="1"/>
      <c r="AH1354" s="1"/>
      <c r="AK1354" s="1"/>
      <c r="AL1354" s="1"/>
      <c r="AM1354" s="2"/>
      <c r="AN1354" s="2"/>
      <c r="AQ1354" s="1"/>
      <c r="BG1354" s="1"/>
    </row>
    <row r="1355" spans="15:59">
      <c r="O1355" s="1"/>
      <c r="P1355" s="1"/>
      <c r="AA1355" s="1"/>
      <c r="AB1355" s="1"/>
      <c r="AG1355" s="1"/>
      <c r="AH1355" s="1"/>
      <c r="AK1355" s="1"/>
      <c r="AL1355" s="1"/>
      <c r="AM1355" s="2"/>
      <c r="AN1355" s="2"/>
      <c r="AQ1355" s="1"/>
      <c r="BG1355" s="1"/>
    </row>
    <row r="1356" spans="15:59">
      <c r="O1356" s="1"/>
      <c r="P1356" s="1"/>
      <c r="AA1356" s="1"/>
      <c r="AB1356" s="1"/>
      <c r="AG1356" s="1"/>
      <c r="AH1356" s="1"/>
      <c r="AK1356" s="1"/>
      <c r="AL1356" s="1"/>
      <c r="AM1356" s="2"/>
      <c r="AN1356" s="2"/>
      <c r="AQ1356" s="1"/>
      <c r="BG1356" s="1"/>
    </row>
    <row r="1357" spans="15:59">
      <c r="O1357" s="1"/>
      <c r="P1357" s="1"/>
      <c r="AA1357" s="1"/>
      <c r="AB1357" s="1"/>
      <c r="AG1357" s="1"/>
      <c r="AH1357" s="1"/>
      <c r="AK1357" s="1"/>
      <c r="AL1357" s="1"/>
      <c r="AM1357" s="2"/>
      <c r="AN1357" s="2"/>
      <c r="AQ1357" s="1"/>
      <c r="BG1357" s="1"/>
    </row>
    <row r="1358" spans="15:59">
      <c r="O1358" s="1"/>
      <c r="P1358" s="1"/>
      <c r="AA1358" s="1"/>
      <c r="AB1358" s="1"/>
      <c r="AG1358" s="1"/>
      <c r="AH1358" s="1"/>
      <c r="AK1358" s="1"/>
      <c r="AL1358" s="1"/>
      <c r="AM1358" s="2"/>
      <c r="AN1358" s="2"/>
      <c r="AQ1358" s="1"/>
      <c r="BG1358" s="1"/>
    </row>
    <row r="1359" spans="15:59">
      <c r="O1359" s="1"/>
      <c r="P1359" s="1"/>
      <c r="AA1359" s="1"/>
      <c r="AB1359" s="1"/>
      <c r="AG1359" s="1"/>
      <c r="AH1359" s="1"/>
      <c r="AK1359" s="1"/>
      <c r="AL1359" s="1"/>
      <c r="AM1359" s="2"/>
      <c r="AN1359" s="2"/>
      <c r="AQ1359" s="1"/>
      <c r="BG1359" s="1"/>
    </row>
    <row r="1360" spans="15:59">
      <c r="O1360" s="1"/>
      <c r="P1360" s="1"/>
      <c r="AA1360" s="1"/>
      <c r="AB1360" s="1"/>
      <c r="AG1360" s="1"/>
      <c r="AH1360" s="1"/>
      <c r="AK1360" s="1"/>
      <c r="AL1360" s="1"/>
      <c r="AM1360" s="2"/>
      <c r="AN1360" s="2"/>
      <c r="AQ1360" s="1"/>
      <c r="BG1360" s="1"/>
    </row>
    <row r="1361" spans="15:59">
      <c r="O1361" s="1"/>
      <c r="P1361" s="1"/>
      <c r="AA1361" s="1"/>
      <c r="AB1361" s="1"/>
      <c r="AG1361" s="1"/>
      <c r="AH1361" s="1"/>
      <c r="AK1361" s="1"/>
      <c r="AL1361" s="1"/>
      <c r="AM1361" s="2"/>
      <c r="AN1361" s="2"/>
      <c r="AQ1361" s="1"/>
      <c r="BG1361" s="1"/>
    </row>
    <row r="1362" spans="15:59">
      <c r="O1362" s="1"/>
      <c r="P1362" s="1"/>
      <c r="AA1362" s="1"/>
      <c r="AB1362" s="1"/>
      <c r="AG1362" s="1"/>
      <c r="AH1362" s="1"/>
      <c r="AK1362" s="1"/>
      <c r="AL1362" s="1"/>
      <c r="AM1362" s="2"/>
      <c r="AN1362" s="2"/>
      <c r="AQ1362" s="1"/>
      <c r="BG1362" s="1"/>
    </row>
    <row r="1363" spans="15:59">
      <c r="O1363" s="1"/>
      <c r="P1363" s="1"/>
      <c r="AA1363" s="1"/>
      <c r="AB1363" s="1"/>
      <c r="AG1363" s="1"/>
      <c r="AH1363" s="1"/>
      <c r="AK1363" s="1"/>
      <c r="AL1363" s="1"/>
      <c r="AM1363" s="2"/>
      <c r="AN1363" s="2"/>
      <c r="AQ1363" s="1"/>
      <c r="BG1363" s="1"/>
    </row>
    <row r="1364" spans="15:59">
      <c r="O1364" s="1"/>
      <c r="P1364" s="1"/>
      <c r="AA1364" s="1"/>
      <c r="AB1364" s="1"/>
      <c r="AG1364" s="1"/>
      <c r="AH1364" s="1"/>
      <c r="AK1364" s="1"/>
      <c r="AL1364" s="1"/>
      <c r="AM1364" s="2"/>
      <c r="AN1364" s="2"/>
      <c r="AQ1364" s="1"/>
      <c r="BG1364" s="1"/>
    </row>
    <row r="1365" spans="15:59">
      <c r="O1365" s="1"/>
      <c r="P1365" s="1"/>
      <c r="AA1365" s="1"/>
      <c r="AB1365" s="1"/>
      <c r="AG1365" s="1"/>
      <c r="AH1365" s="1"/>
      <c r="AK1365" s="1"/>
      <c r="AL1365" s="1"/>
      <c r="AM1365" s="2"/>
      <c r="AN1365" s="2"/>
      <c r="AQ1365" s="1"/>
      <c r="BG1365" s="1"/>
    </row>
    <row r="1366" spans="15:59">
      <c r="O1366" s="1"/>
      <c r="P1366" s="1"/>
      <c r="AA1366" s="1"/>
      <c r="AB1366" s="1"/>
      <c r="AG1366" s="1"/>
      <c r="AH1366" s="1"/>
      <c r="AK1366" s="1"/>
      <c r="AL1366" s="1"/>
      <c r="AM1366" s="2"/>
      <c r="AN1366" s="2"/>
      <c r="AQ1366" s="1"/>
      <c r="BG1366" s="1"/>
    </row>
    <row r="1367" spans="15:59">
      <c r="O1367" s="1"/>
      <c r="P1367" s="1"/>
      <c r="AA1367" s="1"/>
      <c r="AB1367" s="1"/>
      <c r="AG1367" s="1"/>
      <c r="AH1367" s="1"/>
      <c r="AK1367" s="1"/>
      <c r="AL1367" s="1"/>
      <c r="AM1367" s="2"/>
      <c r="AN1367" s="2"/>
      <c r="AQ1367" s="1"/>
      <c r="BG1367" s="1"/>
    </row>
    <row r="1368" spans="15:59">
      <c r="O1368" s="1"/>
      <c r="P1368" s="1"/>
      <c r="AA1368" s="1"/>
      <c r="AB1368" s="1"/>
      <c r="AG1368" s="1"/>
      <c r="AH1368" s="1"/>
      <c r="AK1368" s="1"/>
      <c r="AL1368" s="1"/>
      <c r="AM1368" s="2"/>
      <c r="AN1368" s="2"/>
      <c r="AQ1368" s="1"/>
      <c r="BG1368" s="1"/>
    </row>
    <row r="1369" spans="15:59">
      <c r="O1369" s="1"/>
      <c r="P1369" s="1"/>
      <c r="AA1369" s="1"/>
      <c r="AB1369" s="1"/>
      <c r="AG1369" s="1"/>
      <c r="AH1369" s="1"/>
      <c r="AK1369" s="1"/>
      <c r="AL1369" s="1"/>
      <c r="AM1369" s="2"/>
      <c r="AN1369" s="2"/>
      <c r="AQ1369" s="1"/>
      <c r="BG1369" s="1"/>
    </row>
    <row r="1370" spans="15:59">
      <c r="O1370" s="1"/>
      <c r="P1370" s="1"/>
      <c r="AA1370" s="1"/>
      <c r="AB1370" s="1"/>
      <c r="AG1370" s="1"/>
      <c r="AH1370" s="1"/>
      <c r="AK1370" s="1"/>
      <c r="AL1370" s="1"/>
      <c r="AM1370" s="2"/>
      <c r="AN1370" s="2"/>
      <c r="AQ1370" s="1"/>
      <c r="BG1370" s="1"/>
    </row>
    <row r="1371" spans="15:59">
      <c r="O1371" s="1"/>
      <c r="P1371" s="1"/>
      <c r="AA1371" s="1"/>
      <c r="AB1371" s="1"/>
      <c r="AG1371" s="1"/>
      <c r="AH1371" s="1"/>
      <c r="AK1371" s="1"/>
      <c r="AL1371" s="1"/>
      <c r="AM1371" s="2"/>
      <c r="AN1371" s="2"/>
      <c r="AQ1371" s="1"/>
      <c r="BG1371" s="1"/>
    </row>
    <row r="1372" spans="15:59">
      <c r="O1372" s="1"/>
      <c r="P1372" s="1"/>
      <c r="AA1372" s="1"/>
      <c r="AB1372" s="1"/>
      <c r="AG1372" s="1"/>
      <c r="AH1372" s="1"/>
      <c r="AK1372" s="1"/>
      <c r="AL1372" s="1"/>
      <c r="AM1372" s="2"/>
      <c r="AN1372" s="2"/>
      <c r="AQ1372" s="1"/>
      <c r="BG1372" s="1"/>
    </row>
    <row r="1373" spans="15:59">
      <c r="O1373" s="1"/>
      <c r="P1373" s="1"/>
      <c r="AA1373" s="1"/>
      <c r="AB1373" s="1"/>
      <c r="AG1373" s="1"/>
      <c r="AH1373" s="1"/>
      <c r="AK1373" s="1"/>
      <c r="AL1373" s="1"/>
      <c r="AM1373" s="2"/>
      <c r="AN1373" s="2"/>
      <c r="AQ1373" s="1"/>
      <c r="BG1373" s="1"/>
    </row>
    <row r="1374" spans="15:59">
      <c r="O1374" s="1"/>
      <c r="P1374" s="1"/>
      <c r="AA1374" s="1"/>
      <c r="AB1374" s="1"/>
      <c r="AG1374" s="1"/>
      <c r="AH1374" s="1"/>
      <c r="AK1374" s="1"/>
      <c r="AL1374" s="1"/>
      <c r="AM1374" s="2"/>
      <c r="AN1374" s="2"/>
      <c r="AQ1374" s="1"/>
      <c r="BG1374" s="1"/>
    </row>
    <row r="1375" spans="15:59">
      <c r="O1375" s="1"/>
      <c r="P1375" s="1"/>
      <c r="AA1375" s="1"/>
      <c r="AB1375" s="1"/>
      <c r="AG1375" s="1"/>
      <c r="AH1375" s="1"/>
      <c r="AK1375" s="1"/>
      <c r="AL1375" s="1"/>
      <c r="AM1375" s="2"/>
      <c r="AN1375" s="2"/>
      <c r="AQ1375" s="1"/>
      <c r="BG1375" s="1"/>
    </row>
    <row r="1376" spans="15:59">
      <c r="O1376" s="1"/>
      <c r="P1376" s="1"/>
      <c r="AA1376" s="1"/>
      <c r="AB1376" s="1"/>
      <c r="AG1376" s="1"/>
      <c r="AH1376" s="1"/>
      <c r="AK1376" s="1"/>
      <c r="AL1376" s="1"/>
      <c r="AM1376" s="2"/>
      <c r="AN1376" s="2"/>
      <c r="AQ1376" s="1"/>
      <c r="BG1376" s="1"/>
    </row>
    <row r="1377" spans="15:59">
      <c r="O1377" s="1"/>
      <c r="P1377" s="1"/>
      <c r="AA1377" s="1"/>
      <c r="AB1377" s="1"/>
      <c r="AG1377" s="1"/>
      <c r="AH1377" s="1"/>
      <c r="AK1377" s="1"/>
      <c r="AL1377" s="1"/>
      <c r="AM1377" s="2"/>
      <c r="AN1377" s="2"/>
      <c r="AQ1377" s="1"/>
      <c r="BG1377" s="1"/>
    </row>
    <row r="1378" spans="15:59">
      <c r="O1378" s="1"/>
      <c r="P1378" s="1"/>
      <c r="AA1378" s="1"/>
      <c r="AB1378" s="1"/>
      <c r="AG1378" s="1"/>
      <c r="AH1378" s="1"/>
      <c r="AK1378" s="1"/>
      <c r="AL1378" s="1"/>
      <c r="AM1378" s="2"/>
      <c r="AN1378" s="2"/>
      <c r="AQ1378" s="1"/>
      <c r="BG1378" s="1"/>
    </row>
    <row r="1379" spans="15:59">
      <c r="O1379" s="1"/>
      <c r="P1379" s="1"/>
      <c r="AA1379" s="1"/>
      <c r="AB1379" s="1"/>
      <c r="AG1379" s="1"/>
      <c r="AH1379" s="1"/>
      <c r="AK1379" s="1"/>
      <c r="AL1379" s="1"/>
      <c r="AM1379" s="2"/>
      <c r="AN1379" s="2"/>
      <c r="AQ1379" s="1"/>
      <c r="BG1379" s="1"/>
    </row>
    <row r="1380" spans="15:59">
      <c r="O1380" s="1"/>
      <c r="P1380" s="1"/>
      <c r="AA1380" s="1"/>
      <c r="AB1380" s="1"/>
      <c r="AG1380" s="1"/>
      <c r="AH1380" s="1"/>
      <c r="AK1380" s="1"/>
      <c r="AL1380" s="1"/>
      <c r="AM1380" s="2"/>
      <c r="AN1380" s="2"/>
      <c r="AQ1380" s="1"/>
      <c r="BG1380" s="1"/>
    </row>
    <row r="1381" spans="15:59">
      <c r="O1381" s="1"/>
      <c r="P1381" s="1"/>
      <c r="AA1381" s="1"/>
      <c r="AB1381" s="1"/>
      <c r="AG1381" s="1"/>
      <c r="AH1381" s="1"/>
      <c r="AK1381" s="1"/>
      <c r="AL1381" s="1"/>
      <c r="AM1381" s="2"/>
      <c r="AN1381" s="2"/>
      <c r="AQ1381" s="1"/>
      <c r="BG1381" s="1"/>
    </row>
    <row r="1382" spans="15:59">
      <c r="O1382" s="1"/>
      <c r="P1382" s="1"/>
      <c r="AA1382" s="1"/>
      <c r="AB1382" s="1"/>
      <c r="AG1382" s="1"/>
      <c r="AH1382" s="1"/>
      <c r="AK1382" s="1"/>
      <c r="AL1382" s="1"/>
      <c r="AM1382" s="2"/>
      <c r="AN1382" s="2"/>
      <c r="AQ1382" s="1"/>
      <c r="BG1382" s="1"/>
    </row>
    <row r="1383" spans="15:59">
      <c r="O1383" s="1"/>
      <c r="P1383" s="1"/>
      <c r="AA1383" s="1"/>
      <c r="AB1383" s="1"/>
      <c r="AG1383" s="1"/>
      <c r="AH1383" s="1"/>
      <c r="AK1383" s="1"/>
      <c r="AL1383" s="1"/>
      <c r="AM1383" s="2"/>
      <c r="AN1383" s="2"/>
      <c r="AQ1383" s="1"/>
      <c r="BG1383" s="1"/>
    </row>
    <row r="1384" spans="15:59">
      <c r="O1384" s="1"/>
      <c r="P1384" s="1"/>
      <c r="AA1384" s="1"/>
      <c r="AB1384" s="1"/>
      <c r="AG1384" s="1"/>
      <c r="AH1384" s="1"/>
      <c r="AK1384" s="1"/>
      <c r="AL1384" s="1"/>
      <c r="AM1384" s="2"/>
      <c r="AN1384" s="2"/>
      <c r="AQ1384" s="1"/>
      <c r="BG1384" s="1"/>
    </row>
    <row r="1385" spans="15:59">
      <c r="O1385" s="1"/>
      <c r="P1385" s="1"/>
      <c r="AA1385" s="1"/>
      <c r="AB1385" s="1"/>
      <c r="AG1385" s="1"/>
      <c r="AH1385" s="1"/>
      <c r="AK1385" s="1"/>
      <c r="AL1385" s="1"/>
      <c r="AM1385" s="2"/>
      <c r="AN1385" s="2"/>
      <c r="AQ1385" s="1"/>
      <c r="BG1385" s="1"/>
    </row>
    <row r="1386" spans="15:59">
      <c r="O1386" s="1"/>
      <c r="P1386" s="1"/>
      <c r="AA1386" s="1"/>
      <c r="AB1386" s="1"/>
      <c r="AG1386" s="1"/>
      <c r="AH1386" s="1"/>
      <c r="AK1386" s="1"/>
      <c r="AL1386" s="1"/>
      <c r="AM1386" s="2"/>
      <c r="AN1386" s="2"/>
      <c r="AQ1386" s="1"/>
      <c r="BG1386" s="1"/>
    </row>
    <row r="1387" spans="15:59">
      <c r="O1387" s="1"/>
      <c r="P1387" s="1"/>
      <c r="AA1387" s="1"/>
      <c r="AB1387" s="1"/>
      <c r="AG1387" s="1"/>
      <c r="AH1387" s="1"/>
      <c r="AK1387" s="1"/>
      <c r="AL1387" s="1"/>
      <c r="AM1387" s="2"/>
      <c r="AN1387" s="2"/>
      <c r="AQ1387" s="1"/>
      <c r="BG1387" s="1"/>
    </row>
    <row r="1388" spans="15:59">
      <c r="O1388" s="1"/>
      <c r="P1388" s="1"/>
      <c r="AA1388" s="1"/>
      <c r="AB1388" s="1"/>
      <c r="AG1388" s="1"/>
      <c r="AH1388" s="1"/>
      <c r="AK1388" s="1"/>
      <c r="AL1388" s="1"/>
      <c r="AM1388" s="2"/>
      <c r="AN1388" s="2"/>
      <c r="AQ1388" s="1"/>
      <c r="BG1388" s="1"/>
    </row>
    <row r="1389" spans="15:59">
      <c r="O1389" s="1"/>
      <c r="P1389" s="1"/>
      <c r="AA1389" s="1"/>
      <c r="AB1389" s="1"/>
      <c r="AG1389" s="1"/>
      <c r="AH1389" s="1"/>
      <c r="AK1389" s="1"/>
      <c r="AL1389" s="1"/>
      <c r="AM1389" s="2"/>
      <c r="AN1389" s="2"/>
      <c r="AQ1389" s="1"/>
      <c r="BG1389" s="1"/>
    </row>
    <row r="1390" spans="15:59">
      <c r="O1390" s="1"/>
      <c r="P1390" s="1"/>
      <c r="AA1390" s="1"/>
      <c r="AB1390" s="1"/>
      <c r="AG1390" s="1"/>
      <c r="AH1390" s="1"/>
      <c r="AK1390" s="1"/>
      <c r="AL1390" s="1"/>
      <c r="AM1390" s="2"/>
      <c r="AN1390" s="2"/>
      <c r="AQ1390" s="1"/>
      <c r="BG1390" s="1"/>
    </row>
    <row r="1391" spans="15:59">
      <c r="O1391" s="1"/>
      <c r="P1391" s="1"/>
      <c r="AA1391" s="1"/>
      <c r="AB1391" s="1"/>
      <c r="AG1391" s="1"/>
      <c r="AH1391" s="1"/>
      <c r="AK1391" s="1"/>
      <c r="AL1391" s="1"/>
      <c r="AM1391" s="2"/>
      <c r="AN1391" s="2"/>
      <c r="AQ1391" s="1"/>
      <c r="BG1391" s="1"/>
    </row>
    <row r="1392" spans="15:59">
      <c r="O1392" s="1"/>
      <c r="P1392" s="1"/>
      <c r="AA1392" s="1"/>
      <c r="AB1392" s="1"/>
      <c r="AG1392" s="1"/>
      <c r="AH1392" s="1"/>
      <c r="AK1392" s="1"/>
      <c r="AL1392" s="1"/>
      <c r="AM1392" s="2"/>
      <c r="AN1392" s="2"/>
      <c r="AQ1392" s="1"/>
      <c r="BG1392" s="1"/>
    </row>
    <row r="1393" spans="15:59">
      <c r="O1393" s="1"/>
      <c r="P1393" s="1"/>
      <c r="AA1393" s="1"/>
      <c r="AB1393" s="1"/>
      <c r="AG1393" s="1"/>
      <c r="AH1393" s="1"/>
      <c r="AK1393" s="1"/>
      <c r="AL1393" s="1"/>
      <c r="AM1393" s="2"/>
      <c r="AN1393" s="2"/>
      <c r="AQ1393" s="1"/>
      <c r="BG1393" s="1"/>
    </row>
    <row r="1394" spans="15:59">
      <c r="O1394" s="1"/>
      <c r="P1394" s="1"/>
      <c r="AA1394" s="1"/>
      <c r="AB1394" s="1"/>
      <c r="AG1394" s="1"/>
      <c r="AH1394" s="1"/>
      <c r="AK1394" s="1"/>
      <c r="AL1394" s="1"/>
      <c r="AM1394" s="2"/>
      <c r="AN1394" s="2"/>
      <c r="AQ1394" s="1"/>
      <c r="BG1394" s="1"/>
    </row>
    <row r="1395" spans="15:59">
      <c r="O1395" s="1"/>
      <c r="P1395" s="1"/>
      <c r="AA1395" s="1"/>
      <c r="AB1395" s="1"/>
      <c r="AG1395" s="1"/>
      <c r="AH1395" s="1"/>
      <c r="AK1395" s="1"/>
      <c r="AL1395" s="1"/>
      <c r="AM1395" s="2"/>
      <c r="AN1395" s="2"/>
      <c r="AQ1395" s="1"/>
      <c r="BG1395" s="1"/>
    </row>
    <row r="1396" spans="15:59">
      <c r="O1396" s="1"/>
      <c r="P1396" s="1"/>
      <c r="AA1396" s="1"/>
      <c r="AB1396" s="1"/>
      <c r="AG1396" s="1"/>
      <c r="AH1396" s="1"/>
      <c r="AK1396" s="1"/>
      <c r="AL1396" s="1"/>
      <c r="AM1396" s="2"/>
      <c r="AN1396" s="2"/>
      <c r="AQ1396" s="1"/>
      <c r="BG1396" s="1"/>
    </row>
    <row r="1397" spans="15:59">
      <c r="O1397" s="1"/>
      <c r="P1397" s="1"/>
      <c r="AA1397" s="1"/>
      <c r="AB1397" s="1"/>
      <c r="AG1397" s="1"/>
      <c r="AH1397" s="1"/>
      <c r="AK1397" s="1"/>
      <c r="AL1397" s="1"/>
      <c r="AM1397" s="2"/>
      <c r="AN1397" s="2"/>
      <c r="AQ1397" s="1"/>
      <c r="BG1397" s="1"/>
    </row>
    <row r="1398" spans="15:59">
      <c r="O1398" s="1"/>
      <c r="P1398" s="1"/>
      <c r="AA1398" s="1"/>
      <c r="AB1398" s="1"/>
      <c r="AG1398" s="1"/>
      <c r="AH1398" s="1"/>
      <c r="AK1398" s="1"/>
      <c r="AL1398" s="1"/>
      <c r="AM1398" s="2"/>
      <c r="AN1398" s="2"/>
      <c r="AQ1398" s="1"/>
      <c r="BG1398" s="1"/>
    </row>
    <row r="1399" spans="15:59">
      <c r="O1399" s="1"/>
      <c r="P1399" s="1"/>
      <c r="AA1399" s="1"/>
      <c r="AB1399" s="1"/>
      <c r="AG1399" s="1"/>
      <c r="AH1399" s="1"/>
      <c r="AK1399" s="1"/>
      <c r="AL1399" s="1"/>
      <c r="AM1399" s="2"/>
      <c r="AN1399" s="2"/>
      <c r="AQ1399" s="1"/>
      <c r="BG1399" s="1"/>
    </row>
    <row r="1400" spans="15:59">
      <c r="O1400" s="1"/>
      <c r="P1400" s="1"/>
      <c r="AA1400" s="1"/>
      <c r="AB1400" s="1"/>
      <c r="AG1400" s="1"/>
      <c r="AH1400" s="1"/>
      <c r="AK1400" s="1"/>
      <c r="AL1400" s="1"/>
      <c r="AM1400" s="2"/>
      <c r="AN1400" s="2"/>
      <c r="AQ1400" s="1"/>
      <c r="BG1400" s="1"/>
    </row>
    <row r="1401" spans="15:59">
      <c r="O1401" s="1"/>
      <c r="P1401" s="1"/>
      <c r="AA1401" s="1"/>
      <c r="AB1401" s="1"/>
      <c r="AG1401" s="1"/>
      <c r="AH1401" s="1"/>
      <c r="AK1401" s="1"/>
      <c r="AL1401" s="1"/>
      <c r="AM1401" s="2"/>
      <c r="AN1401" s="2"/>
      <c r="AQ1401" s="1"/>
      <c r="BG1401" s="1"/>
    </row>
    <row r="1402" spans="15:59">
      <c r="O1402" s="1"/>
      <c r="P1402" s="1"/>
      <c r="AA1402" s="1"/>
      <c r="AB1402" s="1"/>
      <c r="AG1402" s="1"/>
      <c r="AH1402" s="1"/>
      <c r="AK1402" s="1"/>
      <c r="AL1402" s="1"/>
      <c r="AM1402" s="2"/>
      <c r="AN1402" s="2"/>
      <c r="AQ1402" s="1"/>
      <c r="BG1402" s="1"/>
    </row>
    <row r="1403" spans="15:59">
      <c r="O1403" s="1"/>
      <c r="P1403" s="1"/>
      <c r="AA1403" s="1"/>
      <c r="AB1403" s="1"/>
      <c r="AG1403" s="1"/>
      <c r="AH1403" s="1"/>
      <c r="AK1403" s="1"/>
      <c r="AL1403" s="1"/>
      <c r="AM1403" s="2"/>
      <c r="AN1403" s="2"/>
      <c r="AQ1403" s="1"/>
      <c r="BG1403" s="1"/>
    </row>
    <row r="1404" spans="15:59">
      <c r="O1404" s="1"/>
      <c r="P1404" s="1"/>
      <c r="AA1404" s="1"/>
      <c r="AB1404" s="1"/>
      <c r="AG1404" s="1"/>
      <c r="AH1404" s="1"/>
      <c r="AK1404" s="1"/>
      <c r="AL1404" s="1"/>
      <c r="AM1404" s="2"/>
      <c r="AN1404" s="2"/>
      <c r="AQ1404" s="1"/>
      <c r="BG1404" s="1"/>
    </row>
    <row r="1405" spans="15:59">
      <c r="O1405" s="1"/>
      <c r="P1405" s="1"/>
      <c r="AA1405" s="1"/>
      <c r="AB1405" s="1"/>
      <c r="AG1405" s="1"/>
      <c r="AH1405" s="1"/>
      <c r="AK1405" s="1"/>
      <c r="AL1405" s="1"/>
      <c r="AM1405" s="2"/>
      <c r="AN1405" s="2"/>
      <c r="AQ1405" s="1"/>
      <c r="BG1405" s="1"/>
    </row>
    <row r="1406" spans="15:59">
      <c r="O1406" s="1"/>
      <c r="P1406" s="1"/>
      <c r="AA1406" s="1"/>
      <c r="AB1406" s="1"/>
      <c r="AG1406" s="1"/>
      <c r="AH1406" s="1"/>
      <c r="AK1406" s="1"/>
      <c r="AL1406" s="1"/>
      <c r="AM1406" s="2"/>
      <c r="AN1406" s="2"/>
      <c r="AQ1406" s="1"/>
      <c r="BG1406" s="1"/>
    </row>
    <row r="1407" spans="15:59">
      <c r="O1407" s="1"/>
      <c r="P1407" s="1"/>
      <c r="AA1407" s="1"/>
      <c r="AB1407" s="1"/>
      <c r="AG1407" s="1"/>
      <c r="AH1407" s="1"/>
      <c r="AK1407" s="1"/>
      <c r="AL1407" s="1"/>
      <c r="AM1407" s="2"/>
      <c r="AN1407" s="2"/>
      <c r="AQ1407" s="1"/>
      <c r="BG1407" s="1"/>
    </row>
    <row r="1408" spans="15:59">
      <c r="O1408" s="1"/>
      <c r="P1408" s="1"/>
      <c r="AA1408" s="1"/>
      <c r="AB1408" s="1"/>
      <c r="AG1408" s="1"/>
      <c r="AH1408" s="1"/>
      <c r="AK1408" s="1"/>
      <c r="AL1408" s="1"/>
      <c r="AM1408" s="2"/>
      <c r="AN1408" s="2"/>
      <c r="AQ1408" s="1"/>
      <c r="BG1408" s="1"/>
    </row>
    <row r="1409" spans="15:59">
      <c r="O1409" s="1"/>
      <c r="P1409" s="1"/>
      <c r="AA1409" s="1"/>
      <c r="AB1409" s="1"/>
      <c r="AG1409" s="1"/>
      <c r="AH1409" s="1"/>
      <c r="AK1409" s="1"/>
      <c r="AL1409" s="1"/>
      <c r="AM1409" s="2"/>
      <c r="AN1409" s="2"/>
      <c r="AQ1409" s="1"/>
      <c r="BG1409" s="1"/>
    </row>
    <row r="1410" spans="15:59">
      <c r="O1410" s="1"/>
      <c r="P1410" s="1"/>
      <c r="AA1410" s="1"/>
      <c r="AB1410" s="1"/>
      <c r="AG1410" s="1"/>
      <c r="AH1410" s="1"/>
      <c r="AK1410" s="1"/>
      <c r="AL1410" s="1"/>
      <c r="AM1410" s="2"/>
      <c r="AN1410" s="2"/>
      <c r="AQ1410" s="1"/>
      <c r="BG1410" s="1"/>
    </row>
    <row r="1411" spans="15:59">
      <c r="O1411" s="1"/>
      <c r="P1411" s="1"/>
      <c r="AA1411" s="1"/>
      <c r="AB1411" s="1"/>
      <c r="AG1411" s="1"/>
      <c r="AH1411" s="1"/>
      <c r="AK1411" s="1"/>
      <c r="AL1411" s="1"/>
      <c r="AM1411" s="2"/>
      <c r="AN1411" s="2"/>
      <c r="AQ1411" s="1"/>
      <c r="BG1411" s="1"/>
    </row>
    <row r="1412" spans="15:59">
      <c r="O1412" s="1"/>
      <c r="P1412" s="1"/>
      <c r="AA1412" s="1"/>
      <c r="AB1412" s="1"/>
      <c r="AG1412" s="1"/>
      <c r="AH1412" s="1"/>
      <c r="AK1412" s="1"/>
      <c r="AL1412" s="1"/>
      <c r="AM1412" s="2"/>
      <c r="AN1412" s="2"/>
      <c r="AQ1412" s="1"/>
      <c r="BG1412" s="1"/>
    </row>
    <row r="1413" spans="15:59">
      <c r="O1413" s="1"/>
      <c r="P1413" s="1"/>
      <c r="AA1413" s="1"/>
      <c r="AB1413" s="1"/>
      <c r="AG1413" s="1"/>
      <c r="AH1413" s="1"/>
      <c r="AK1413" s="1"/>
      <c r="AL1413" s="1"/>
      <c r="AM1413" s="2"/>
      <c r="AN1413" s="2"/>
      <c r="AQ1413" s="1"/>
      <c r="BG1413" s="1"/>
    </row>
    <row r="1414" spans="15:59">
      <c r="O1414" s="1"/>
      <c r="P1414" s="1"/>
      <c r="AA1414" s="1"/>
      <c r="AB1414" s="1"/>
      <c r="AG1414" s="1"/>
      <c r="AH1414" s="1"/>
      <c r="AK1414" s="1"/>
      <c r="AL1414" s="1"/>
      <c r="AM1414" s="2"/>
      <c r="AN1414" s="2"/>
      <c r="AQ1414" s="1"/>
      <c r="BG1414" s="1"/>
    </row>
    <row r="1415" spans="15:59">
      <c r="O1415" s="1"/>
      <c r="P1415" s="1"/>
      <c r="AA1415" s="1"/>
      <c r="AB1415" s="1"/>
      <c r="AG1415" s="1"/>
      <c r="AH1415" s="1"/>
      <c r="AK1415" s="1"/>
      <c r="AL1415" s="1"/>
      <c r="AM1415" s="2"/>
      <c r="AN1415" s="2"/>
      <c r="AQ1415" s="1"/>
      <c r="BG1415" s="1"/>
    </row>
    <row r="1416" spans="15:59">
      <c r="O1416" s="1"/>
      <c r="P1416" s="1"/>
      <c r="AA1416" s="1"/>
      <c r="AB1416" s="1"/>
      <c r="AG1416" s="1"/>
      <c r="AH1416" s="1"/>
      <c r="AK1416" s="1"/>
      <c r="AL1416" s="1"/>
      <c r="AM1416" s="2"/>
      <c r="AN1416" s="2"/>
      <c r="AQ1416" s="1"/>
      <c r="BG1416" s="1"/>
    </row>
    <row r="1417" spans="15:59">
      <c r="O1417" s="1"/>
      <c r="P1417" s="1"/>
      <c r="AA1417" s="1"/>
      <c r="AB1417" s="1"/>
      <c r="AG1417" s="1"/>
      <c r="AH1417" s="1"/>
      <c r="AK1417" s="1"/>
      <c r="AL1417" s="1"/>
      <c r="AM1417" s="2"/>
      <c r="AN1417" s="2"/>
      <c r="AQ1417" s="1"/>
      <c r="BG1417" s="1"/>
    </row>
    <row r="1418" spans="15:59">
      <c r="O1418" s="1"/>
      <c r="P1418" s="1"/>
      <c r="AA1418" s="1"/>
      <c r="AB1418" s="1"/>
      <c r="AG1418" s="1"/>
      <c r="AH1418" s="1"/>
      <c r="AK1418" s="1"/>
      <c r="AL1418" s="1"/>
      <c r="AM1418" s="2"/>
      <c r="AN1418" s="2"/>
      <c r="AQ1418" s="1"/>
      <c r="BG1418" s="1"/>
    </row>
    <row r="1419" spans="15:59">
      <c r="O1419" s="1"/>
      <c r="P1419" s="1"/>
      <c r="AA1419" s="1"/>
      <c r="AB1419" s="1"/>
      <c r="AG1419" s="1"/>
      <c r="AH1419" s="1"/>
      <c r="AK1419" s="1"/>
      <c r="AL1419" s="1"/>
      <c r="AM1419" s="2"/>
      <c r="AN1419" s="2"/>
      <c r="AQ1419" s="1"/>
      <c r="BG1419" s="1"/>
    </row>
    <row r="1420" spans="15:59">
      <c r="O1420" s="1"/>
      <c r="P1420" s="1"/>
      <c r="AA1420" s="1"/>
      <c r="AB1420" s="1"/>
      <c r="AG1420" s="1"/>
      <c r="AH1420" s="1"/>
      <c r="AK1420" s="1"/>
      <c r="AL1420" s="1"/>
      <c r="AM1420" s="2"/>
      <c r="AN1420" s="2"/>
      <c r="AQ1420" s="1"/>
      <c r="BG1420" s="1"/>
    </row>
    <row r="1421" spans="15:59">
      <c r="O1421" s="1"/>
      <c r="P1421" s="1"/>
      <c r="AA1421" s="1"/>
      <c r="AB1421" s="1"/>
      <c r="AG1421" s="1"/>
      <c r="AH1421" s="1"/>
      <c r="AK1421" s="1"/>
      <c r="AL1421" s="1"/>
      <c r="AM1421" s="2"/>
      <c r="AN1421" s="2"/>
      <c r="AQ1421" s="1"/>
      <c r="BG1421" s="1"/>
    </row>
    <row r="1422" spans="15:59">
      <c r="O1422" s="1"/>
      <c r="P1422" s="1"/>
      <c r="AA1422" s="1"/>
      <c r="AB1422" s="1"/>
      <c r="AG1422" s="1"/>
      <c r="AH1422" s="1"/>
      <c r="AK1422" s="1"/>
      <c r="AL1422" s="1"/>
      <c r="AM1422" s="2"/>
      <c r="AN1422" s="2"/>
      <c r="AQ1422" s="1"/>
      <c r="BG1422" s="1"/>
    </row>
    <row r="1423" spans="15:59">
      <c r="O1423" s="1"/>
      <c r="P1423" s="1"/>
      <c r="AA1423" s="1"/>
      <c r="AB1423" s="1"/>
      <c r="AG1423" s="1"/>
      <c r="AH1423" s="1"/>
      <c r="AK1423" s="1"/>
      <c r="AL1423" s="1"/>
      <c r="AM1423" s="2"/>
      <c r="AN1423" s="2"/>
      <c r="AQ1423" s="1"/>
      <c r="BG1423" s="1"/>
    </row>
    <row r="1424" spans="15:59">
      <c r="O1424" s="1"/>
      <c r="P1424" s="1"/>
      <c r="AA1424" s="1"/>
      <c r="AB1424" s="1"/>
      <c r="AG1424" s="1"/>
      <c r="AH1424" s="1"/>
      <c r="AK1424" s="1"/>
      <c r="AL1424" s="1"/>
      <c r="AM1424" s="2"/>
      <c r="AN1424" s="2"/>
      <c r="AQ1424" s="1"/>
      <c r="BG1424" s="1"/>
    </row>
    <row r="1425" spans="15:59">
      <c r="O1425" s="1"/>
      <c r="P1425" s="1"/>
      <c r="AA1425" s="1"/>
      <c r="AB1425" s="1"/>
      <c r="AG1425" s="1"/>
      <c r="AH1425" s="1"/>
      <c r="AK1425" s="1"/>
      <c r="AL1425" s="1"/>
      <c r="AM1425" s="2"/>
      <c r="AN1425" s="2"/>
      <c r="AQ1425" s="1"/>
      <c r="BG1425" s="1"/>
    </row>
    <row r="1426" spans="15:59">
      <c r="O1426" s="1"/>
      <c r="P1426" s="1"/>
      <c r="AA1426" s="1"/>
      <c r="AB1426" s="1"/>
      <c r="AG1426" s="1"/>
      <c r="AH1426" s="1"/>
      <c r="AK1426" s="1"/>
      <c r="AL1426" s="1"/>
      <c r="AM1426" s="2"/>
      <c r="AN1426" s="2"/>
      <c r="AQ1426" s="1"/>
      <c r="BG1426" s="1"/>
    </row>
    <row r="1427" spans="15:59">
      <c r="O1427" s="1"/>
      <c r="P1427" s="1"/>
      <c r="AA1427" s="1"/>
      <c r="AB1427" s="1"/>
      <c r="AG1427" s="1"/>
      <c r="AH1427" s="1"/>
      <c r="AK1427" s="1"/>
      <c r="AL1427" s="1"/>
      <c r="AM1427" s="2"/>
      <c r="AN1427" s="2"/>
      <c r="AQ1427" s="1"/>
      <c r="BG1427" s="1"/>
    </row>
    <row r="1428" spans="15:59">
      <c r="O1428" s="1"/>
      <c r="P1428" s="1"/>
      <c r="AA1428" s="1"/>
      <c r="AB1428" s="1"/>
      <c r="AG1428" s="1"/>
      <c r="AH1428" s="1"/>
      <c r="AK1428" s="1"/>
      <c r="AL1428" s="1"/>
      <c r="AM1428" s="2"/>
      <c r="AN1428" s="2"/>
      <c r="AQ1428" s="1"/>
      <c r="BG1428" s="1"/>
    </row>
    <row r="1429" spans="15:59">
      <c r="O1429" s="1"/>
      <c r="P1429" s="1"/>
      <c r="AA1429" s="1"/>
      <c r="AB1429" s="1"/>
      <c r="AG1429" s="1"/>
      <c r="AH1429" s="1"/>
      <c r="AK1429" s="1"/>
      <c r="AL1429" s="1"/>
      <c r="AM1429" s="2"/>
      <c r="AN1429" s="2"/>
      <c r="AQ1429" s="1"/>
      <c r="BG1429" s="1"/>
    </row>
    <row r="1430" spans="15:59">
      <c r="O1430" s="1"/>
      <c r="P1430" s="1"/>
      <c r="AA1430" s="1"/>
      <c r="AB1430" s="1"/>
      <c r="AG1430" s="1"/>
      <c r="AH1430" s="1"/>
      <c r="AK1430" s="1"/>
      <c r="AL1430" s="1"/>
      <c r="AM1430" s="2"/>
      <c r="AN1430" s="2"/>
      <c r="AQ1430" s="1"/>
      <c r="BG1430" s="1"/>
    </row>
    <row r="1431" spans="15:59">
      <c r="O1431" s="1"/>
      <c r="P1431" s="1"/>
      <c r="AA1431" s="1"/>
      <c r="AB1431" s="1"/>
      <c r="AG1431" s="1"/>
      <c r="AH1431" s="1"/>
      <c r="AK1431" s="1"/>
      <c r="AL1431" s="1"/>
      <c r="AM1431" s="2"/>
      <c r="AN1431" s="2"/>
      <c r="AQ1431" s="1"/>
      <c r="BG1431" s="1"/>
    </row>
    <row r="1432" spans="15:59">
      <c r="O1432" s="1"/>
      <c r="P1432" s="1"/>
      <c r="AA1432" s="1"/>
      <c r="AB1432" s="1"/>
      <c r="AG1432" s="1"/>
      <c r="AH1432" s="1"/>
      <c r="AK1432" s="1"/>
      <c r="AL1432" s="1"/>
      <c r="AM1432" s="2"/>
      <c r="AN1432" s="2"/>
      <c r="AQ1432" s="1"/>
      <c r="BG1432" s="1"/>
    </row>
    <row r="1433" spans="15:59">
      <c r="O1433" s="1"/>
      <c r="P1433" s="1"/>
      <c r="AA1433" s="1"/>
      <c r="AB1433" s="1"/>
      <c r="AG1433" s="1"/>
      <c r="AH1433" s="1"/>
      <c r="AK1433" s="1"/>
      <c r="AL1433" s="1"/>
      <c r="AM1433" s="2"/>
      <c r="AN1433" s="2"/>
      <c r="AQ1433" s="1"/>
      <c r="BG1433" s="1"/>
    </row>
    <row r="1434" spans="15:59">
      <c r="O1434" s="1"/>
      <c r="P1434" s="1"/>
      <c r="AA1434" s="1"/>
      <c r="AB1434" s="1"/>
      <c r="AG1434" s="1"/>
      <c r="AH1434" s="1"/>
      <c r="AK1434" s="1"/>
      <c r="AL1434" s="1"/>
      <c r="AM1434" s="2"/>
      <c r="AN1434" s="2"/>
      <c r="AQ1434" s="1"/>
      <c r="BG1434" s="1"/>
    </row>
    <row r="1435" spans="15:59">
      <c r="O1435" s="1"/>
      <c r="P1435" s="1"/>
      <c r="AA1435" s="1"/>
      <c r="AB1435" s="1"/>
      <c r="AG1435" s="1"/>
      <c r="AH1435" s="1"/>
      <c r="AK1435" s="1"/>
      <c r="AL1435" s="1"/>
      <c r="AM1435" s="2"/>
      <c r="AN1435" s="2"/>
      <c r="AQ1435" s="1"/>
      <c r="BG1435" s="1"/>
    </row>
    <row r="1436" spans="15:59">
      <c r="O1436" s="1"/>
      <c r="P1436" s="1"/>
      <c r="AA1436" s="1"/>
      <c r="AB1436" s="1"/>
      <c r="AG1436" s="1"/>
      <c r="AH1436" s="1"/>
      <c r="AK1436" s="1"/>
      <c r="AL1436" s="1"/>
      <c r="AM1436" s="2"/>
      <c r="AN1436" s="2"/>
      <c r="AQ1436" s="1"/>
      <c r="BG1436" s="1"/>
    </row>
    <row r="1437" spans="15:59">
      <c r="O1437" s="1"/>
      <c r="P1437" s="1"/>
      <c r="AA1437" s="1"/>
      <c r="AB1437" s="1"/>
      <c r="AG1437" s="1"/>
      <c r="AH1437" s="1"/>
      <c r="AK1437" s="1"/>
      <c r="AL1437" s="1"/>
      <c r="AM1437" s="2"/>
      <c r="AN1437" s="2"/>
      <c r="AQ1437" s="1"/>
      <c r="BG1437" s="1"/>
    </row>
    <row r="1438" spans="15:59">
      <c r="O1438" s="1"/>
      <c r="P1438" s="1"/>
      <c r="AA1438" s="1"/>
      <c r="AB1438" s="1"/>
      <c r="AG1438" s="1"/>
      <c r="AH1438" s="1"/>
      <c r="AK1438" s="1"/>
      <c r="AL1438" s="1"/>
      <c r="AM1438" s="2"/>
      <c r="AN1438" s="2"/>
      <c r="AQ1438" s="1"/>
      <c r="BG1438" s="1"/>
    </row>
    <row r="1439" spans="15:59">
      <c r="O1439" s="1"/>
      <c r="P1439" s="1"/>
      <c r="AA1439" s="1"/>
      <c r="AB1439" s="1"/>
      <c r="AG1439" s="1"/>
      <c r="AH1439" s="1"/>
      <c r="AK1439" s="1"/>
      <c r="AL1439" s="1"/>
      <c r="AM1439" s="2"/>
      <c r="AN1439" s="2"/>
      <c r="AQ1439" s="1"/>
      <c r="BG1439" s="1"/>
    </row>
    <row r="1440" spans="15:59">
      <c r="O1440" s="1"/>
      <c r="P1440" s="1"/>
      <c r="AA1440" s="1"/>
      <c r="AB1440" s="1"/>
      <c r="AG1440" s="1"/>
      <c r="AH1440" s="1"/>
      <c r="AK1440" s="1"/>
      <c r="AL1440" s="1"/>
      <c r="AM1440" s="2"/>
      <c r="AN1440" s="2"/>
      <c r="AQ1440" s="1"/>
      <c r="BG1440" s="1"/>
    </row>
    <row r="1441" spans="15:59">
      <c r="O1441" s="1"/>
      <c r="P1441" s="1"/>
      <c r="AA1441" s="1"/>
      <c r="AB1441" s="1"/>
      <c r="AG1441" s="1"/>
      <c r="AH1441" s="1"/>
      <c r="AK1441" s="1"/>
      <c r="AL1441" s="1"/>
      <c r="AM1441" s="2"/>
      <c r="AN1441" s="2"/>
      <c r="AQ1441" s="1"/>
      <c r="BG1441" s="1"/>
    </row>
    <row r="1442" spans="15:59">
      <c r="O1442" s="1"/>
      <c r="P1442" s="1"/>
      <c r="AA1442" s="1"/>
      <c r="AB1442" s="1"/>
      <c r="AG1442" s="1"/>
      <c r="AH1442" s="1"/>
      <c r="AK1442" s="1"/>
      <c r="AL1442" s="1"/>
      <c r="AM1442" s="2"/>
      <c r="AN1442" s="2"/>
      <c r="AQ1442" s="1"/>
      <c r="BG1442" s="1"/>
    </row>
    <row r="1443" spans="15:59">
      <c r="O1443" s="1"/>
      <c r="P1443" s="1"/>
      <c r="AA1443" s="1"/>
      <c r="AB1443" s="1"/>
      <c r="AG1443" s="1"/>
      <c r="AH1443" s="1"/>
      <c r="AK1443" s="1"/>
      <c r="AL1443" s="1"/>
      <c r="AM1443" s="2"/>
      <c r="AN1443" s="2"/>
      <c r="AQ1443" s="1"/>
      <c r="BG1443" s="1"/>
    </row>
    <row r="1444" spans="15:59">
      <c r="O1444" s="1"/>
      <c r="P1444" s="1"/>
      <c r="AA1444" s="1"/>
      <c r="AB1444" s="1"/>
      <c r="AG1444" s="1"/>
      <c r="AH1444" s="1"/>
      <c r="AK1444" s="1"/>
      <c r="AL1444" s="1"/>
      <c r="AM1444" s="2"/>
      <c r="AN1444" s="2"/>
      <c r="AQ1444" s="1"/>
      <c r="BG1444" s="1"/>
    </row>
    <row r="1445" spans="15:59">
      <c r="O1445" s="1"/>
      <c r="P1445" s="1"/>
      <c r="AA1445" s="1"/>
      <c r="AB1445" s="1"/>
      <c r="AG1445" s="1"/>
      <c r="AH1445" s="1"/>
      <c r="AK1445" s="1"/>
      <c r="AL1445" s="1"/>
      <c r="AM1445" s="2"/>
      <c r="AN1445" s="2"/>
      <c r="AQ1445" s="1"/>
      <c r="BG1445" s="1"/>
    </row>
    <row r="1446" spans="15:59">
      <c r="O1446" s="1"/>
      <c r="P1446" s="1"/>
      <c r="AA1446" s="1"/>
      <c r="AB1446" s="1"/>
      <c r="AG1446" s="1"/>
      <c r="AH1446" s="1"/>
      <c r="AK1446" s="1"/>
      <c r="AL1446" s="1"/>
      <c r="AM1446" s="2"/>
      <c r="AN1446" s="2"/>
      <c r="AQ1446" s="1"/>
      <c r="BG1446" s="1"/>
    </row>
    <row r="1447" spans="15:59">
      <c r="O1447" s="1"/>
      <c r="P1447" s="1"/>
      <c r="AA1447" s="1"/>
      <c r="AB1447" s="1"/>
      <c r="AG1447" s="1"/>
      <c r="AH1447" s="1"/>
      <c r="AK1447" s="1"/>
      <c r="AL1447" s="1"/>
      <c r="AM1447" s="2"/>
      <c r="AN1447" s="2"/>
      <c r="AQ1447" s="1"/>
      <c r="BG1447" s="1"/>
    </row>
    <row r="1448" spans="15:59">
      <c r="O1448" s="1"/>
      <c r="P1448" s="1"/>
      <c r="AA1448" s="1"/>
      <c r="AB1448" s="1"/>
      <c r="AG1448" s="1"/>
      <c r="AH1448" s="1"/>
      <c r="AK1448" s="1"/>
      <c r="AL1448" s="1"/>
      <c r="AM1448" s="2"/>
      <c r="AN1448" s="2"/>
      <c r="AQ1448" s="1"/>
      <c r="BG1448" s="1"/>
    </row>
    <row r="1449" spans="15:59">
      <c r="O1449" s="1"/>
      <c r="P1449" s="1"/>
      <c r="AA1449" s="1"/>
      <c r="AB1449" s="1"/>
      <c r="AG1449" s="1"/>
      <c r="AH1449" s="1"/>
      <c r="AK1449" s="1"/>
      <c r="AL1449" s="1"/>
      <c r="AM1449" s="2"/>
      <c r="AN1449" s="2"/>
      <c r="AQ1449" s="1"/>
      <c r="BG1449" s="1"/>
    </row>
    <row r="1450" spans="15:59">
      <c r="O1450" s="1"/>
      <c r="P1450" s="1"/>
      <c r="AA1450" s="1"/>
      <c r="AB1450" s="1"/>
      <c r="AG1450" s="1"/>
      <c r="AH1450" s="1"/>
      <c r="AK1450" s="1"/>
      <c r="AL1450" s="1"/>
      <c r="AM1450" s="2"/>
      <c r="AN1450" s="2"/>
      <c r="AQ1450" s="1"/>
      <c r="BG1450" s="1"/>
    </row>
    <row r="1451" spans="15:59">
      <c r="O1451" s="1"/>
      <c r="P1451" s="1"/>
      <c r="AA1451" s="1"/>
      <c r="AB1451" s="1"/>
      <c r="AG1451" s="1"/>
      <c r="AH1451" s="1"/>
      <c r="AK1451" s="1"/>
      <c r="AL1451" s="1"/>
      <c r="AM1451" s="2"/>
      <c r="AN1451" s="2"/>
      <c r="AQ1451" s="1"/>
      <c r="BG1451" s="1"/>
    </row>
    <row r="1452" spans="15:59">
      <c r="O1452" s="1"/>
      <c r="P1452" s="1"/>
      <c r="AA1452" s="1"/>
      <c r="AB1452" s="1"/>
      <c r="AG1452" s="1"/>
      <c r="AH1452" s="1"/>
      <c r="AK1452" s="1"/>
      <c r="AL1452" s="1"/>
      <c r="AM1452" s="2"/>
      <c r="AN1452" s="2"/>
      <c r="AQ1452" s="1"/>
      <c r="BG1452" s="1"/>
    </row>
    <row r="1453" spans="15:59">
      <c r="O1453" s="1"/>
      <c r="P1453" s="1"/>
      <c r="AA1453" s="1"/>
      <c r="AB1453" s="1"/>
      <c r="AG1453" s="1"/>
      <c r="AH1453" s="1"/>
      <c r="AK1453" s="1"/>
      <c r="AL1453" s="1"/>
      <c r="AM1453" s="2"/>
      <c r="AN1453" s="2"/>
      <c r="AQ1453" s="1"/>
      <c r="BG1453" s="1"/>
    </row>
    <row r="1454" spans="15:59">
      <c r="O1454" s="1"/>
      <c r="P1454" s="1"/>
      <c r="AA1454" s="1"/>
      <c r="AB1454" s="1"/>
      <c r="AG1454" s="1"/>
      <c r="AH1454" s="1"/>
      <c r="AK1454" s="1"/>
      <c r="AL1454" s="1"/>
      <c r="AM1454" s="2"/>
      <c r="AN1454" s="2"/>
      <c r="AQ1454" s="1"/>
      <c r="BG1454" s="1"/>
    </row>
    <row r="1455" spans="15:59">
      <c r="O1455" s="1"/>
      <c r="P1455" s="1"/>
      <c r="AA1455" s="1"/>
      <c r="AB1455" s="1"/>
      <c r="AG1455" s="1"/>
      <c r="AH1455" s="1"/>
      <c r="AK1455" s="1"/>
      <c r="AL1455" s="1"/>
      <c r="AM1455" s="2"/>
      <c r="AN1455" s="2"/>
      <c r="AQ1455" s="1"/>
      <c r="BG1455" s="1"/>
    </row>
    <row r="1456" spans="15:59">
      <c r="O1456" s="1"/>
      <c r="P1456" s="1"/>
      <c r="AA1456" s="1"/>
      <c r="AB1456" s="1"/>
      <c r="AG1456" s="1"/>
      <c r="AH1456" s="1"/>
      <c r="AK1456" s="1"/>
      <c r="AL1456" s="1"/>
      <c r="AM1456" s="2"/>
      <c r="AN1456" s="2"/>
      <c r="AQ1456" s="1"/>
      <c r="BG1456" s="1"/>
    </row>
    <row r="1457" spans="15:59">
      <c r="O1457" s="1"/>
      <c r="P1457" s="1"/>
      <c r="AA1457" s="1"/>
      <c r="AB1457" s="1"/>
      <c r="AG1457" s="1"/>
      <c r="AH1457" s="1"/>
      <c r="AK1457" s="1"/>
      <c r="AL1457" s="1"/>
      <c r="AM1457" s="2"/>
      <c r="AN1457" s="2"/>
      <c r="AQ1457" s="1"/>
      <c r="BG1457" s="1"/>
    </row>
    <row r="1458" spans="15:59">
      <c r="O1458" s="1"/>
      <c r="P1458" s="1"/>
      <c r="AA1458" s="1"/>
      <c r="AB1458" s="1"/>
      <c r="AG1458" s="1"/>
      <c r="AH1458" s="1"/>
      <c r="AK1458" s="1"/>
      <c r="AL1458" s="1"/>
      <c r="AM1458" s="2"/>
      <c r="AN1458" s="2"/>
      <c r="AQ1458" s="1"/>
      <c r="BG1458" s="1"/>
    </row>
    <row r="1459" spans="15:59">
      <c r="O1459" s="1"/>
      <c r="P1459" s="1"/>
      <c r="AA1459" s="1"/>
      <c r="AB1459" s="1"/>
      <c r="AG1459" s="1"/>
      <c r="AH1459" s="1"/>
      <c r="AK1459" s="1"/>
      <c r="AL1459" s="1"/>
      <c r="AM1459" s="2"/>
      <c r="AN1459" s="2"/>
      <c r="AQ1459" s="1"/>
      <c r="BG1459" s="1"/>
    </row>
    <row r="1460" spans="15:59">
      <c r="O1460" s="1"/>
      <c r="P1460" s="1"/>
      <c r="AA1460" s="1"/>
      <c r="AB1460" s="1"/>
      <c r="AG1460" s="1"/>
      <c r="AH1460" s="1"/>
      <c r="AK1460" s="1"/>
      <c r="AL1460" s="1"/>
      <c r="AM1460" s="2"/>
      <c r="AN1460" s="2"/>
      <c r="AQ1460" s="1"/>
      <c r="BG1460" s="1"/>
    </row>
    <row r="1461" spans="15:59">
      <c r="O1461" s="1"/>
      <c r="P1461" s="1"/>
      <c r="AA1461" s="1"/>
      <c r="AB1461" s="1"/>
      <c r="AG1461" s="1"/>
      <c r="AH1461" s="1"/>
      <c r="AK1461" s="1"/>
      <c r="AL1461" s="1"/>
      <c r="AM1461" s="2"/>
      <c r="AN1461" s="2"/>
      <c r="AQ1461" s="1"/>
      <c r="BG1461" s="1"/>
    </row>
    <row r="1462" spans="15:59">
      <c r="O1462" s="1"/>
      <c r="P1462" s="1"/>
      <c r="AA1462" s="1"/>
      <c r="AB1462" s="1"/>
      <c r="AG1462" s="1"/>
      <c r="AH1462" s="1"/>
      <c r="AK1462" s="1"/>
      <c r="AL1462" s="1"/>
      <c r="AM1462" s="2"/>
      <c r="AN1462" s="2"/>
      <c r="AQ1462" s="1"/>
      <c r="BG1462" s="1"/>
    </row>
    <row r="1463" spans="15:59">
      <c r="O1463" s="1"/>
      <c r="P1463" s="1"/>
      <c r="AA1463" s="1"/>
      <c r="AB1463" s="1"/>
      <c r="AG1463" s="1"/>
      <c r="AH1463" s="1"/>
      <c r="AK1463" s="1"/>
      <c r="AL1463" s="1"/>
      <c r="AM1463" s="2"/>
      <c r="AN1463" s="2"/>
      <c r="AQ1463" s="1"/>
      <c r="BG1463" s="1"/>
    </row>
    <row r="1464" spans="15:59">
      <c r="O1464" s="1"/>
      <c r="P1464" s="1"/>
      <c r="AA1464" s="1"/>
      <c r="AB1464" s="1"/>
      <c r="AG1464" s="1"/>
      <c r="AH1464" s="1"/>
      <c r="AK1464" s="1"/>
      <c r="AL1464" s="1"/>
      <c r="AM1464" s="2"/>
      <c r="AN1464" s="2"/>
      <c r="AQ1464" s="1"/>
      <c r="BG1464" s="1"/>
    </row>
    <row r="1465" spans="15:59">
      <c r="O1465" s="1"/>
      <c r="P1465" s="1"/>
      <c r="AA1465" s="1"/>
      <c r="AB1465" s="1"/>
      <c r="AG1465" s="1"/>
      <c r="AH1465" s="1"/>
      <c r="AK1465" s="1"/>
      <c r="AL1465" s="1"/>
      <c r="AM1465" s="2"/>
      <c r="AN1465" s="2"/>
      <c r="AQ1465" s="1"/>
      <c r="BG1465" s="1"/>
    </row>
    <row r="1466" spans="15:59">
      <c r="O1466" s="1"/>
      <c r="P1466" s="1"/>
      <c r="AA1466" s="1"/>
      <c r="AB1466" s="1"/>
      <c r="AG1466" s="1"/>
      <c r="AH1466" s="1"/>
      <c r="AK1466" s="1"/>
      <c r="AL1466" s="1"/>
      <c r="AM1466" s="2"/>
      <c r="AN1466" s="2"/>
      <c r="AQ1466" s="1"/>
      <c r="BG1466" s="1"/>
    </row>
    <row r="1467" spans="15:59">
      <c r="O1467" s="1"/>
      <c r="P1467" s="1"/>
      <c r="AA1467" s="1"/>
      <c r="AB1467" s="1"/>
      <c r="AG1467" s="1"/>
      <c r="AH1467" s="1"/>
      <c r="AK1467" s="1"/>
      <c r="AL1467" s="1"/>
      <c r="AM1467" s="2"/>
      <c r="AN1467" s="2"/>
      <c r="AQ1467" s="1"/>
      <c r="BG1467" s="1"/>
    </row>
    <row r="1468" spans="15:59">
      <c r="O1468" s="1"/>
      <c r="P1468" s="1"/>
      <c r="AA1468" s="1"/>
      <c r="AB1468" s="1"/>
      <c r="AG1468" s="1"/>
      <c r="AH1468" s="1"/>
      <c r="AK1468" s="1"/>
      <c r="AL1468" s="1"/>
      <c r="AM1468" s="2"/>
      <c r="AN1468" s="2"/>
      <c r="AQ1468" s="1"/>
      <c r="BG1468" s="1"/>
    </row>
    <row r="1469" spans="15:59">
      <c r="O1469" s="1"/>
      <c r="P1469" s="1"/>
      <c r="AA1469" s="1"/>
      <c r="AB1469" s="1"/>
      <c r="AG1469" s="1"/>
      <c r="AH1469" s="1"/>
      <c r="AK1469" s="1"/>
      <c r="AL1469" s="1"/>
      <c r="AM1469" s="2"/>
      <c r="AN1469" s="2"/>
      <c r="AQ1469" s="1"/>
      <c r="BG1469" s="1"/>
    </row>
    <row r="1470" spans="15:59">
      <c r="O1470" s="1"/>
      <c r="P1470" s="1"/>
      <c r="AA1470" s="1"/>
      <c r="AB1470" s="1"/>
      <c r="AG1470" s="1"/>
      <c r="AH1470" s="1"/>
      <c r="AK1470" s="1"/>
      <c r="AL1470" s="1"/>
      <c r="AM1470" s="2"/>
      <c r="AN1470" s="2"/>
      <c r="AQ1470" s="1"/>
      <c r="BG1470" s="1"/>
    </row>
    <row r="1471" spans="15:59">
      <c r="O1471" s="1"/>
      <c r="P1471" s="1"/>
      <c r="AA1471" s="1"/>
      <c r="AB1471" s="1"/>
      <c r="AG1471" s="1"/>
      <c r="AH1471" s="1"/>
      <c r="AK1471" s="1"/>
      <c r="AL1471" s="1"/>
      <c r="AM1471" s="2"/>
      <c r="AN1471" s="2"/>
      <c r="AQ1471" s="1"/>
      <c r="BG1471" s="1"/>
    </row>
    <row r="1472" spans="15:59">
      <c r="O1472" s="1"/>
      <c r="P1472" s="1"/>
      <c r="AA1472" s="1"/>
      <c r="AB1472" s="1"/>
      <c r="AG1472" s="1"/>
      <c r="AH1472" s="1"/>
      <c r="AK1472" s="1"/>
      <c r="AL1472" s="1"/>
      <c r="AM1472" s="2"/>
      <c r="AN1472" s="2"/>
      <c r="AQ1472" s="1"/>
      <c r="BG1472" s="1"/>
    </row>
    <row r="1473" spans="15:59">
      <c r="O1473" s="1"/>
      <c r="P1473" s="1"/>
      <c r="AA1473" s="1"/>
      <c r="AB1473" s="1"/>
      <c r="AG1473" s="1"/>
      <c r="AH1473" s="1"/>
      <c r="AK1473" s="1"/>
      <c r="AL1473" s="1"/>
      <c r="AM1473" s="2"/>
      <c r="AN1473" s="2"/>
      <c r="AQ1473" s="1"/>
      <c r="BG1473" s="1"/>
    </row>
    <row r="1474" spans="15:59">
      <c r="O1474" s="1"/>
      <c r="P1474" s="1"/>
      <c r="AA1474" s="1"/>
      <c r="AB1474" s="1"/>
      <c r="AG1474" s="1"/>
      <c r="AH1474" s="1"/>
      <c r="AK1474" s="1"/>
      <c r="AL1474" s="1"/>
      <c r="AM1474" s="2"/>
      <c r="AN1474" s="2"/>
      <c r="AQ1474" s="1"/>
      <c r="BG1474" s="1"/>
    </row>
    <row r="1475" spans="15:59">
      <c r="O1475" s="1"/>
      <c r="P1475" s="1"/>
      <c r="AA1475" s="1"/>
      <c r="AB1475" s="1"/>
      <c r="AG1475" s="1"/>
      <c r="AH1475" s="1"/>
      <c r="AK1475" s="1"/>
      <c r="AL1475" s="1"/>
      <c r="AM1475" s="2"/>
      <c r="AN1475" s="2"/>
      <c r="AQ1475" s="1"/>
      <c r="BG1475" s="1"/>
    </row>
    <row r="1476" spans="15:59">
      <c r="O1476" s="1"/>
      <c r="P1476" s="1"/>
      <c r="AA1476" s="1"/>
      <c r="AB1476" s="1"/>
      <c r="AG1476" s="1"/>
      <c r="AH1476" s="1"/>
      <c r="AK1476" s="1"/>
      <c r="AL1476" s="1"/>
      <c r="AM1476" s="2"/>
      <c r="AN1476" s="2"/>
      <c r="AQ1476" s="1"/>
      <c r="BG1476" s="1"/>
    </row>
    <row r="1477" spans="15:59">
      <c r="O1477" s="1"/>
      <c r="P1477" s="1"/>
      <c r="AA1477" s="1"/>
      <c r="AB1477" s="1"/>
      <c r="AG1477" s="1"/>
      <c r="AH1477" s="1"/>
      <c r="AK1477" s="1"/>
      <c r="AL1477" s="1"/>
      <c r="AM1477" s="2"/>
      <c r="AN1477" s="2"/>
      <c r="AQ1477" s="1"/>
      <c r="BG1477" s="1"/>
    </row>
    <row r="1478" spans="15:59">
      <c r="O1478" s="1"/>
      <c r="P1478" s="1"/>
      <c r="AA1478" s="1"/>
      <c r="AB1478" s="1"/>
      <c r="AG1478" s="1"/>
      <c r="AH1478" s="1"/>
      <c r="AK1478" s="1"/>
      <c r="AL1478" s="1"/>
      <c r="AM1478" s="2"/>
      <c r="AN1478" s="2"/>
      <c r="AQ1478" s="1"/>
      <c r="BG1478" s="1"/>
    </row>
    <row r="1479" spans="15:59">
      <c r="O1479" s="1"/>
      <c r="P1479" s="1"/>
      <c r="AA1479" s="1"/>
      <c r="AB1479" s="1"/>
      <c r="AG1479" s="1"/>
      <c r="AH1479" s="1"/>
      <c r="AK1479" s="1"/>
      <c r="AL1479" s="1"/>
      <c r="AM1479" s="2"/>
      <c r="AN1479" s="2"/>
      <c r="AQ1479" s="1"/>
      <c r="BG1479" s="1"/>
    </row>
    <row r="1480" spans="15:59">
      <c r="O1480" s="1"/>
      <c r="P1480" s="1"/>
      <c r="AA1480" s="1"/>
      <c r="AB1480" s="1"/>
      <c r="AG1480" s="1"/>
      <c r="AH1480" s="1"/>
      <c r="AK1480" s="1"/>
      <c r="AL1480" s="1"/>
      <c r="AM1480" s="2"/>
      <c r="AN1480" s="2"/>
      <c r="AQ1480" s="1"/>
      <c r="BG1480" s="1"/>
    </row>
    <row r="1481" spans="15:59">
      <c r="O1481" s="1"/>
      <c r="P1481" s="1"/>
      <c r="AA1481" s="1"/>
      <c r="AB1481" s="1"/>
      <c r="AG1481" s="1"/>
      <c r="AH1481" s="1"/>
      <c r="AK1481" s="1"/>
      <c r="AL1481" s="1"/>
      <c r="AM1481" s="2"/>
      <c r="AN1481" s="2"/>
      <c r="AQ1481" s="1"/>
      <c r="BG1481" s="1"/>
    </row>
    <row r="1482" spans="15:59">
      <c r="O1482" s="1"/>
      <c r="P1482" s="1"/>
      <c r="AA1482" s="1"/>
      <c r="AB1482" s="1"/>
      <c r="AG1482" s="1"/>
      <c r="AH1482" s="1"/>
      <c r="AK1482" s="1"/>
      <c r="AL1482" s="1"/>
      <c r="AM1482" s="2"/>
      <c r="AN1482" s="2"/>
      <c r="AQ1482" s="1"/>
      <c r="BG1482" s="1"/>
    </row>
    <row r="1483" spans="15:59">
      <c r="O1483" s="1"/>
      <c r="P1483" s="1"/>
      <c r="AA1483" s="1"/>
      <c r="AB1483" s="1"/>
      <c r="AG1483" s="1"/>
      <c r="AH1483" s="1"/>
      <c r="AK1483" s="1"/>
      <c r="AL1483" s="1"/>
      <c r="AM1483" s="2"/>
      <c r="AN1483" s="2"/>
      <c r="AQ1483" s="1"/>
      <c r="BG1483" s="1"/>
    </row>
    <row r="1484" spans="15:59">
      <c r="O1484" s="1"/>
      <c r="P1484" s="1"/>
      <c r="AA1484" s="1"/>
      <c r="AB1484" s="1"/>
      <c r="AG1484" s="1"/>
      <c r="AH1484" s="1"/>
      <c r="AK1484" s="1"/>
      <c r="AL1484" s="1"/>
      <c r="AM1484" s="2"/>
      <c r="AN1484" s="2"/>
      <c r="AQ1484" s="1"/>
      <c r="BG1484" s="1"/>
    </row>
    <row r="1485" spans="15:59">
      <c r="O1485" s="1"/>
      <c r="P1485" s="1"/>
      <c r="AA1485" s="1"/>
      <c r="AB1485" s="1"/>
      <c r="AG1485" s="1"/>
      <c r="AH1485" s="1"/>
      <c r="AK1485" s="1"/>
      <c r="AL1485" s="1"/>
      <c r="AM1485" s="2"/>
      <c r="AN1485" s="2"/>
      <c r="AQ1485" s="1"/>
      <c r="BG1485" s="1"/>
    </row>
    <row r="1486" spans="15:59">
      <c r="O1486" s="1"/>
      <c r="P1486" s="1"/>
      <c r="AA1486" s="1"/>
      <c r="AB1486" s="1"/>
      <c r="AG1486" s="1"/>
      <c r="AH1486" s="1"/>
      <c r="AK1486" s="1"/>
      <c r="AL1486" s="1"/>
      <c r="AM1486" s="2"/>
      <c r="AN1486" s="2"/>
      <c r="AQ1486" s="1"/>
      <c r="BG1486" s="1"/>
    </row>
    <row r="1487" spans="15:59">
      <c r="O1487" s="1"/>
      <c r="P1487" s="1"/>
      <c r="AA1487" s="1"/>
      <c r="AB1487" s="1"/>
      <c r="AG1487" s="1"/>
      <c r="AH1487" s="1"/>
      <c r="AK1487" s="1"/>
      <c r="AL1487" s="1"/>
      <c r="AM1487" s="2"/>
      <c r="AN1487" s="2"/>
      <c r="AQ1487" s="1"/>
      <c r="BG1487" s="1"/>
    </row>
    <row r="1488" spans="15:59">
      <c r="O1488" s="1"/>
      <c r="P1488" s="1"/>
      <c r="AA1488" s="1"/>
      <c r="AB1488" s="1"/>
      <c r="AG1488" s="1"/>
      <c r="AH1488" s="1"/>
      <c r="AK1488" s="1"/>
      <c r="AL1488" s="1"/>
      <c r="AM1488" s="2"/>
      <c r="AN1488" s="2"/>
      <c r="AQ1488" s="1"/>
      <c r="BG1488" s="1"/>
    </row>
    <row r="1489" spans="15:59">
      <c r="O1489" s="1"/>
      <c r="P1489" s="1"/>
      <c r="AA1489" s="1"/>
      <c r="AB1489" s="1"/>
      <c r="AG1489" s="1"/>
      <c r="AH1489" s="1"/>
      <c r="AK1489" s="1"/>
      <c r="AL1489" s="1"/>
      <c r="AM1489" s="2"/>
      <c r="AN1489" s="2"/>
      <c r="AQ1489" s="1"/>
      <c r="BG1489" s="1"/>
    </row>
    <row r="1490" spans="15:59">
      <c r="O1490" s="1"/>
      <c r="P1490" s="1"/>
      <c r="AA1490" s="1"/>
      <c r="AB1490" s="1"/>
      <c r="AG1490" s="1"/>
      <c r="AH1490" s="1"/>
      <c r="AK1490" s="1"/>
      <c r="AL1490" s="1"/>
      <c r="AM1490" s="2"/>
      <c r="AN1490" s="2"/>
      <c r="AQ1490" s="1"/>
      <c r="BG1490" s="1"/>
    </row>
    <row r="1491" spans="15:59">
      <c r="O1491" s="1"/>
      <c r="P1491" s="1"/>
      <c r="AA1491" s="1"/>
      <c r="AB1491" s="1"/>
      <c r="AG1491" s="1"/>
      <c r="AH1491" s="1"/>
      <c r="AK1491" s="1"/>
      <c r="AL1491" s="1"/>
      <c r="AM1491" s="2"/>
      <c r="AN1491" s="2"/>
      <c r="AQ1491" s="1"/>
      <c r="BG1491" s="1"/>
    </row>
    <row r="1492" spans="15:59">
      <c r="O1492" s="1"/>
      <c r="P1492" s="1"/>
      <c r="AA1492" s="1"/>
      <c r="AB1492" s="1"/>
      <c r="AG1492" s="1"/>
      <c r="AH1492" s="1"/>
      <c r="AK1492" s="1"/>
      <c r="AL1492" s="1"/>
      <c r="AM1492" s="2"/>
      <c r="AN1492" s="2"/>
      <c r="AQ1492" s="1"/>
      <c r="BG1492" s="1"/>
    </row>
    <row r="1493" spans="15:59">
      <c r="O1493" s="1"/>
      <c r="P1493" s="1"/>
      <c r="AA1493" s="1"/>
      <c r="AB1493" s="1"/>
      <c r="AG1493" s="1"/>
      <c r="AH1493" s="1"/>
      <c r="AK1493" s="1"/>
      <c r="AL1493" s="1"/>
      <c r="AM1493" s="2"/>
      <c r="AN1493" s="2"/>
      <c r="AQ1493" s="1"/>
      <c r="BG1493" s="1"/>
    </row>
    <row r="1494" spans="15:59">
      <c r="O1494" s="1"/>
      <c r="P1494" s="1"/>
      <c r="AA1494" s="1"/>
      <c r="AB1494" s="1"/>
      <c r="AG1494" s="1"/>
      <c r="AH1494" s="1"/>
      <c r="AK1494" s="1"/>
      <c r="AL1494" s="1"/>
      <c r="AM1494" s="2"/>
      <c r="AN1494" s="2"/>
      <c r="AQ1494" s="1"/>
      <c r="BG1494" s="1"/>
    </row>
    <row r="1495" spans="15:59">
      <c r="O1495" s="1"/>
      <c r="P1495" s="1"/>
      <c r="AA1495" s="1"/>
      <c r="AB1495" s="1"/>
      <c r="AG1495" s="1"/>
      <c r="AH1495" s="1"/>
      <c r="AK1495" s="1"/>
      <c r="AL1495" s="1"/>
      <c r="AM1495" s="2"/>
      <c r="AN1495" s="2"/>
      <c r="AQ1495" s="1"/>
      <c r="BG1495" s="1"/>
    </row>
    <row r="1496" spans="15:59">
      <c r="O1496" s="1"/>
      <c r="P1496" s="1"/>
      <c r="AA1496" s="1"/>
      <c r="AB1496" s="1"/>
      <c r="AG1496" s="1"/>
      <c r="AH1496" s="1"/>
      <c r="AK1496" s="1"/>
      <c r="AL1496" s="1"/>
      <c r="AM1496" s="2"/>
      <c r="AN1496" s="2"/>
      <c r="AQ1496" s="1"/>
      <c r="BG1496" s="1"/>
    </row>
    <row r="1497" spans="15:59">
      <c r="O1497" s="1"/>
      <c r="P1497" s="1"/>
      <c r="AA1497" s="1"/>
      <c r="AB1497" s="1"/>
      <c r="AG1497" s="1"/>
      <c r="AH1497" s="1"/>
      <c r="AK1497" s="1"/>
      <c r="AL1497" s="1"/>
      <c r="AM1497" s="2"/>
      <c r="AN1497" s="2"/>
      <c r="AQ1497" s="1"/>
      <c r="BG1497" s="1"/>
    </row>
    <row r="1498" spans="15:59">
      <c r="O1498" s="1"/>
      <c r="P1498" s="1"/>
      <c r="AA1498" s="1"/>
      <c r="AB1498" s="1"/>
      <c r="AG1498" s="1"/>
      <c r="AH1498" s="1"/>
      <c r="AK1498" s="1"/>
      <c r="AL1498" s="1"/>
      <c r="AM1498" s="2"/>
      <c r="AN1498" s="2"/>
      <c r="AQ1498" s="1"/>
      <c r="BG1498" s="1"/>
    </row>
    <row r="1499" spans="15:59">
      <c r="O1499" s="1"/>
      <c r="P1499" s="1"/>
      <c r="AA1499" s="1"/>
      <c r="AB1499" s="1"/>
      <c r="AG1499" s="1"/>
      <c r="AH1499" s="1"/>
      <c r="AK1499" s="1"/>
      <c r="AL1499" s="1"/>
      <c r="AM1499" s="2"/>
      <c r="AN1499" s="2"/>
      <c r="AQ1499" s="1"/>
      <c r="BG1499" s="1"/>
    </row>
    <row r="1500" spans="15:59">
      <c r="O1500" s="1"/>
      <c r="P1500" s="1"/>
      <c r="AA1500" s="1"/>
      <c r="AB1500" s="1"/>
      <c r="AG1500" s="1"/>
      <c r="AH1500" s="1"/>
      <c r="AK1500" s="1"/>
      <c r="AL1500" s="1"/>
      <c r="AM1500" s="2"/>
      <c r="AN1500" s="2"/>
      <c r="AQ1500" s="1"/>
      <c r="BG1500" s="1"/>
    </row>
    <row r="1501" spans="15:59">
      <c r="O1501" s="1"/>
      <c r="P1501" s="1"/>
      <c r="AA1501" s="1"/>
      <c r="AB1501" s="1"/>
      <c r="AG1501" s="1"/>
      <c r="AH1501" s="1"/>
      <c r="AK1501" s="1"/>
      <c r="AL1501" s="1"/>
      <c r="AM1501" s="2"/>
      <c r="AN1501" s="2"/>
      <c r="AQ1501" s="1"/>
      <c r="BG1501" s="1"/>
    </row>
    <row r="1502" spans="15:59">
      <c r="O1502" s="1"/>
      <c r="P1502" s="1"/>
      <c r="AA1502" s="1"/>
      <c r="AB1502" s="1"/>
      <c r="AG1502" s="1"/>
      <c r="AH1502" s="1"/>
      <c r="AK1502" s="1"/>
      <c r="AL1502" s="1"/>
      <c r="AM1502" s="2"/>
      <c r="AN1502" s="2"/>
      <c r="AQ1502" s="1"/>
      <c r="BG1502" s="1"/>
    </row>
    <row r="1503" spans="15:59">
      <c r="O1503" s="1"/>
      <c r="P1503" s="1"/>
      <c r="AA1503" s="1"/>
      <c r="AB1503" s="1"/>
      <c r="AG1503" s="1"/>
      <c r="AH1503" s="1"/>
      <c r="AK1503" s="1"/>
      <c r="AL1503" s="1"/>
      <c r="AM1503" s="2"/>
      <c r="AN1503" s="2"/>
      <c r="AQ1503" s="1"/>
      <c r="BG1503" s="1"/>
    </row>
    <row r="1504" spans="15:59">
      <c r="O1504" s="1"/>
      <c r="P1504" s="1"/>
      <c r="AA1504" s="1"/>
      <c r="AB1504" s="1"/>
      <c r="AG1504" s="1"/>
      <c r="AH1504" s="1"/>
      <c r="AK1504" s="1"/>
      <c r="AL1504" s="1"/>
      <c r="AM1504" s="2"/>
      <c r="AN1504" s="2"/>
      <c r="AQ1504" s="1"/>
      <c r="BG1504" s="1"/>
    </row>
    <row r="1505" spans="15:59">
      <c r="O1505" s="1"/>
      <c r="P1505" s="1"/>
      <c r="AA1505" s="1"/>
      <c r="AB1505" s="1"/>
      <c r="AG1505" s="1"/>
      <c r="AH1505" s="1"/>
      <c r="AK1505" s="1"/>
      <c r="AL1505" s="1"/>
      <c r="AM1505" s="2"/>
      <c r="AN1505" s="2"/>
      <c r="AQ1505" s="1"/>
      <c r="BG1505" s="1"/>
    </row>
    <row r="1506" spans="15:59">
      <c r="O1506" s="1"/>
      <c r="P1506" s="1"/>
      <c r="AA1506" s="1"/>
      <c r="AB1506" s="1"/>
      <c r="AG1506" s="1"/>
      <c r="AH1506" s="1"/>
      <c r="AK1506" s="1"/>
      <c r="AL1506" s="1"/>
      <c r="AM1506" s="2"/>
      <c r="AN1506" s="2"/>
      <c r="AQ1506" s="1"/>
      <c r="BG1506" s="1"/>
    </row>
    <row r="1507" spans="15:59">
      <c r="O1507" s="1"/>
      <c r="P1507" s="1"/>
      <c r="AA1507" s="1"/>
      <c r="AB1507" s="1"/>
      <c r="AG1507" s="1"/>
      <c r="AH1507" s="1"/>
      <c r="AK1507" s="1"/>
      <c r="AL1507" s="1"/>
      <c r="AM1507" s="2"/>
      <c r="AN1507" s="2"/>
      <c r="AQ1507" s="1"/>
      <c r="BG1507" s="1"/>
    </row>
    <row r="1508" spans="15:59">
      <c r="O1508" s="1"/>
      <c r="P1508" s="1"/>
      <c r="AA1508" s="1"/>
      <c r="AB1508" s="1"/>
      <c r="AG1508" s="1"/>
      <c r="AH1508" s="1"/>
      <c r="AK1508" s="1"/>
      <c r="AL1508" s="1"/>
      <c r="AM1508" s="2"/>
      <c r="AN1508" s="2"/>
      <c r="AQ1508" s="1"/>
      <c r="BG1508" s="1"/>
    </row>
    <row r="1509" spans="15:59">
      <c r="O1509" s="1"/>
      <c r="P1509" s="1"/>
      <c r="AA1509" s="1"/>
      <c r="AB1509" s="1"/>
      <c r="AG1509" s="1"/>
      <c r="AH1509" s="1"/>
      <c r="AK1509" s="1"/>
      <c r="AL1509" s="1"/>
      <c r="AM1509" s="2"/>
      <c r="AN1509" s="2"/>
      <c r="AQ1509" s="1"/>
      <c r="BG1509" s="1"/>
    </row>
    <row r="1510" spans="15:59">
      <c r="O1510" s="1"/>
      <c r="P1510" s="1"/>
      <c r="AA1510" s="1"/>
      <c r="AB1510" s="1"/>
      <c r="AG1510" s="1"/>
      <c r="AH1510" s="1"/>
      <c r="AK1510" s="1"/>
      <c r="AL1510" s="1"/>
      <c r="AM1510" s="2"/>
      <c r="AN1510" s="2"/>
      <c r="AQ1510" s="1"/>
      <c r="BG1510" s="1"/>
    </row>
    <row r="1511" spans="15:59">
      <c r="O1511" s="1"/>
      <c r="P1511" s="1"/>
      <c r="AA1511" s="1"/>
      <c r="AB1511" s="1"/>
      <c r="AG1511" s="1"/>
      <c r="AH1511" s="1"/>
      <c r="AK1511" s="1"/>
      <c r="AL1511" s="1"/>
      <c r="AM1511" s="2"/>
      <c r="AN1511" s="2"/>
      <c r="AQ1511" s="1"/>
      <c r="BG1511" s="1"/>
    </row>
    <row r="1512" spans="15:59">
      <c r="O1512" s="1"/>
      <c r="P1512" s="1"/>
      <c r="AA1512" s="1"/>
      <c r="AB1512" s="1"/>
      <c r="AG1512" s="1"/>
      <c r="AH1512" s="1"/>
      <c r="AK1512" s="1"/>
      <c r="AL1512" s="1"/>
      <c r="AM1512" s="2"/>
      <c r="AN1512" s="2"/>
      <c r="AQ1512" s="1"/>
      <c r="BG1512" s="1"/>
    </row>
    <row r="1513" spans="15:59">
      <c r="O1513" s="1"/>
      <c r="P1513" s="1"/>
      <c r="AA1513" s="1"/>
      <c r="AB1513" s="1"/>
      <c r="AG1513" s="1"/>
      <c r="AH1513" s="1"/>
      <c r="AK1513" s="1"/>
      <c r="AL1513" s="1"/>
      <c r="AM1513" s="2"/>
      <c r="AN1513" s="2"/>
      <c r="AQ1513" s="1"/>
      <c r="BG1513" s="1"/>
    </row>
    <row r="1514" spans="15:59">
      <c r="O1514" s="1"/>
      <c r="P1514" s="1"/>
      <c r="AA1514" s="1"/>
      <c r="AB1514" s="1"/>
      <c r="AG1514" s="1"/>
      <c r="AH1514" s="1"/>
      <c r="AK1514" s="1"/>
      <c r="AL1514" s="1"/>
      <c r="AM1514" s="2"/>
      <c r="AN1514" s="2"/>
      <c r="AQ1514" s="1"/>
      <c r="BG1514" s="1"/>
    </row>
    <row r="1515" spans="15:59">
      <c r="O1515" s="1"/>
      <c r="P1515" s="1"/>
      <c r="AA1515" s="1"/>
      <c r="AB1515" s="1"/>
      <c r="AG1515" s="1"/>
      <c r="AH1515" s="1"/>
      <c r="AK1515" s="1"/>
      <c r="AL1515" s="1"/>
      <c r="AM1515" s="2"/>
      <c r="AN1515" s="2"/>
      <c r="AQ1515" s="1"/>
      <c r="BG1515" s="1"/>
    </row>
    <row r="1516" spans="15:59">
      <c r="O1516" s="1"/>
      <c r="P1516" s="1"/>
      <c r="AA1516" s="1"/>
      <c r="AB1516" s="1"/>
      <c r="AG1516" s="1"/>
      <c r="AH1516" s="1"/>
      <c r="AK1516" s="1"/>
      <c r="AL1516" s="1"/>
      <c r="AM1516" s="2"/>
      <c r="AN1516" s="2"/>
      <c r="AQ1516" s="1"/>
      <c r="BG1516" s="1"/>
    </row>
    <row r="1517" spans="15:59">
      <c r="O1517" s="1"/>
      <c r="P1517" s="1"/>
      <c r="AA1517" s="1"/>
      <c r="AB1517" s="1"/>
      <c r="AG1517" s="1"/>
      <c r="AH1517" s="1"/>
      <c r="AK1517" s="1"/>
      <c r="AL1517" s="1"/>
      <c r="AM1517" s="2"/>
      <c r="AN1517" s="2"/>
      <c r="AQ1517" s="1"/>
      <c r="BG1517" s="1"/>
    </row>
    <row r="1518" spans="15:59">
      <c r="O1518" s="1"/>
      <c r="P1518" s="1"/>
      <c r="AA1518" s="1"/>
      <c r="AB1518" s="1"/>
      <c r="AG1518" s="1"/>
      <c r="AH1518" s="1"/>
      <c r="AK1518" s="1"/>
      <c r="AL1518" s="1"/>
      <c r="AM1518" s="2"/>
      <c r="AN1518" s="2"/>
      <c r="AQ1518" s="1"/>
      <c r="BG1518" s="1"/>
    </row>
    <row r="1519" spans="15:59">
      <c r="O1519" s="1"/>
      <c r="P1519" s="1"/>
      <c r="AA1519" s="1"/>
      <c r="AB1519" s="1"/>
      <c r="AG1519" s="1"/>
      <c r="AH1519" s="1"/>
      <c r="AK1519" s="1"/>
      <c r="AL1519" s="1"/>
      <c r="AM1519" s="2"/>
      <c r="AN1519" s="2"/>
      <c r="AQ1519" s="1"/>
      <c r="BG1519" s="1"/>
    </row>
    <row r="1520" spans="15:59">
      <c r="O1520" s="1"/>
      <c r="P1520" s="1"/>
      <c r="AA1520" s="1"/>
      <c r="AB1520" s="1"/>
      <c r="AG1520" s="1"/>
      <c r="AH1520" s="1"/>
      <c r="AK1520" s="1"/>
      <c r="AL1520" s="1"/>
      <c r="AM1520" s="2"/>
      <c r="AN1520" s="2"/>
      <c r="AQ1520" s="1"/>
      <c r="BG1520" s="1"/>
    </row>
    <row r="1521" spans="15:59">
      <c r="O1521" s="1"/>
      <c r="P1521" s="1"/>
      <c r="AA1521" s="1"/>
      <c r="AB1521" s="1"/>
      <c r="AG1521" s="1"/>
      <c r="AH1521" s="1"/>
      <c r="AK1521" s="1"/>
      <c r="AL1521" s="1"/>
      <c r="AM1521" s="2"/>
      <c r="AN1521" s="2"/>
      <c r="AQ1521" s="1"/>
      <c r="BG1521" s="1"/>
    </row>
    <row r="1522" spans="15:59">
      <c r="O1522" s="1"/>
      <c r="P1522" s="1"/>
      <c r="AA1522" s="1"/>
      <c r="AB1522" s="1"/>
      <c r="AG1522" s="1"/>
      <c r="AH1522" s="1"/>
      <c r="AK1522" s="1"/>
      <c r="AL1522" s="1"/>
      <c r="AM1522" s="2"/>
      <c r="AN1522" s="2"/>
      <c r="AQ1522" s="1"/>
      <c r="BG1522" s="1"/>
    </row>
    <row r="1523" spans="15:59">
      <c r="O1523" s="1"/>
      <c r="P1523" s="1"/>
      <c r="AA1523" s="1"/>
      <c r="AB1523" s="1"/>
      <c r="AG1523" s="1"/>
      <c r="AH1523" s="1"/>
      <c r="AK1523" s="1"/>
      <c r="AL1523" s="1"/>
      <c r="AM1523" s="2"/>
      <c r="AN1523" s="2"/>
      <c r="AQ1523" s="1"/>
      <c r="BG1523" s="1"/>
    </row>
    <row r="1524" spans="15:59">
      <c r="O1524" s="1"/>
      <c r="P1524" s="1"/>
      <c r="AA1524" s="1"/>
      <c r="AB1524" s="1"/>
      <c r="AG1524" s="1"/>
      <c r="AH1524" s="1"/>
      <c r="AK1524" s="1"/>
      <c r="AL1524" s="1"/>
      <c r="AM1524" s="2"/>
      <c r="AN1524" s="2"/>
      <c r="AQ1524" s="1"/>
      <c r="BG1524" s="1"/>
    </row>
    <row r="1525" spans="15:59">
      <c r="O1525" s="1"/>
      <c r="P1525" s="1"/>
      <c r="AA1525" s="1"/>
      <c r="AB1525" s="1"/>
      <c r="AG1525" s="1"/>
      <c r="AH1525" s="1"/>
      <c r="AK1525" s="1"/>
      <c r="AL1525" s="1"/>
      <c r="AM1525" s="2"/>
      <c r="AN1525" s="2"/>
      <c r="AQ1525" s="1"/>
      <c r="BG1525" s="1"/>
    </row>
    <row r="1526" spans="15:59">
      <c r="O1526" s="1"/>
      <c r="P1526" s="1"/>
      <c r="AA1526" s="1"/>
      <c r="AB1526" s="1"/>
      <c r="AG1526" s="1"/>
      <c r="AH1526" s="1"/>
      <c r="AK1526" s="1"/>
      <c r="AL1526" s="1"/>
      <c r="AM1526" s="2"/>
      <c r="AN1526" s="2"/>
      <c r="AQ1526" s="1"/>
      <c r="BG1526" s="1"/>
    </row>
    <row r="1527" spans="15:59">
      <c r="O1527" s="1"/>
      <c r="P1527" s="1"/>
      <c r="AA1527" s="1"/>
      <c r="AB1527" s="1"/>
      <c r="AG1527" s="1"/>
      <c r="AH1527" s="1"/>
      <c r="AK1527" s="1"/>
      <c r="AL1527" s="1"/>
      <c r="AM1527" s="2"/>
      <c r="AN1527" s="2"/>
      <c r="AQ1527" s="1"/>
      <c r="BG1527" s="1"/>
    </row>
    <row r="1528" spans="15:59">
      <c r="O1528" s="1"/>
      <c r="P1528" s="1"/>
      <c r="AA1528" s="1"/>
      <c r="AB1528" s="1"/>
      <c r="AG1528" s="1"/>
      <c r="AH1528" s="1"/>
      <c r="AK1528" s="1"/>
      <c r="AL1528" s="1"/>
      <c r="AM1528" s="2"/>
      <c r="AN1528" s="2"/>
      <c r="AQ1528" s="1"/>
      <c r="BG1528" s="1"/>
    </row>
    <row r="1529" spans="15:59">
      <c r="O1529" s="1"/>
      <c r="P1529" s="1"/>
      <c r="AA1529" s="1"/>
      <c r="AB1529" s="1"/>
      <c r="AG1529" s="1"/>
      <c r="AH1529" s="1"/>
      <c r="AK1529" s="1"/>
      <c r="AL1529" s="1"/>
      <c r="AM1529" s="2"/>
      <c r="AN1529" s="2"/>
      <c r="AQ1529" s="1"/>
      <c r="BG1529" s="1"/>
    </row>
    <row r="1530" spans="15:59">
      <c r="O1530" s="1"/>
      <c r="P1530" s="1"/>
      <c r="AA1530" s="1"/>
      <c r="AB1530" s="1"/>
      <c r="AG1530" s="1"/>
      <c r="AH1530" s="1"/>
      <c r="AK1530" s="1"/>
      <c r="AL1530" s="1"/>
      <c r="AM1530" s="2"/>
      <c r="AN1530" s="2"/>
      <c r="AQ1530" s="1"/>
      <c r="BG1530" s="1"/>
    </row>
    <row r="1531" spans="15:59">
      <c r="O1531" s="1"/>
      <c r="P1531" s="1"/>
      <c r="AA1531" s="1"/>
      <c r="AB1531" s="1"/>
      <c r="AG1531" s="1"/>
      <c r="AH1531" s="1"/>
      <c r="AK1531" s="1"/>
      <c r="AL1531" s="1"/>
      <c r="AM1531" s="2"/>
      <c r="AN1531" s="2"/>
      <c r="AQ1531" s="1"/>
      <c r="BG1531" s="1"/>
    </row>
    <row r="1532" spans="15:59">
      <c r="O1532" s="1"/>
      <c r="P1532" s="1"/>
      <c r="AA1532" s="1"/>
      <c r="AB1532" s="1"/>
      <c r="AG1532" s="1"/>
      <c r="AH1532" s="1"/>
      <c r="AK1532" s="1"/>
      <c r="AL1532" s="1"/>
      <c r="AM1532" s="2"/>
      <c r="AN1532" s="2"/>
      <c r="AQ1532" s="1"/>
      <c r="BG1532" s="1"/>
    </row>
    <row r="1533" spans="15:59">
      <c r="O1533" s="1"/>
      <c r="P1533" s="1"/>
      <c r="AA1533" s="1"/>
      <c r="AB1533" s="1"/>
      <c r="AG1533" s="1"/>
      <c r="AH1533" s="1"/>
      <c r="AK1533" s="1"/>
      <c r="AL1533" s="1"/>
      <c r="AM1533" s="2"/>
      <c r="AN1533" s="2"/>
      <c r="AQ1533" s="1"/>
      <c r="BG1533" s="1"/>
    </row>
    <row r="1534" spans="15:59">
      <c r="O1534" s="1"/>
      <c r="P1534" s="1"/>
      <c r="AA1534" s="1"/>
      <c r="AB1534" s="1"/>
      <c r="AG1534" s="1"/>
      <c r="AH1534" s="1"/>
      <c r="AK1534" s="1"/>
      <c r="AL1534" s="1"/>
      <c r="AM1534" s="2"/>
      <c r="AN1534" s="2"/>
      <c r="AQ1534" s="1"/>
      <c r="BG1534" s="1"/>
    </row>
    <row r="1535" spans="15:59">
      <c r="O1535" s="1"/>
      <c r="P1535" s="1"/>
      <c r="AA1535" s="1"/>
      <c r="AB1535" s="1"/>
      <c r="AG1535" s="1"/>
      <c r="AH1535" s="1"/>
      <c r="AK1535" s="1"/>
      <c r="AL1535" s="1"/>
      <c r="AM1535" s="2"/>
      <c r="AN1535" s="2"/>
      <c r="AQ1535" s="1"/>
      <c r="BG1535" s="1"/>
    </row>
    <row r="1536" spans="15:59">
      <c r="O1536" s="1"/>
      <c r="P1536" s="1"/>
      <c r="AA1536" s="1"/>
      <c r="AB1536" s="1"/>
      <c r="AG1536" s="1"/>
      <c r="AH1536" s="1"/>
      <c r="AK1536" s="1"/>
      <c r="AL1536" s="1"/>
      <c r="AM1536" s="2"/>
      <c r="AN1536" s="2"/>
      <c r="AQ1536" s="1"/>
      <c r="BG1536" s="1"/>
    </row>
    <row r="1537" spans="15:59">
      <c r="O1537" s="1"/>
      <c r="P1537" s="1"/>
      <c r="AA1537" s="1"/>
      <c r="AB1537" s="1"/>
      <c r="AG1537" s="1"/>
      <c r="AH1537" s="1"/>
      <c r="AK1537" s="1"/>
      <c r="AL1537" s="1"/>
      <c r="AM1537" s="2"/>
      <c r="AN1537" s="2"/>
      <c r="AQ1537" s="1"/>
      <c r="BG1537" s="1"/>
    </row>
    <row r="1538" spans="15:59">
      <c r="O1538" s="1"/>
      <c r="P1538" s="1"/>
      <c r="AA1538" s="1"/>
      <c r="AB1538" s="1"/>
      <c r="AG1538" s="1"/>
      <c r="AH1538" s="1"/>
      <c r="AK1538" s="1"/>
      <c r="AL1538" s="1"/>
      <c r="AM1538" s="2"/>
      <c r="AN1538" s="2"/>
      <c r="AQ1538" s="1"/>
      <c r="BG1538" s="1"/>
    </row>
    <row r="1539" spans="15:59">
      <c r="O1539" s="1"/>
      <c r="P1539" s="1"/>
      <c r="AA1539" s="1"/>
      <c r="AB1539" s="1"/>
      <c r="AG1539" s="1"/>
      <c r="AH1539" s="1"/>
      <c r="AK1539" s="1"/>
      <c r="AL1539" s="1"/>
      <c r="AM1539" s="2"/>
      <c r="AN1539" s="2"/>
      <c r="AQ1539" s="1"/>
      <c r="BG1539" s="1"/>
    </row>
    <row r="1540" spans="15:59">
      <c r="O1540" s="1"/>
      <c r="P1540" s="1"/>
      <c r="AA1540" s="1"/>
      <c r="AB1540" s="1"/>
      <c r="AG1540" s="1"/>
      <c r="AH1540" s="1"/>
      <c r="AK1540" s="1"/>
      <c r="AL1540" s="1"/>
      <c r="AM1540" s="2"/>
      <c r="AN1540" s="2"/>
      <c r="AQ1540" s="1"/>
      <c r="BG1540" s="1"/>
    </row>
    <row r="1541" spans="15:59">
      <c r="O1541" s="1"/>
      <c r="P1541" s="1"/>
      <c r="AA1541" s="1"/>
      <c r="AB1541" s="1"/>
      <c r="AG1541" s="1"/>
      <c r="AH1541" s="1"/>
      <c r="AK1541" s="1"/>
      <c r="AL1541" s="1"/>
      <c r="AM1541" s="2"/>
      <c r="AN1541" s="2"/>
      <c r="AQ1541" s="1"/>
      <c r="BG1541" s="1"/>
    </row>
    <row r="1542" spans="15:59">
      <c r="O1542" s="1"/>
      <c r="P1542" s="1"/>
      <c r="AA1542" s="1"/>
      <c r="AB1542" s="1"/>
      <c r="AG1542" s="1"/>
      <c r="AH1542" s="1"/>
      <c r="AK1542" s="1"/>
      <c r="AL1542" s="1"/>
      <c r="AM1542" s="2"/>
      <c r="AN1542" s="2"/>
      <c r="AQ1542" s="1"/>
      <c r="BG1542" s="1"/>
    </row>
    <row r="1543" spans="15:59">
      <c r="O1543" s="1"/>
      <c r="P1543" s="1"/>
      <c r="AA1543" s="1"/>
      <c r="AB1543" s="1"/>
      <c r="AG1543" s="1"/>
      <c r="AH1543" s="1"/>
      <c r="AK1543" s="1"/>
      <c r="AL1543" s="1"/>
      <c r="AM1543" s="2"/>
      <c r="AN1543" s="2"/>
      <c r="AQ1543" s="1"/>
      <c r="BG1543" s="1"/>
    </row>
    <row r="1544" spans="15:59">
      <c r="O1544" s="1"/>
      <c r="P1544" s="1"/>
      <c r="AA1544" s="1"/>
      <c r="AB1544" s="1"/>
      <c r="AG1544" s="1"/>
      <c r="AH1544" s="1"/>
      <c r="AK1544" s="1"/>
      <c r="AL1544" s="1"/>
      <c r="AM1544" s="2"/>
      <c r="AN1544" s="2"/>
      <c r="AQ1544" s="1"/>
      <c r="BG1544" s="1"/>
    </row>
    <row r="1545" spans="15:59">
      <c r="O1545" s="1"/>
      <c r="P1545" s="1"/>
      <c r="AA1545" s="1"/>
      <c r="AB1545" s="1"/>
      <c r="AG1545" s="1"/>
      <c r="AH1545" s="1"/>
      <c r="AK1545" s="1"/>
      <c r="AL1545" s="1"/>
      <c r="AM1545" s="2"/>
      <c r="AN1545" s="2"/>
      <c r="AQ1545" s="1"/>
      <c r="BG1545" s="1"/>
    </row>
    <row r="1546" spans="15:59">
      <c r="O1546" s="1"/>
      <c r="P1546" s="1"/>
      <c r="AA1546" s="1"/>
      <c r="AB1546" s="1"/>
      <c r="AG1546" s="1"/>
      <c r="AH1546" s="1"/>
      <c r="AK1546" s="1"/>
      <c r="AL1546" s="1"/>
      <c r="AM1546" s="2"/>
      <c r="AN1546" s="2"/>
      <c r="AQ1546" s="1"/>
      <c r="BG1546" s="1"/>
    </row>
    <row r="1547" spans="15:59">
      <c r="O1547" s="1"/>
      <c r="P1547" s="1"/>
      <c r="AA1547" s="1"/>
      <c r="AB1547" s="1"/>
      <c r="AG1547" s="1"/>
      <c r="AH1547" s="1"/>
      <c r="AK1547" s="1"/>
      <c r="AL1547" s="1"/>
      <c r="AM1547" s="2"/>
      <c r="AN1547" s="2"/>
      <c r="AQ1547" s="1"/>
      <c r="BG1547" s="1"/>
    </row>
    <row r="1548" spans="15:59">
      <c r="O1548" s="1"/>
      <c r="P1548" s="1"/>
      <c r="AA1548" s="1"/>
      <c r="AB1548" s="1"/>
      <c r="AG1548" s="1"/>
      <c r="AH1548" s="1"/>
      <c r="AK1548" s="1"/>
      <c r="AL1548" s="1"/>
      <c r="AM1548" s="2"/>
      <c r="AN1548" s="2"/>
      <c r="AQ1548" s="1"/>
      <c r="BG1548" s="1"/>
    </row>
    <row r="1549" spans="15:59">
      <c r="O1549" s="1"/>
      <c r="P1549" s="1"/>
      <c r="AA1549" s="1"/>
      <c r="AB1549" s="1"/>
      <c r="AG1549" s="1"/>
      <c r="AH1549" s="1"/>
      <c r="AK1549" s="1"/>
      <c r="AL1549" s="1"/>
      <c r="AM1549" s="2"/>
      <c r="AN1549" s="2"/>
      <c r="AQ1549" s="1"/>
      <c r="BG1549" s="1"/>
    </row>
    <row r="1550" spans="15:59">
      <c r="O1550" s="1"/>
      <c r="P1550" s="1"/>
      <c r="AA1550" s="1"/>
      <c r="AB1550" s="1"/>
      <c r="AG1550" s="1"/>
      <c r="AH1550" s="1"/>
      <c r="AK1550" s="1"/>
      <c r="AL1550" s="1"/>
      <c r="AM1550" s="2"/>
      <c r="AN1550" s="2"/>
      <c r="AQ1550" s="1"/>
      <c r="BG1550" s="1"/>
    </row>
    <row r="1551" spans="15:59">
      <c r="O1551" s="1"/>
      <c r="P1551" s="1"/>
      <c r="AA1551" s="1"/>
      <c r="AB1551" s="1"/>
      <c r="AG1551" s="1"/>
      <c r="AH1551" s="1"/>
      <c r="AK1551" s="1"/>
      <c r="AL1551" s="1"/>
      <c r="AM1551" s="2"/>
      <c r="AN1551" s="2"/>
      <c r="AQ1551" s="1"/>
      <c r="BG1551" s="1"/>
    </row>
    <row r="1552" spans="15:59">
      <c r="O1552" s="1"/>
      <c r="P1552" s="1"/>
      <c r="AA1552" s="1"/>
      <c r="AB1552" s="1"/>
      <c r="AG1552" s="1"/>
      <c r="AH1552" s="1"/>
      <c r="AK1552" s="1"/>
      <c r="AL1552" s="1"/>
      <c r="AM1552" s="2"/>
      <c r="AN1552" s="2"/>
      <c r="AQ1552" s="1"/>
      <c r="BG1552" s="1"/>
    </row>
    <row r="1553" spans="15:59">
      <c r="O1553" s="1"/>
      <c r="P1553" s="1"/>
      <c r="AA1553" s="1"/>
      <c r="AB1553" s="1"/>
      <c r="AG1553" s="1"/>
      <c r="AH1553" s="1"/>
      <c r="AK1553" s="1"/>
      <c r="AL1553" s="1"/>
      <c r="AM1553" s="2"/>
      <c r="AN1553" s="2"/>
      <c r="AQ1553" s="1"/>
      <c r="BG1553" s="1"/>
    </row>
    <row r="1554" spans="15:59">
      <c r="O1554" s="1"/>
      <c r="P1554" s="1"/>
      <c r="AA1554" s="1"/>
      <c r="AB1554" s="1"/>
      <c r="AG1554" s="1"/>
      <c r="AH1554" s="1"/>
      <c r="AK1554" s="1"/>
      <c r="AL1554" s="1"/>
      <c r="AM1554" s="2"/>
      <c r="AN1554" s="2"/>
      <c r="AQ1554" s="1"/>
      <c r="BG1554" s="1"/>
    </row>
    <row r="1555" spans="15:59">
      <c r="O1555" s="1"/>
      <c r="P1555" s="1"/>
      <c r="AA1555" s="1"/>
      <c r="AB1555" s="1"/>
      <c r="AG1555" s="1"/>
      <c r="AH1555" s="1"/>
      <c r="AK1555" s="1"/>
      <c r="AL1555" s="1"/>
      <c r="AM1555" s="2"/>
      <c r="AN1555" s="2"/>
      <c r="AQ1555" s="1"/>
      <c r="BG1555" s="1"/>
    </row>
    <row r="1556" spans="15:59">
      <c r="O1556" s="1"/>
      <c r="P1556" s="1"/>
      <c r="AA1556" s="1"/>
      <c r="AB1556" s="1"/>
      <c r="AG1556" s="1"/>
      <c r="AH1556" s="1"/>
      <c r="AK1556" s="1"/>
      <c r="AL1556" s="1"/>
      <c r="AM1556" s="2"/>
      <c r="AN1556" s="2"/>
      <c r="AQ1556" s="1"/>
      <c r="BG1556" s="1"/>
    </row>
    <row r="1557" spans="15:59">
      <c r="O1557" s="1"/>
      <c r="P1557" s="1"/>
      <c r="AA1557" s="1"/>
      <c r="AB1557" s="1"/>
      <c r="AG1557" s="1"/>
      <c r="AH1557" s="1"/>
      <c r="AK1557" s="1"/>
      <c r="AL1557" s="1"/>
      <c r="AM1557" s="2"/>
      <c r="AN1557" s="2"/>
      <c r="AQ1557" s="1"/>
      <c r="BG1557" s="1"/>
    </row>
    <row r="1558" spans="15:59">
      <c r="O1558" s="1"/>
      <c r="P1558" s="1"/>
      <c r="AA1558" s="1"/>
      <c r="AB1558" s="1"/>
      <c r="AG1558" s="1"/>
      <c r="AH1558" s="1"/>
      <c r="AK1558" s="1"/>
      <c r="AL1558" s="1"/>
      <c r="AM1558" s="2"/>
      <c r="AN1558" s="2"/>
      <c r="AQ1558" s="1"/>
      <c r="BG1558" s="1"/>
    </row>
    <row r="1559" spans="15:59">
      <c r="O1559" s="1"/>
      <c r="P1559" s="1"/>
      <c r="AA1559" s="1"/>
      <c r="AB1559" s="1"/>
      <c r="AG1559" s="1"/>
      <c r="AH1559" s="1"/>
      <c r="AK1559" s="1"/>
      <c r="AL1559" s="1"/>
      <c r="AM1559" s="2"/>
      <c r="AN1559" s="2"/>
      <c r="AQ1559" s="1"/>
      <c r="BG1559" s="1"/>
    </row>
    <row r="1560" spans="15:59">
      <c r="O1560" s="1"/>
      <c r="P1560" s="1"/>
      <c r="AA1560" s="1"/>
      <c r="AB1560" s="1"/>
      <c r="AG1560" s="1"/>
      <c r="AH1560" s="1"/>
      <c r="AK1560" s="1"/>
      <c r="AL1560" s="1"/>
      <c r="AM1560" s="2"/>
      <c r="AN1560" s="2"/>
      <c r="AQ1560" s="1"/>
      <c r="BG1560" s="1"/>
    </row>
    <row r="1561" spans="15:59">
      <c r="O1561" s="1"/>
      <c r="P1561" s="1"/>
      <c r="AA1561" s="1"/>
      <c r="AB1561" s="1"/>
      <c r="AG1561" s="1"/>
      <c r="AH1561" s="1"/>
      <c r="AK1561" s="1"/>
      <c r="AL1561" s="1"/>
      <c r="AM1561" s="2"/>
      <c r="AN1561" s="2"/>
      <c r="AQ1561" s="1"/>
      <c r="BG1561" s="1"/>
    </row>
    <row r="1562" spans="15:59">
      <c r="O1562" s="1"/>
      <c r="P1562" s="1"/>
      <c r="AA1562" s="1"/>
      <c r="AB1562" s="1"/>
      <c r="AG1562" s="1"/>
      <c r="AH1562" s="1"/>
      <c r="AK1562" s="1"/>
      <c r="AL1562" s="1"/>
      <c r="AM1562" s="2"/>
      <c r="AN1562" s="2"/>
      <c r="AQ1562" s="1"/>
      <c r="BG1562" s="1"/>
    </row>
    <row r="1563" spans="15:59">
      <c r="O1563" s="1"/>
      <c r="P1563" s="1"/>
      <c r="AA1563" s="1"/>
      <c r="AB1563" s="1"/>
      <c r="AG1563" s="1"/>
      <c r="AH1563" s="1"/>
      <c r="AK1563" s="1"/>
      <c r="AL1563" s="1"/>
      <c r="AM1563" s="2"/>
      <c r="AN1563" s="2"/>
      <c r="AQ1563" s="1"/>
      <c r="BG1563" s="1"/>
    </row>
    <row r="1564" spans="15:59">
      <c r="O1564" s="1"/>
      <c r="P1564" s="1"/>
      <c r="AA1564" s="1"/>
      <c r="AB1564" s="1"/>
      <c r="AG1564" s="1"/>
      <c r="AH1564" s="1"/>
      <c r="AK1564" s="1"/>
      <c r="AL1564" s="1"/>
      <c r="AM1564" s="2"/>
      <c r="AN1564" s="2"/>
      <c r="AQ1564" s="1"/>
      <c r="BG1564" s="1"/>
    </row>
    <row r="1565" spans="15:59">
      <c r="O1565" s="1"/>
      <c r="P1565" s="1"/>
      <c r="AA1565" s="1"/>
      <c r="AB1565" s="1"/>
      <c r="AG1565" s="1"/>
      <c r="AH1565" s="1"/>
      <c r="AK1565" s="1"/>
      <c r="AL1565" s="1"/>
      <c r="AM1565" s="2"/>
      <c r="AN1565" s="2"/>
      <c r="AQ1565" s="1"/>
      <c r="BG1565" s="1"/>
    </row>
    <row r="1566" spans="15:59">
      <c r="O1566" s="1"/>
      <c r="P1566" s="1"/>
      <c r="AA1566" s="1"/>
      <c r="AB1566" s="1"/>
      <c r="AG1566" s="1"/>
      <c r="AH1566" s="1"/>
      <c r="AK1566" s="1"/>
      <c r="AL1566" s="1"/>
      <c r="AM1566" s="2"/>
      <c r="AN1566" s="2"/>
      <c r="AQ1566" s="1"/>
      <c r="BG1566" s="1"/>
    </row>
    <row r="1567" spans="15:59">
      <c r="O1567" s="1"/>
      <c r="P1567" s="1"/>
      <c r="AA1567" s="1"/>
      <c r="AB1567" s="1"/>
      <c r="AG1567" s="1"/>
      <c r="AH1567" s="1"/>
      <c r="AK1567" s="1"/>
      <c r="AL1567" s="1"/>
      <c r="AM1567" s="2"/>
      <c r="AN1567" s="2"/>
      <c r="AQ1567" s="1"/>
      <c r="BG1567" s="1"/>
    </row>
    <row r="1568" spans="15:59">
      <c r="O1568" s="1"/>
      <c r="P1568" s="1"/>
      <c r="AA1568" s="1"/>
      <c r="AB1568" s="1"/>
      <c r="AG1568" s="1"/>
      <c r="AH1568" s="1"/>
      <c r="AK1568" s="1"/>
      <c r="AL1568" s="1"/>
      <c r="AM1568" s="2"/>
      <c r="AN1568" s="2"/>
      <c r="AQ1568" s="1"/>
      <c r="BG1568" s="1"/>
    </row>
    <row r="1569" spans="15:59">
      <c r="O1569" s="1"/>
      <c r="P1569" s="1"/>
      <c r="AA1569" s="1"/>
      <c r="AB1569" s="1"/>
      <c r="AG1569" s="1"/>
      <c r="AH1569" s="1"/>
      <c r="AK1569" s="1"/>
      <c r="AL1569" s="1"/>
      <c r="AM1569" s="2"/>
      <c r="AN1569" s="2"/>
      <c r="AQ1569" s="1"/>
      <c r="BG1569" s="1"/>
    </row>
    <row r="1570" spans="15:59">
      <c r="O1570" s="1"/>
      <c r="P1570" s="1"/>
      <c r="AA1570" s="1"/>
      <c r="AB1570" s="1"/>
      <c r="AG1570" s="1"/>
      <c r="AH1570" s="1"/>
      <c r="AK1570" s="1"/>
      <c r="AL1570" s="1"/>
      <c r="AM1570" s="2"/>
      <c r="AN1570" s="2"/>
      <c r="AQ1570" s="1"/>
      <c r="BG1570" s="1"/>
    </row>
    <row r="1571" spans="15:59">
      <c r="O1571" s="1"/>
      <c r="P1571" s="1"/>
      <c r="AA1571" s="1"/>
      <c r="AB1571" s="1"/>
      <c r="AG1571" s="1"/>
      <c r="AH1571" s="1"/>
      <c r="AK1571" s="1"/>
      <c r="AL1571" s="1"/>
      <c r="AM1571" s="2"/>
      <c r="AN1571" s="2"/>
      <c r="AQ1571" s="1"/>
      <c r="BG1571" s="1"/>
    </row>
    <row r="1572" spans="15:59">
      <c r="O1572" s="1"/>
      <c r="P1572" s="1"/>
      <c r="AA1572" s="1"/>
      <c r="AB1572" s="1"/>
      <c r="AG1572" s="1"/>
      <c r="AH1572" s="1"/>
      <c r="AK1572" s="1"/>
      <c r="AL1572" s="1"/>
      <c r="AM1572" s="2"/>
      <c r="AN1572" s="2"/>
      <c r="AQ1572" s="1"/>
      <c r="BG1572" s="1"/>
    </row>
    <row r="1573" spans="15:59">
      <c r="O1573" s="1"/>
      <c r="P1573" s="1"/>
      <c r="AA1573" s="1"/>
      <c r="AB1573" s="1"/>
      <c r="AG1573" s="1"/>
      <c r="AH1573" s="1"/>
      <c r="AK1573" s="1"/>
      <c r="AL1573" s="1"/>
      <c r="AM1573" s="2"/>
      <c r="AN1573" s="2"/>
      <c r="AQ1573" s="1"/>
      <c r="BG1573" s="1"/>
    </row>
    <row r="1574" spans="15:59">
      <c r="O1574" s="1"/>
      <c r="P1574" s="1"/>
      <c r="AA1574" s="1"/>
      <c r="AB1574" s="1"/>
      <c r="AG1574" s="1"/>
      <c r="AH1574" s="1"/>
      <c r="AK1574" s="1"/>
      <c r="AL1574" s="1"/>
      <c r="AM1574" s="2"/>
      <c r="AN1574" s="2"/>
      <c r="AQ1574" s="1"/>
      <c r="BG1574" s="1"/>
    </row>
    <row r="1575" spans="15:59">
      <c r="O1575" s="1"/>
      <c r="P1575" s="1"/>
      <c r="AA1575" s="1"/>
      <c r="AB1575" s="1"/>
      <c r="AG1575" s="1"/>
      <c r="AH1575" s="1"/>
      <c r="AK1575" s="1"/>
      <c r="AL1575" s="1"/>
      <c r="AM1575" s="2"/>
      <c r="AN1575" s="2"/>
      <c r="AQ1575" s="1"/>
      <c r="BG1575" s="1"/>
    </row>
    <row r="1576" spans="15:59">
      <c r="O1576" s="1"/>
      <c r="P1576" s="1"/>
      <c r="AA1576" s="1"/>
      <c r="AB1576" s="1"/>
      <c r="AG1576" s="1"/>
      <c r="AH1576" s="1"/>
      <c r="AK1576" s="1"/>
      <c r="AL1576" s="1"/>
      <c r="AM1576" s="2"/>
      <c r="AN1576" s="2"/>
      <c r="AQ1576" s="1"/>
      <c r="BG1576" s="1"/>
    </row>
    <row r="1577" spans="15:59">
      <c r="O1577" s="1"/>
      <c r="P1577" s="1"/>
      <c r="AA1577" s="1"/>
      <c r="AB1577" s="1"/>
      <c r="AG1577" s="1"/>
      <c r="AH1577" s="1"/>
      <c r="AK1577" s="1"/>
      <c r="AL1577" s="1"/>
      <c r="AM1577" s="2"/>
      <c r="AN1577" s="2"/>
      <c r="AQ1577" s="1"/>
      <c r="BG1577" s="1"/>
    </row>
    <row r="1578" spans="15:59">
      <c r="O1578" s="1"/>
      <c r="P1578" s="1"/>
      <c r="AA1578" s="1"/>
      <c r="AB1578" s="1"/>
      <c r="AG1578" s="1"/>
      <c r="AH1578" s="1"/>
      <c r="AK1578" s="1"/>
      <c r="AL1578" s="1"/>
      <c r="AM1578" s="2"/>
      <c r="AN1578" s="2"/>
      <c r="AQ1578" s="1"/>
      <c r="BG1578" s="1"/>
    </row>
    <row r="1579" spans="15:59">
      <c r="O1579" s="1"/>
      <c r="P1579" s="1"/>
      <c r="AA1579" s="1"/>
      <c r="AB1579" s="1"/>
      <c r="AG1579" s="1"/>
      <c r="AH1579" s="1"/>
      <c r="AK1579" s="1"/>
      <c r="AL1579" s="1"/>
      <c r="AM1579" s="2"/>
      <c r="AN1579" s="2"/>
      <c r="AQ1579" s="1"/>
      <c r="BG1579" s="1"/>
    </row>
    <row r="1580" spans="15:59">
      <c r="O1580" s="1"/>
      <c r="P1580" s="1"/>
      <c r="AA1580" s="1"/>
      <c r="AB1580" s="1"/>
      <c r="AG1580" s="1"/>
      <c r="AH1580" s="1"/>
      <c r="AK1580" s="1"/>
      <c r="AL1580" s="1"/>
      <c r="AM1580" s="2"/>
      <c r="AN1580" s="2"/>
      <c r="AQ1580" s="1"/>
      <c r="BG1580" s="1"/>
    </row>
    <row r="1581" spans="15:59">
      <c r="O1581" s="1"/>
      <c r="P1581" s="1"/>
      <c r="AA1581" s="1"/>
      <c r="AB1581" s="1"/>
      <c r="AG1581" s="1"/>
      <c r="AH1581" s="1"/>
      <c r="AK1581" s="1"/>
      <c r="AL1581" s="1"/>
      <c r="AM1581" s="2"/>
      <c r="AN1581" s="2"/>
      <c r="AQ1581" s="1"/>
      <c r="BG1581" s="1"/>
    </row>
    <row r="1582" spans="15:59">
      <c r="O1582" s="1"/>
      <c r="P1582" s="1"/>
      <c r="AA1582" s="1"/>
      <c r="AB1582" s="1"/>
      <c r="AG1582" s="1"/>
      <c r="AH1582" s="1"/>
      <c r="AK1582" s="1"/>
      <c r="AL1582" s="1"/>
      <c r="AM1582" s="2"/>
      <c r="AN1582" s="2"/>
      <c r="AQ1582" s="1"/>
      <c r="BG1582" s="1"/>
    </row>
    <row r="1583" spans="15:59">
      <c r="O1583" s="1"/>
      <c r="P1583" s="1"/>
      <c r="AA1583" s="1"/>
      <c r="AB1583" s="1"/>
      <c r="AG1583" s="1"/>
      <c r="AH1583" s="1"/>
      <c r="AK1583" s="1"/>
      <c r="AL1583" s="1"/>
      <c r="AM1583" s="2"/>
      <c r="AN1583" s="2"/>
      <c r="AQ1583" s="1"/>
      <c r="BG1583" s="1"/>
    </row>
    <row r="1584" spans="15:59">
      <c r="O1584" s="1"/>
      <c r="P1584" s="1"/>
      <c r="AA1584" s="1"/>
      <c r="AB1584" s="1"/>
      <c r="AG1584" s="1"/>
      <c r="AH1584" s="1"/>
      <c r="AK1584" s="1"/>
      <c r="AL1584" s="1"/>
      <c r="AM1584" s="2"/>
      <c r="AN1584" s="2"/>
      <c r="AQ1584" s="1"/>
      <c r="BG1584" s="1"/>
    </row>
    <row r="1585" spans="15:59">
      <c r="O1585" s="1"/>
      <c r="P1585" s="1"/>
      <c r="AA1585" s="1"/>
      <c r="AB1585" s="1"/>
      <c r="AG1585" s="1"/>
      <c r="AH1585" s="1"/>
      <c r="AK1585" s="1"/>
      <c r="AL1585" s="1"/>
      <c r="AM1585" s="2"/>
      <c r="AN1585" s="2"/>
      <c r="AQ1585" s="1"/>
      <c r="BG1585" s="1"/>
    </row>
    <row r="1586" spans="15:59">
      <c r="O1586" s="1"/>
      <c r="P1586" s="1"/>
      <c r="AA1586" s="1"/>
      <c r="AB1586" s="1"/>
      <c r="AG1586" s="1"/>
      <c r="AH1586" s="1"/>
      <c r="AK1586" s="1"/>
      <c r="AL1586" s="1"/>
      <c r="AM1586" s="2"/>
      <c r="AN1586" s="2"/>
      <c r="AQ1586" s="1"/>
      <c r="BG1586" s="1"/>
    </row>
    <row r="1587" spans="15:59">
      <c r="O1587" s="1"/>
      <c r="P1587" s="1"/>
      <c r="AA1587" s="1"/>
      <c r="AB1587" s="1"/>
      <c r="AG1587" s="1"/>
      <c r="AH1587" s="1"/>
      <c r="AK1587" s="1"/>
      <c r="AL1587" s="1"/>
      <c r="AM1587" s="2"/>
      <c r="AN1587" s="2"/>
      <c r="AQ1587" s="1"/>
      <c r="BG1587" s="1"/>
    </row>
    <row r="1588" spans="15:59">
      <c r="O1588" s="1"/>
      <c r="P1588" s="1"/>
      <c r="AA1588" s="1"/>
      <c r="AB1588" s="1"/>
      <c r="AG1588" s="1"/>
      <c r="AH1588" s="1"/>
      <c r="AK1588" s="1"/>
      <c r="AL1588" s="1"/>
      <c r="AM1588" s="2"/>
      <c r="AN1588" s="2"/>
      <c r="AQ1588" s="1"/>
      <c r="BG1588" s="1"/>
    </row>
    <row r="1589" spans="15:59">
      <c r="O1589" s="1"/>
      <c r="P1589" s="1"/>
      <c r="AA1589" s="1"/>
      <c r="AB1589" s="1"/>
      <c r="AG1589" s="1"/>
      <c r="AH1589" s="1"/>
      <c r="AK1589" s="1"/>
      <c r="AL1589" s="1"/>
      <c r="AM1589" s="2"/>
      <c r="AN1589" s="2"/>
      <c r="AQ1589" s="1"/>
      <c r="BG1589" s="1"/>
    </row>
    <row r="1590" spans="15:59">
      <c r="O1590" s="1"/>
      <c r="P1590" s="1"/>
      <c r="AA1590" s="1"/>
      <c r="AB1590" s="1"/>
      <c r="AG1590" s="1"/>
      <c r="AH1590" s="1"/>
      <c r="AK1590" s="1"/>
      <c r="AL1590" s="1"/>
      <c r="AM1590" s="2"/>
      <c r="AN1590" s="2"/>
      <c r="AQ1590" s="1"/>
      <c r="BG1590" s="1"/>
    </row>
    <row r="1591" spans="15:59">
      <c r="O1591" s="1"/>
      <c r="P1591" s="1"/>
      <c r="AA1591" s="1"/>
      <c r="AB1591" s="1"/>
      <c r="AG1591" s="1"/>
      <c r="AH1591" s="1"/>
      <c r="AK1591" s="1"/>
      <c r="AL1591" s="1"/>
      <c r="AM1591" s="2"/>
      <c r="AN1591" s="2"/>
      <c r="AQ1591" s="1"/>
      <c r="BG1591" s="1"/>
    </row>
    <row r="1592" spans="15:59">
      <c r="O1592" s="1"/>
      <c r="P1592" s="1"/>
      <c r="AA1592" s="1"/>
      <c r="AB1592" s="1"/>
      <c r="AG1592" s="1"/>
      <c r="AH1592" s="1"/>
      <c r="AK1592" s="1"/>
      <c r="AL1592" s="1"/>
      <c r="AM1592" s="2"/>
      <c r="AN1592" s="2"/>
      <c r="AQ1592" s="1"/>
      <c r="BG1592" s="1"/>
    </row>
    <row r="1593" spans="15:59">
      <c r="O1593" s="1"/>
      <c r="P1593" s="1"/>
      <c r="AA1593" s="1"/>
      <c r="AB1593" s="1"/>
      <c r="AG1593" s="1"/>
      <c r="AH1593" s="1"/>
      <c r="AK1593" s="1"/>
      <c r="AL1593" s="1"/>
      <c r="AM1593" s="2"/>
      <c r="AN1593" s="2"/>
      <c r="AQ1593" s="1"/>
      <c r="BG1593" s="1"/>
    </row>
    <row r="1594" spans="15:59">
      <c r="O1594" s="1"/>
      <c r="P1594" s="1"/>
      <c r="AA1594" s="1"/>
      <c r="AB1594" s="1"/>
      <c r="AG1594" s="1"/>
      <c r="AH1594" s="1"/>
      <c r="AK1594" s="1"/>
      <c r="AL1594" s="1"/>
      <c r="AM1594" s="2"/>
      <c r="AN1594" s="2"/>
      <c r="AQ1594" s="1"/>
      <c r="BG1594" s="1"/>
    </row>
    <row r="1595" spans="15:59">
      <c r="O1595" s="1"/>
      <c r="P1595" s="1"/>
      <c r="AA1595" s="1"/>
      <c r="AB1595" s="1"/>
      <c r="AG1595" s="1"/>
      <c r="AH1595" s="1"/>
      <c r="AK1595" s="1"/>
      <c r="AL1595" s="1"/>
      <c r="AM1595" s="2"/>
      <c r="AN1595" s="2"/>
      <c r="AQ1595" s="1"/>
      <c r="BG1595" s="1"/>
    </row>
    <row r="1596" spans="15:59">
      <c r="O1596" s="1"/>
      <c r="P1596" s="1"/>
      <c r="AA1596" s="1"/>
      <c r="AB1596" s="1"/>
      <c r="AG1596" s="1"/>
      <c r="AH1596" s="1"/>
      <c r="AK1596" s="1"/>
      <c r="AL1596" s="1"/>
      <c r="AM1596" s="2"/>
      <c r="AN1596" s="2"/>
      <c r="AQ1596" s="1"/>
      <c r="BG1596" s="1"/>
    </row>
    <row r="1597" spans="15:59">
      <c r="O1597" s="1"/>
      <c r="P1597" s="1"/>
      <c r="AA1597" s="1"/>
      <c r="AB1597" s="1"/>
      <c r="AG1597" s="1"/>
      <c r="AH1597" s="1"/>
      <c r="AK1597" s="1"/>
      <c r="AL1597" s="1"/>
      <c r="AM1597" s="2"/>
      <c r="AN1597" s="2"/>
      <c r="AQ1597" s="1"/>
      <c r="BG1597" s="1"/>
    </row>
    <row r="1598" spans="15:59">
      <c r="O1598" s="1"/>
      <c r="P1598" s="1"/>
      <c r="AA1598" s="1"/>
      <c r="AB1598" s="1"/>
      <c r="AG1598" s="1"/>
      <c r="AH1598" s="1"/>
      <c r="AK1598" s="1"/>
      <c r="AL1598" s="1"/>
      <c r="AM1598" s="2"/>
      <c r="AN1598" s="2"/>
      <c r="AQ1598" s="1"/>
      <c r="BG1598" s="1"/>
    </row>
    <row r="1599" spans="15:59">
      <c r="O1599" s="1"/>
      <c r="P1599" s="1"/>
      <c r="AA1599" s="1"/>
      <c r="AB1599" s="1"/>
      <c r="AG1599" s="1"/>
      <c r="AH1599" s="1"/>
      <c r="AK1599" s="1"/>
      <c r="AL1599" s="1"/>
      <c r="AM1599" s="2"/>
      <c r="AN1599" s="2"/>
      <c r="AQ1599" s="1"/>
      <c r="BG1599" s="1"/>
    </row>
    <row r="1600" spans="15:59">
      <c r="O1600" s="1"/>
      <c r="P1600" s="1"/>
      <c r="AA1600" s="1"/>
      <c r="AB1600" s="1"/>
      <c r="AG1600" s="1"/>
      <c r="AH1600" s="1"/>
      <c r="AK1600" s="1"/>
      <c r="AL1600" s="1"/>
      <c r="AM1600" s="2"/>
      <c r="AN1600" s="2"/>
      <c r="AQ1600" s="1"/>
      <c r="BG1600" s="1"/>
    </row>
    <row r="1601" spans="15:59">
      <c r="O1601" s="1"/>
      <c r="P1601" s="1"/>
      <c r="AA1601" s="1"/>
      <c r="AB1601" s="1"/>
      <c r="AG1601" s="1"/>
      <c r="AH1601" s="1"/>
      <c r="AK1601" s="1"/>
      <c r="AL1601" s="1"/>
      <c r="AM1601" s="2"/>
      <c r="AN1601" s="2"/>
      <c r="AQ1601" s="1"/>
      <c r="BG1601" s="1"/>
    </row>
    <row r="1602" spans="15:59">
      <c r="O1602" s="1"/>
      <c r="P1602" s="1"/>
      <c r="AA1602" s="1"/>
      <c r="AB1602" s="1"/>
      <c r="AG1602" s="1"/>
      <c r="AH1602" s="1"/>
      <c r="AK1602" s="1"/>
      <c r="AL1602" s="1"/>
      <c r="AM1602" s="2"/>
      <c r="AN1602" s="2"/>
      <c r="AQ1602" s="1"/>
      <c r="BG1602" s="1"/>
    </row>
    <row r="1603" spans="15:59">
      <c r="O1603" s="1"/>
      <c r="P1603" s="1"/>
      <c r="AA1603" s="1"/>
      <c r="AB1603" s="1"/>
      <c r="AG1603" s="1"/>
      <c r="AH1603" s="1"/>
      <c r="AK1603" s="1"/>
      <c r="AL1603" s="1"/>
      <c r="AM1603" s="2"/>
      <c r="AN1603" s="2"/>
      <c r="AQ1603" s="1"/>
      <c r="BG1603" s="1"/>
    </row>
    <row r="1604" spans="15:59">
      <c r="O1604" s="1"/>
      <c r="P1604" s="1"/>
      <c r="AA1604" s="1"/>
      <c r="AB1604" s="1"/>
      <c r="AG1604" s="1"/>
      <c r="AH1604" s="1"/>
      <c r="AK1604" s="1"/>
      <c r="AL1604" s="1"/>
      <c r="AM1604" s="2"/>
      <c r="AN1604" s="2"/>
      <c r="AQ1604" s="1"/>
      <c r="BG1604" s="1"/>
    </row>
    <row r="1605" spans="15:59">
      <c r="O1605" s="1"/>
      <c r="P1605" s="1"/>
      <c r="AA1605" s="1"/>
      <c r="AB1605" s="1"/>
      <c r="AG1605" s="1"/>
      <c r="AH1605" s="1"/>
      <c r="AK1605" s="1"/>
      <c r="AL1605" s="1"/>
      <c r="AM1605" s="2"/>
      <c r="AN1605" s="2"/>
      <c r="AQ1605" s="1"/>
      <c r="BG1605" s="1"/>
    </row>
    <row r="1606" spans="15:59">
      <c r="O1606" s="1"/>
      <c r="P1606" s="1"/>
      <c r="AA1606" s="1"/>
      <c r="AB1606" s="1"/>
      <c r="AG1606" s="1"/>
      <c r="AH1606" s="1"/>
      <c r="AK1606" s="1"/>
      <c r="AL1606" s="1"/>
      <c r="AM1606" s="2"/>
      <c r="AN1606" s="2"/>
      <c r="AQ1606" s="1"/>
      <c r="BG1606" s="1"/>
    </row>
    <row r="1607" spans="15:59">
      <c r="O1607" s="1"/>
      <c r="P1607" s="1"/>
      <c r="AA1607" s="1"/>
      <c r="AB1607" s="1"/>
      <c r="AG1607" s="1"/>
      <c r="AH1607" s="1"/>
      <c r="AK1607" s="1"/>
      <c r="AL1607" s="1"/>
      <c r="AM1607" s="2"/>
      <c r="AN1607" s="2"/>
      <c r="AQ1607" s="1"/>
      <c r="BG1607" s="1"/>
    </row>
    <row r="1608" spans="15:59">
      <c r="O1608" s="1"/>
      <c r="P1608" s="1"/>
      <c r="AA1608" s="1"/>
      <c r="AB1608" s="1"/>
      <c r="AG1608" s="1"/>
      <c r="AH1608" s="1"/>
      <c r="AK1608" s="1"/>
      <c r="AL1608" s="1"/>
      <c r="AM1608" s="2"/>
      <c r="AN1608" s="2"/>
      <c r="AQ1608" s="1"/>
      <c r="BG1608" s="1"/>
    </row>
    <row r="1609" spans="15:59">
      <c r="O1609" s="1"/>
      <c r="P1609" s="1"/>
      <c r="AA1609" s="1"/>
      <c r="AB1609" s="1"/>
      <c r="AG1609" s="1"/>
      <c r="AH1609" s="1"/>
      <c r="AK1609" s="1"/>
      <c r="AL1609" s="1"/>
      <c r="AM1609" s="2"/>
      <c r="AN1609" s="2"/>
      <c r="AQ1609" s="1"/>
      <c r="BG1609" s="1"/>
    </row>
    <row r="1610" spans="15:59">
      <c r="O1610" s="1"/>
      <c r="P1610" s="1"/>
      <c r="AA1610" s="1"/>
      <c r="AB1610" s="1"/>
      <c r="AG1610" s="1"/>
      <c r="AH1610" s="1"/>
      <c r="AK1610" s="1"/>
      <c r="AL1610" s="1"/>
      <c r="AM1610" s="2"/>
      <c r="AN1610" s="2"/>
      <c r="AQ1610" s="1"/>
      <c r="BG1610" s="1"/>
    </row>
    <row r="1611" spans="15:59">
      <c r="O1611" s="1"/>
      <c r="P1611" s="1"/>
      <c r="AA1611" s="1"/>
      <c r="AB1611" s="1"/>
      <c r="AG1611" s="1"/>
      <c r="AH1611" s="1"/>
      <c r="AK1611" s="1"/>
      <c r="AL1611" s="1"/>
      <c r="AM1611" s="2"/>
      <c r="AN1611" s="2"/>
      <c r="AQ1611" s="1"/>
      <c r="BG1611" s="1"/>
    </row>
    <row r="1612" spans="15:59">
      <c r="O1612" s="1"/>
      <c r="P1612" s="1"/>
      <c r="AA1612" s="1"/>
      <c r="AB1612" s="1"/>
      <c r="AG1612" s="1"/>
      <c r="AH1612" s="1"/>
      <c r="AK1612" s="1"/>
      <c r="AL1612" s="1"/>
      <c r="AM1612" s="2"/>
      <c r="AN1612" s="2"/>
      <c r="AQ1612" s="1"/>
      <c r="BG1612" s="1"/>
    </row>
    <row r="1613" spans="15:59">
      <c r="O1613" s="1"/>
      <c r="P1613" s="1"/>
      <c r="AA1613" s="1"/>
      <c r="AB1613" s="1"/>
      <c r="AG1613" s="1"/>
      <c r="AH1613" s="1"/>
      <c r="AK1613" s="1"/>
      <c r="AL1613" s="1"/>
      <c r="AM1613" s="2"/>
      <c r="AN1613" s="2"/>
      <c r="AQ1613" s="1"/>
      <c r="BG1613" s="1"/>
    </row>
    <row r="1614" spans="15:59">
      <c r="O1614" s="1"/>
      <c r="P1614" s="1"/>
      <c r="AA1614" s="1"/>
      <c r="AB1614" s="1"/>
      <c r="AG1614" s="1"/>
      <c r="AH1614" s="1"/>
      <c r="AK1614" s="1"/>
      <c r="AL1614" s="1"/>
      <c r="AM1614" s="2"/>
      <c r="AN1614" s="2"/>
      <c r="AQ1614" s="1"/>
      <c r="BG1614" s="1"/>
    </row>
    <row r="1615" spans="15:59">
      <c r="O1615" s="1"/>
      <c r="P1615" s="1"/>
      <c r="AA1615" s="1"/>
      <c r="AB1615" s="1"/>
      <c r="AG1615" s="1"/>
      <c r="AH1615" s="1"/>
      <c r="AK1615" s="1"/>
      <c r="AL1615" s="1"/>
      <c r="AM1615" s="2"/>
      <c r="AN1615" s="2"/>
      <c r="AQ1615" s="1"/>
      <c r="BG1615" s="1"/>
    </row>
    <row r="1616" spans="15:59">
      <c r="O1616" s="1"/>
      <c r="P1616" s="1"/>
      <c r="AA1616" s="1"/>
      <c r="AB1616" s="1"/>
      <c r="AG1616" s="1"/>
      <c r="AH1616" s="1"/>
      <c r="AK1616" s="1"/>
      <c r="AL1616" s="1"/>
      <c r="AM1616" s="2"/>
      <c r="AN1616" s="2"/>
      <c r="AQ1616" s="1"/>
      <c r="BG1616" s="1"/>
    </row>
    <row r="1617" spans="15:59">
      <c r="O1617" s="1"/>
      <c r="P1617" s="1"/>
      <c r="AA1617" s="1"/>
      <c r="AB1617" s="1"/>
      <c r="AG1617" s="1"/>
      <c r="AH1617" s="1"/>
      <c r="AK1617" s="1"/>
      <c r="AL1617" s="1"/>
      <c r="AM1617" s="2"/>
      <c r="AN1617" s="2"/>
      <c r="AQ1617" s="1"/>
      <c r="BG1617" s="1"/>
    </row>
    <row r="1618" spans="15:59">
      <c r="O1618" s="1"/>
      <c r="P1618" s="1"/>
      <c r="AA1618" s="1"/>
      <c r="AB1618" s="1"/>
      <c r="AG1618" s="1"/>
      <c r="AH1618" s="1"/>
      <c r="AK1618" s="1"/>
      <c r="AL1618" s="1"/>
      <c r="AM1618" s="2"/>
      <c r="AN1618" s="2"/>
      <c r="AQ1618" s="1"/>
      <c r="BG1618" s="1"/>
    </row>
    <row r="1619" spans="15:59">
      <c r="O1619" s="1"/>
      <c r="P1619" s="1"/>
      <c r="AA1619" s="1"/>
      <c r="AB1619" s="1"/>
      <c r="AG1619" s="1"/>
      <c r="AH1619" s="1"/>
      <c r="AK1619" s="1"/>
      <c r="AL1619" s="1"/>
      <c r="AM1619" s="2"/>
      <c r="AN1619" s="2"/>
      <c r="AQ1619" s="1"/>
      <c r="BG1619" s="1"/>
    </row>
    <row r="1620" spans="15:59">
      <c r="O1620" s="1"/>
      <c r="P1620" s="1"/>
      <c r="AA1620" s="1"/>
      <c r="AB1620" s="1"/>
      <c r="AG1620" s="1"/>
      <c r="AH1620" s="1"/>
      <c r="AK1620" s="1"/>
      <c r="AL1620" s="1"/>
      <c r="AM1620" s="2"/>
      <c r="AN1620" s="2"/>
      <c r="AQ1620" s="1"/>
      <c r="BG1620" s="1"/>
    </row>
    <row r="1621" spans="15:59">
      <c r="O1621" s="1"/>
      <c r="P1621" s="1"/>
      <c r="AA1621" s="1"/>
      <c r="AB1621" s="1"/>
      <c r="AG1621" s="1"/>
      <c r="AH1621" s="1"/>
      <c r="AK1621" s="1"/>
      <c r="AL1621" s="1"/>
      <c r="AM1621" s="2"/>
      <c r="AN1621" s="2"/>
      <c r="AQ1621" s="1"/>
      <c r="BG1621" s="1"/>
    </row>
    <row r="1622" spans="15:59">
      <c r="O1622" s="1"/>
      <c r="P1622" s="1"/>
      <c r="AA1622" s="1"/>
      <c r="AB1622" s="1"/>
      <c r="AG1622" s="1"/>
      <c r="AH1622" s="1"/>
      <c r="AK1622" s="1"/>
      <c r="AL1622" s="1"/>
      <c r="AM1622" s="2"/>
      <c r="AN1622" s="2"/>
      <c r="AQ1622" s="1"/>
      <c r="BG1622" s="1"/>
    </row>
    <row r="1623" spans="15:59">
      <c r="O1623" s="1"/>
      <c r="P1623" s="1"/>
      <c r="AA1623" s="1"/>
      <c r="AB1623" s="1"/>
      <c r="AG1623" s="1"/>
      <c r="AH1623" s="1"/>
      <c r="AK1623" s="1"/>
      <c r="AL1623" s="1"/>
      <c r="AM1623" s="2"/>
      <c r="AN1623" s="2"/>
      <c r="AQ1623" s="1"/>
      <c r="BG1623" s="1"/>
    </row>
    <row r="1624" spans="15:59">
      <c r="O1624" s="1"/>
      <c r="P1624" s="1"/>
      <c r="AA1624" s="1"/>
      <c r="AB1624" s="1"/>
      <c r="AG1624" s="1"/>
      <c r="AH1624" s="1"/>
      <c r="AK1624" s="1"/>
      <c r="AL1624" s="1"/>
      <c r="AM1624" s="2"/>
      <c r="AN1624" s="2"/>
      <c r="AQ1624" s="1"/>
      <c r="BG1624" s="1"/>
    </row>
    <row r="1625" spans="15:59">
      <c r="O1625" s="1"/>
      <c r="P1625" s="1"/>
      <c r="AA1625" s="1"/>
      <c r="AB1625" s="1"/>
      <c r="AG1625" s="1"/>
      <c r="AH1625" s="1"/>
      <c r="AK1625" s="1"/>
      <c r="AL1625" s="1"/>
      <c r="AM1625" s="2"/>
      <c r="AN1625" s="2"/>
      <c r="AQ1625" s="1"/>
      <c r="BG1625" s="1"/>
    </row>
    <row r="1626" spans="15:59">
      <c r="O1626" s="1"/>
      <c r="P1626" s="1"/>
      <c r="AA1626" s="1"/>
      <c r="AB1626" s="1"/>
      <c r="AG1626" s="1"/>
      <c r="AH1626" s="1"/>
      <c r="AK1626" s="1"/>
      <c r="AL1626" s="1"/>
      <c r="AM1626" s="2"/>
      <c r="AN1626" s="2"/>
      <c r="AQ1626" s="1"/>
      <c r="BG1626" s="1"/>
    </row>
    <row r="1627" spans="15:59">
      <c r="O1627" s="1"/>
      <c r="P1627" s="1"/>
      <c r="AA1627" s="1"/>
      <c r="AB1627" s="1"/>
      <c r="AG1627" s="1"/>
      <c r="AH1627" s="1"/>
      <c r="AK1627" s="1"/>
      <c r="AL1627" s="1"/>
      <c r="AM1627" s="2"/>
      <c r="AN1627" s="2"/>
      <c r="AQ1627" s="1"/>
      <c r="BG1627" s="1"/>
    </row>
    <row r="1628" spans="15:59">
      <c r="O1628" s="1"/>
      <c r="P1628" s="1"/>
      <c r="AA1628" s="1"/>
      <c r="AB1628" s="1"/>
      <c r="AG1628" s="1"/>
      <c r="AH1628" s="1"/>
      <c r="AK1628" s="1"/>
      <c r="AL1628" s="1"/>
      <c r="AM1628" s="2"/>
      <c r="AN1628" s="2"/>
      <c r="AQ1628" s="1"/>
      <c r="BG1628" s="1"/>
    </row>
    <row r="1629" spans="15:59">
      <c r="O1629" s="1"/>
      <c r="P1629" s="1"/>
      <c r="AA1629" s="1"/>
      <c r="AB1629" s="1"/>
      <c r="AG1629" s="1"/>
      <c r="AH1629" s="1"/>
      <c r="AK1629" s="1"/>
      <c r="AL1629" s="1"/>
      <c r="AM1629" s="2"/>
      <c r="AN1629" s="2"/>
      <c r="AQ1629" s="1"/>
      <c r="BG1629" s="1"/>
    </row>
    <row r="1630" spans="15:59">
      <c r="O1630" s="1"/>
      <c r="P1630" s="1"/>
      <c r="AA1630" s="1"/>
      <c r="AB1630" s="1"/>
      <c r="AG1630" s="1"/>
      <c r="AH1630" s="1"/>
      <c r="AK1630" s="1"/>
      <c r="AL1630" s="1"/>
      <c r="AM1630" s="2"/>
      <c r="AN1630" s="2"/>
      <c r="AQ1630" s="1"/>
      <c r="BG1630" s="1"/>
    </row>
    <row r="1631" spans="15:59">
      <c r="O1631" s="1"/>
      <c r="P1631" s="1"/>
      <c r="AA1631" s="1"/>
      <c r="AB1631" s="1"/>
      <c r="AG1631" s="1"/>
      <c r="AH1631" s="1"/>
      <c r="AK1631" s="1"/>
      <c r="AL1631" s="1"/>
      <c r="AM1631" s="2"/>
      <c r="AN1631" s="2"/>
      <c r="AQ1631" s="1"/>
      <c r="BG1631" s="1"/>
    </row>
    <row r="1632" spans="15:59">
      <c r="O1632" s="1"/>
      <c r="P1632" s="1"/>
      <c r="AA1632" s="1"/>
      <c r="AB1632" s="1"/>
      <c r="AG1632" s="1"/>
      <c r="AH1632" s="1"/>
      <c r="AK1632" s="1"/>
      <c r="AL1632" s="1"/>
      <c r="AM1632" s="2"/>
      <c r="AN1632" s="2"/>
      <c r="AQ1632" s="1"/>
      <c r="BG1632" s="1"/>
    </row>
    <row r="1633" spans="15:59">
      <c r="O1633" s="1"/>
      <c r="P1633" s="1"/>
      <c r="AA1633" s="1"/>
      <c r="AB1633" s="1"/>
      <c r="AG1633" s="1"/>
      <c r="AH1633" s="1"/>
      <c r="AK1633" s="1"/>
      <c r="AL1633" s="1"/>
      <c r="AM1633" s="2"/>
      <c r="AN1633" s="2"/>
      <c r="AQ1633" s="1"/>
      <c r="BG1633" s="1"/>
    </row>
    <row r="1634" spans="15:59">
      <c r="O1634" s="1"/>
      <c r="P1634" s="1"/>
      <c r="AA1634" s="1"/>
      <c r="AB1634" s="1"/>
      <c r="AG1634" s="1"/>
      <c r="AH1634" s="1"/>
      <c r="AK1634" s="1"/>
      <c r="AL1634" s="1"/>
      <c r="AM1634" s="2"/>
      <c r="AN1634" s="2"/>
      <c r="AQ1634" s="1"/>
      <c r="BG1634" s="1"/>
    </row>
    <row r="1635" spans="15:59">
      <c r="O1635" s="1"/>
      <c r="P1635" s="1"/>
      <c r="AA1635" s="1"/>
      <c r="AB1635" s="1"/>
      <c r="AG1635" s="1"/>
      <c r="AH1635" s="1"/>
      <c r="AK1635" s="1"/>
      <c r="AL1635" s="1"/>
      <c r="AM1635" s="2"/>
      <c r="AN1635" s="2"/>
      <c r="AQ1635" s="1"/>
      <c r="BG1635" s="1"/>
    </row>
    <row r="1636" spans="15:59">
      <c r="O1636" s="1"/>
      <c r="P1636" s="1"/>
      <c r="AA1636" s="1"/>
      <c r="AB1636" s="1"/>
      <c r="AG1636" s="1"/>
      <c r="AH1636" s="1"/>
      <c r="AK1636" s="1"/>
      <c r="AL1636" s="1"/>
      <c r="AM1636" s="2"/>
      <c r="AN1636" s="2"/>
      <c r="AQ1636" s="1"/>
      <c r="BG1636" s="1"/>
    </row>
    <row r="1637" spans="15:59">
      <c r="O1637" s="1"/>
      <c r="P1637" s="1"/>
      <c r="AA1637" s="1"/>
      <c r="AB1637" s="1"/>
      <c r="AG1637" s="1"/>
      <c r="AH1637" s="1"/>
      <c r="AK1637" s="1"/>
      <c r="AL1637" s="1"/>
      <c r="AM1637" s="2"/>
      <c r="AN1637" s="2"/>
      <c r="AQ1637" s="1"/>
      <c r="BG1637" s="1"/>
    </row>
    <row r="1638" spans="15:59">
      <c r="O1638" s="1"/>
      <c r="P1638" s="1"/>
      <c r="AA1638" s="1"/>
      <c r="AB1638" s="1"/>
      <c r="AG1638" s="1"/>
      <c r="AH1638" s="1"/>
      <c r="AK1638" s="1"/>
      <c r="AL1638" s="1"/>
      <c r="AM1638" s="2"/>
      <c r="AN1638" s="2"/>
      <c r="AQ1638" s="1"/>
      <c r="BG1638" s="1"/>
    </row>
    <row r="1639" spans="15:59">
      <c r="O1639" s="1"/>
      <c r="P1639" s="1"/>
      <c r="AA1639" s="1"/>
      <c r="AB1639" s="1"/>
      <c r="AG1639" s="1"/>
      <c r="AH1639" s="1"/>
      <c r="AK1639" s="1"/>
      <c r="AL1639" s="1"/>
      <c r="AM1639" s="2"/>
      <c r="AN1639" s="2"/>
      <c r="AQ1639" s="1"/>
      <c r="BG1639" s="1"/>
    </row>
    <row r="1640" spans="15:59">
      <c r="O1640" s="1"/>
      <c r="P1640" s="1"/>
      <c r="AA1640" s="1"/>
      <c r="AB1640" s="1"/>
      <c r="AG1640" s="1"/>
      <c r="AH1640" s="1"/>
      <c r="AK1640" s="1"/>
      <c r="AL1640" s="1"/>
      <c r="AM1640" s="2"/>
      <c r="AN1640" s="2"/>
      <c r="AQ1640" s="1"/>
      <c r="BG1640" s="1"/>
    </row>
    <row r="1641" spans="15:59">
      <c r="O1641" s="1"/>
      <c r="P1641" s="1"/>
      <c r="AA1641" s="1"/>
      <c r="AB1641" s="1"/>
      <c r="AG1641" s="1"/>
      <c r="AH1641" s="1"/>
      <c r="AK1641" s="1"/>
      <c r="AL1641" s="1"/>
      <c r="AM1641" s="2"/>
      <c r="AN1641" s="2"/>
      <c r="AQ1641" s="1"/>
      <c r="BG1641" s="1"/>
    </row>
    <row r="1642" spans="15:59">
      <c r="O1642" s="1"/>
      <c r="P1642" s="1"/>
      <c r="AA1642" s="1"/>
      <c r="AB1642" s="1"/>
      <c r="AG1642" s="1"/>
      <c r="AH1642" s="1"/>
      <c r="AK1642" s="1"/>
      <c r="AL1642" s="1"/>
      <c r="AM1642" s="2"/>
      <c r="AN1642" s="2"/>
      <c r="AQ1642" s="1"/>
      <c r="BG1642" s="1"/>
    </row>
    <row r="1643" spans="15:59">
      <c r="O1643" s="1"/>
      <c r="P1643" s="1"/>
      <c r="AA1643" s="1"/>
      <c r="AB1643" s="1"/>
      <c r="AG1643" s="1"/>
      <c r="AH1643" s="1"/>
      <c r="AK1643" s="1"/>
      <c r="AL1643" s="1"/>
      <c r="AM1643" s="2"/>
      <c r="AN1643" s="2"/>
      <c r="AQ1643" s="1"/>
      <c r="BG1643" s="1"/>
    </row>
    <row r="1644" spans="15:59">
      <c r="O1644" s="1"/>
      <c r="P1644" s="1"/>
      <c r="AA1644" s="1"/>
      <c r="AB1644" s="1"/>
      <c r="AG1644" s="1"/>
      <c r="AH1644" s="1"/>
      <c r="AK1644" s="1"/>
      <c r="AL1644" s="1"/>
      <c r="AM1644" s="2"/>
      <c r="AN1644" s="2"/>
      <c r="AQ1644" s="1"/>
      <c r="BG1644" s="1"/>
    </row>
    <row r="1645" spans="15:59">
      <c r="O1645" s="1"/>
      <c r="P1645" s="1"/>
      <c r="AA1645" s="1"/>
      <c r="AB1645" s="1"/>
      <c r="AG1645" s="1"/>
      <c r="AH1645" s="1"/>
      <c r="AK1645" s="1"/>
      <c r="AL1645" s="1"/>
      <c r="AM1645" s="2"/>
      <c r="AN1645" s="2"/>
      <c r="AQ1645" s="1"/>
      <c r="BG1645" s="1"/>
    </row>
    <row r="1646" spans="15:59">
      <c r="O1646" s="1"/>
      <c r="P1646" s="1"/>
      <c r="AA1646" s="1"/>
      <c r="AB1646" s="1"/>
      <c r="AG1646" s="1"/>
      <c r="AH1646" s="1"/>
      <c r="AK1646" s="1"/>
      <c r="AL1646" s="1"/>
      <c r="AM1646" s="2"/>
      <c r="AN1646" s="2"/>
      <c r="AQ1646" s="1"/>
      <c r="BG1646" s="1"/>
    </row>
    <row r="1647" spans="15:59">
      <c r="O1647" s="1"/>
      <c r="P1647" s="1"/>
      <c r="AA1647" s="1"/>
      <c r="AB1647" s="1"/>
      <c r="AG1647" s="1"/>
      <c r="AH1647" s="1"/>
      <c r="AK1647" s="1"/>
      <c r="AL1647" s="1"/>
      <c r="AM1647" s="2"/>
      <c r="AN1647" s="2"/>
      <c r="AQ1647" s="1"/>
      <c r="BG1647" s="1"/>
    </row>
    <row r="1648" spans="15:59">
      <c r="O1648" s="1"/>
      <c r="P1648" s="1"/>
      <c r="AA1648" s="1"/>
      <c r="AB1648" s="1"/>
      <c r="AG1648" s="1"/>
      <c r="AH1648" s="1"/>
      <c r="AK1648" s="1"/>
      <c r="AL1648" s="1"/>
      <c r="AM1648" s="2"/>
      <c r="AN1648" s="2"/>
      <c r="AQ1648" s="1"/>
      <c r="BG1648" s="1"/>
    </row>
    <row r="1649" spans="15:59">
      <c r="O1649" s="1"/>
      <c r="P1649" s="1"/>
      <c r="AA1649" s="1"/>
      <c r="AB1649" s="1"/>
      <c r="AG1649" s="1"/>
      <c r="AH1649" s="1"/>
      <c r="AK1649" s="1"/>
      <c r="AL1649" s="1"/>
      <c r="AM1649" s="2"/>
      <c r="AN1649" s="2"/>
      <c r="AQ1649" s="1"/>
      <c r="BG1649" s="1"/>
    </row>
    <row r="1650" spans="15:59">
      <c r="O1650" s="1"/>
      <c r="P1650" s="1"/>
      <c r="AA1650" s="1"/>
      <c r="AB1650" s="1"/>
      <c r="AG1650" s="1"/>
      <c r="AH1650" s="1"/>
      <c r="AK1650" s="1"/>
      <c r="AL1650" s="1"/>
      <c r="AM1650" s="2"/>
      <c r="AN1650" s="2"/>
      <c r="AQ1650" s="1"/>
      <c r="BG1650" s="1"/>
    </row>
    <row r="1651" spans="15:59">
      <c r="O1651" s="1"/>
      <c r="P1651" s="1"/>
      <c r="AA1651" s="1"/>
      <c r="AB1651" s="1"/>
      <c r="AG1651" s="1"/>
      <c r="AH1651" s="1"/>
      <c r="AK1651" s="1"/>
      <c r="AL1651" s="1"/>
      <c r="AM1651" s="2"/>
      <c r="AN1651" s="2"/>
      <c r="AQ1651" s="1"/>
      <c r="BG1651" s="1"/>
    </row>
    <row r="1652" spans="15:59">
      <c r="O1652" s="1"/>
      <c r="P1652" s="1"/>
      <c r="AA1652" s="1"/>
      <c r="AB1652" s="1"/>
      <c r="AG1652" s="1"/>
      <c r="AH1652" s="1"/>
      <c r="AK1652" s="1"/>
      <c r="AL1652" s="1"/>
      <c r="AM1652" s="2"/>
      <c r="AN1652" s="2"/>
      <c r="AQ1652" s="1"/>
      <c r="BG1652" s="1"/>
    </row>
    <row r="1653" spans="15:59">
      <c r="O1653" s="1"/>
      <c r="P1653" s="1"/>
      <c r="AA1653" s="1"/>
      <c r="AB1653" s="1"/>
      <c r="AG1653" s="1"/>
      <c r="AH1653" s="1"/>
      <c r="AK1653" s="1"/>
      <c r="AL1653" s="1"/>
      <c r="AM1653" s="2"/>
      <c r="AN1653" s="2"/>
      <c r="AQ1653" s="1"/>
      <c r="BG1653" s="1"/>
    </row>
    <row r="1654" spans="15:59">
      <c r="O1654" s="1"/>
      <c r="P1654" s="1"/>
      <c r="AA1654" s="1"/>
      <c r="AB1654" s="1"/>
      <c r="AG1654" s="1"/>
      <c r="AH1654" s="1"/>
      <c r="AK1654" s="1"/>
      <c r="AL1654" s="1"/>
      <c r="AM1654" s="2"/>
      <c r="AN1654" s="2"/>
      <c r="AQ1654" s="1"/>
      <c r="BG1654" s="1"/>
    </row>
    <row r="1655" spans="15:59">
      <c r="O1655" s="1"/>
      <c r="P1655" s="1"/>
      <c r="AA1655" s="1"/>
      <c r="AB1655" s="1"/>
      <c r="AG1655" s="1"/>
      <c r="AH1655" s="1"/>
      <c r="AK1655" s="1"/>
      <c r="AL1655" s="1"/>
      <c r="AM1655" s="2"/>
      <c r="AN1655" s="2"/>
      <c r="AQ1655" s="1"/>
      <c r="BG1655" s="1"/>
    </row>
    <row r="1656" spans="15:59">
      <c r="O1656" s="1"/>
      <c r="P1656" s="1"/>
      <c r="AA1656" s="1"/>
      <c r="AB1656" s="1"/>
      <c r="AG1656" s="1"/>
      <c r="AH1656" s="1"/>
      <c r="AK1656" s="1"/>
      <c r="AL1656" s="1"/>
      <c r="AM1656" s="2"/>
      <c r="AN1656" s="2"/>
      <c r="AQ1656" s="1"/>
      <c r="BG1656" s="1"/>
    </row>
    <row r="1657" spans="15:59">
      <c r="O1657" s="1"/>
      <c r="P1657" s="1"/>
      <c r="AA1657" s="1"/>
      <c r="AB1657" s="1"/>
      <c r="AG1657" s="1"/>
      <c r="AH1657" s="1"/>
      <c r="AK1657" s="1"/>
      <c r="AL1657" s="1"/>
      <c r="AM1657" s="2"/>
      <c r="AN1657" s="2"/>
      <c r="AQ1657" s="1"/>
      <c r="BG1657" s="1"/>
    </row>
    <row r="1658" spans="15:59">
      <c r="O1658" s="1"/>
      <c r="P1658" s="1"/>
      <c r="AA1658" s="1"/>
      <c r="AB1658" s="1"/>
      <c r="AG1658" s="1"/>
      <c r="AH1658" s="1"/>
      <c r="AK1658" s="1"/>
      <c r="AL1658" s="1"/>
      <c r="AM1658" s="2"/>
      <c r="AN1658" s="2"/>
      <c r="AQ1658" s="1"/>
      <c r="BG1658" s="1"/>
    </row>
    <row r="1659" spans="15:59">
      <c r="O1659" s="1"/>
      <c r="P1659" s="1"/>
      <c r="AA1659" s="1"/>
      <c r="AB1659" s="1"/>
      <c r="AG1659" s="1"/>
      <c r="AH1659" s="1"/>
      <c r="AK1659" s="1"/>
      <c r="AL1659" s="1"/>
      <c r="AM1659" s="2"/>
      <c r="AN1659" s="2"/>
      <c r="AQ1659" s="1"/>
      <c r="BG1659" s="1"/>
    </row>
    <row r="1660" spans="15:59">
      <c r="O1660" s="1"/>
      <c r="P1660" s="1"/>
      <c r="AA1660" s="1"/>
      <c r="AB1660" s="1"/>
      <c r="AG1660" s="1"/>
      <c r="AH1660" s="1"/>
      <c r="AK1660" s="1"/>
      <c r="AL1660" s="1"/>
      <c r="AM1660" s="2"/>
      <c r="AN1660" s="2"/>
      <c r="AQ1660" s="1"/>
      <c r="BG1660" s="1"/>
    </row>
    <row r="1661" spans="15:59">
      <c r="O1661" s="1"/>
      <c r="P1661" s="1"/>
      <c r="AA1661" s="1"/>
      <c r="AB1661" s="1"/>
      <c r="AG1661" s="1"/>
      <c r="AH1661" s="1"/>
      <c r="AK1661" s="1"/>
      <c r="AL1661" s="1"/>
      <c r="AM1661" s="2"/>
      <c r="AN1661" s="2"/>
      <c r="AQ1661" s="1"/>
      <c r="BG1661" s="1"/>
    </row>
    <row r="1662" spans="15:59">
      <c r="O1662" s="1"/>
      <c r="P1662" s="1"/>
      <c r="AA1662" s="1"/>
      <c r="AB1662" s="1"/>
      <c r="AG1662" s="1"/>
      <c r="AH1662" s="1"/>
      <c r="AK1662" s="1"/>
      <c r="AL1662" s="1"/>
      <c r="AM1662" s="2"/>
      <c r="AN1662" s="2"/>
      <c r="AQ1662" s="1"/>
      <c r="BG1662" s="1"/>
    </row>
    <row r="1663" spans="15:59">
      <c r="O1663" s="1"/>
      <c r="P1663" s="1"/>
      <c r="AA1663" s="1"/>
      <c r="AB1663" s="1"/>
      <c r="AG1663" s="1"/>
      <c r="AH1663" s="1"/>
      <c r="AK1663" s="1"/>
      <c r="AL1663" s="1"/>
      <c r="AM1663" s="2"/>
      <c r="AN1663" s="2"/>
      <c r="AQ1663" s="1"/>
      <c r="BG1663" s="1"/>
    </row>
    <row r="1664" spans="15:59">
      <c r="O1664" s="1"/>
      <c r="P1664" s="1"/>
      <c r="AA1664" s="1"/>
      <c r="AB1664" s="1"/>
      <c r="AG1664" s="1"/>
      <c r="AH1664" s="1"/>
      <c r="AK1664" s="1"/>
      <c r="AL1664" s="1"/>
      <c r="AM1664" s="2"/>
      <c r="AN1664" s="2"/>
      <c r="AQ1664" s="1"/>
      <c r="BG1664" s="1"/>
    </row>
    <row r="1665" spans="15:59">
      <c r="O1665" s="1"/>
      <c r="P1665" s="1"/>
      <c r="AA1665" s="1"/>
      <c r="AB1665" s="1"/>
      <c r="AG1665" s="1"/>
      <c r="AH1665" s="1"/>
      <c r="AK1665" s="1"/>
      <c r="AL1665" s="1"/>
      <c r="AM1665" s="2"/>
      <c r="AN1665" s="2"/>
      <c r="AQ1665" s="1"/>
      <c r="BG1665" s="1"/>
    </row>
    <row r="1666" spans="15:59">
      <c r="O1666" s="1"/>
      <c r="P1666" s="1"/>
      <c r="AA1666" s="1"/>
      <c r="AB1666" s="1"/>
      <c r="AG1666" s="1"/>
      <c r="AH1666" s="1"/>
      <c r="AK1666" s="1"/>
      <c r="AL1666" s="1"/>
      <c r="AM1666" s="2"/>
      <c r="AN1666" s="2"/>
      <c r="AQ1666" s="1"/>
      <c r="BG1666" s="1"/>
    </row>
    <row r="1667" spans="15:59">
      <c r="O1667" s="1"/>
      <c r="P1667" s="1"/>
      <c r="AA1667" s="1"/>
      <c r="AB1667" s="1"/>
      <c r="AG1667" s="1"/>
      <c r="AH1667" s="1"/>
      <c r="AK1667" s="1"/>
      <c r="AL1667" s="1"/>
      <c r="AM1667" s="2"/>
      <c r="AN1667" s="2"/>
      <c r="AQ1667" s="1"/>
      <c r="BG1667" s="1"/>
    </row>
    <row r="1668" spans="15:59">
      <c r="O1668" s="1"/>
      <c r="P1668" s="1"/>
      <c r="AA1668" s="1"/>
      <c r="AB1668" s="1"/>
      <c r="AG1668" s="1"/>
      <c r="AH1668" s="1"/>
      <c r="AK1668" s="1"/>
      <c r="AL1668" s="1"/>
      <c r="AM1668" s="2"/>
      <c r="AN1668" s="2"/>
      <c r="AQ1668" s="1"/>
      <c r="BG1668" s="1"/>
    </row>
    <row r="1669" spans="15:59">
      <c r="O1669" s="1"/>
      <c r="P1669" s="1"/>
      <c r="AA1669" s="1"/>
      <c r="AB1669" s="1"/>
      <c r="AG1669" s="1"/>
      <c r="AH1669" s="1"/>
      <c r="AK1669" s="1"/>
      <c r="AL1669" s="1"/>
      <c r="AM1669" s="2"/>
      <c r="AN1669" s="2"/>
      <c r="AQ1669" s="1"/>
      <c r="BG1669" s="1"/>
    </row>
    <row r="1670" spans="15:59">
      <c r="O1670" s="1"/>
      <c r="P1670" s="1"/>
      <c r="AA1670" s="1"/>
      <c r="AB1670" s="1"/>
      <c r="AG1670" s="1"/>
      <c r="AH1670" s="1"/>
      <c r="AK1670" s="1"/>
      <c r="AL1670" s="1"/>
      <c r="AM1670" s="2"/>
      <c r="AN1670" s="2"/>
      <c r="AQ1670" s="1"/>
      <c r="BG1670" s="1"/>
    </row>
    <row r="1671" spans="15:59">
      <c r="O1671" s="1"/>
      <c r="P1671" s="1"/>
      <c r="AA1671" s="1"/>
      <c r="AB1671" s="1"/>
      <c r="AG1671" s="1"/>
      <c r="AH1671" s="1"/>
      <c r="AK1671" s="1"/>
      <c r="AL1671" s="1"/>
      <c r="AM1671" s="2"/>
      <c r="AN1671" s="2"/>
      <c r="AQ1671" s="1"/>
      <c r="BG1671" s="1"/>
    </row>
    <row r="1672" spans="15:59">
      <c r="O1672" s="1"/>
      <c r="P1672" s="1"/>
      <c r="AA1672" s="1"/>
      <c r="AB1672" s="1"/>
      <c r="AG1672" s="1"/>
      <c r="AH1672" s="1"/>
      <c r="AK1672" s="1"/>
      <c r="AL1672" s="1"/>
      <c r="AM1672" s="2"/>
      <c r="AN1672" s="2"/>
      <c r="AQ1672" s="1"/>
      <c r="BG1672" s="1"/>
    </row>
    <row r="1673" spans="15:59">
      <c r="O1673" s="1"/>
      <c r="P1673" s="1"/>
      <c r="AA1673" s="1"/>
      <c r="AB1673" s="1"/>
      <c r="AG1673" s="1"/>
      <c r="AH1673" s="1"/>
      <c r="AK1673" s="1"/>
      <c r="AL1673" s="1"/>
      <c r="AM1673" s="2"/>
      <c r="AN1673" s="2"/>
      <c r="AQ1673" s="1"/>
      <c r="BG1673" s="1"/>
    </row>
    <row r="1674" spans="15:59">
      <c r="O1674" s="1"/>
      <c r="P1674" s="1"/>
      <c r="AA1674" s="1"/>
      <c r="AB1674" s="1"/>
      <c r="AG1674" s="1"/>
      <c r="AH1674" s="1"/>
      <c r="AK1674" s="1"/>
      <c r="AL1674" s="1"/>
      <c r="AM1674" s="2"/>
      <c r="AN1674" s="2"/>
      <c r="AQ1674" s="1"/>
      <c r="BG1674" s="1"/>
    </row>
    <row r="1675" spans="15:59">
      <c r="O1675" s="1"/>
      <c r="P1675" s="1"/>
      <c r="AA1675" s="1"/>
      <c r="AB1675" s="1"/>
      <c r="AG1675" s="1"/>
      <c r="AH1675" s="1"/>
      <c r="AK1675" s="1"/>
      <c r="AL1675" s="1"/>
      <c r="AM1675" s="2"/>
      <c r="AN1675" s="2"/>
      <c r="AQ1675" s="1"/>
      <c r="BG1675" s="1"/>
    </row>
    <row r="1676" spans="15:59">
      <c r="O1676" s="1"/>
      <c r="P1676" s="1"/>
      <c r="AA1676" s="1"/>
      <c r="AB1676" s="1"/>
      <c r="AG1676" s="1"/>
      <c r="AH1676" s="1"/>
      <c r="AK1676" s="1"/>
      <c r="AL1676" s="1"/>
      <c r="AM1676" s="2"/>
      <c r="AN1676" s="2"/>
      <c r="AQ1676" s="1"/>
      <c r="BG1676" s="1"/>
    </row>
    <row r="1677" spans="15:59">
      <c r="O1677" s="1"/>
      <c r="P1677" s="1"/>
      <c r="AA1677" s="1"/>
      <c r="AB1677" s="1"/>
      <c r="AG1677" s="1"/>
      <c r="AH1677" s="1"/>
      <c r="AK1677" s="1"/>
      <c r="AL1677" s="1"/>
      <c r="AM1677" s="2"/>
      <c r="AN1677" s="2"/>
      <c r="AQ1677" s="1"/>
      <c r="BG1677" s="1"/>
    </row>
    <row r="1678" spans="15:59">
      <c r="O1678" s="1"/>
      <c r="P1678" s="1"/>
      <c r="AA1678" s="1"/>
      <c r="AB1678" s="1"/>
      <c r="AG1678" s="1"/>
      <c r="AH1678" s="1"/>
      <c r="AK1678" s="1"/>
      <c r="AL1678" s="1"/>
      <c r="AM1678" s="2"/>
      <c r="AN1678" s="2"/>
      <c r="AQ1678" s="1"/>
      <c r="BG1678" s="1"/>
    </row>
    <row r="1679" spans="15:59">
      <c r="O1679" s="1"/>
      <c r="P1679" s="1"/>
      <c r="AA1679" s="1"/>
      <c r="AB1679" s="1"/>
      <c r="AG1679" s="1"/>
      <c r="AH1679" s="1"/>
      <c r="AK1679" s="1"/>
      <c r="AL1679" s="1"/>
      <c r="AM1679" s="2"/>
      <c r="AN1679" s="2"/>
      <c r="AQ1679" s="1"/>
      <c r="BG1679" s="1"/>
    </row>
    <row r="1680" spans="15:59">
      <c r="O1680" s="1"/>
      <c r="P1680" s="1"/>
      <c r="AA1680" s="1"/>
      <c r="AB1680" s="1"/>
      <c r="AG1680" s="1"/>
      <c r="AH1680" s="1"/>
      <c r="AK1680" s="1"/>
      <c r="AL1680" s="1"/>
      <c r="AM1680" s="2"/>
      <c r="AN1680" s="2"/>
      <c r="AQ1680" s="1"/>
      <c r="BG1680" s="1"/>
    </row>
    <row r="1681" spans="15:59">
      <c r="O1681" s="1"/>
      <c r="P1681" s="1"/>
      <c r="AA1681" s="1"/>
      <c r="AB1681" s="1"/>
      <c r="AG1681" s="1"/>
      <c r="AH1681" s="1"/>
      <c r="AK1681" s="1"/>
      <c r="AL1681" s="1"/>
      <c r="AM1681" s="2"/>
      <c r="AN1681" s="2"/>
      <c r="AQ1681" s="1"/>
      <c r="BG1681" s="1"/>
    </row>
    <row r="1682" spans="15:59">
      <c r="O1682" s="1"/>
      <c r="P1682" s="1"/>
      <c r="AA1682" s="1"/>
      <c r="AB1682" s="1"/>
      <c r="AG1682" s="1"/>
      <c r="AH1682" s="1"/>
      <c r="AK1682" s="1"/>
      <c r="AL1682" s="1"/>
      <c r="AM1682" s="2"/>
      <c r="AN1682" s="2"/>
      <c r="AQ1682" s="1"/>
      <c r="BG1682" s="1"/>
    </row>
    <row r="1683" spans="15:59">
      <c r="O1683" s="1"/>
      <c r="P1683" s="1"/>
      <c r="AA1683" s="1"/>
      <c r="AB1683" s="1"/>
      <c r="AG1683" s="1"/>
      <c r="AH1683" s="1"/>
      <c r="AK1683" s="1"/>
      <c r="AL1683" s="1"/>
      <c r="AM1683" s="2"/>
      <c r="AN1683" s="2"/>
      <c r="AQ1683" s="1"/>
      <c r="BG1683" s="1"/>
    </row>
    <row r="1684" spans="15:59">
      <c r="O1684" s="1"/>
      <c r="P1684" s="1"/>
      <c r="AA1684" s="1"/>
      <c r="AB1684" s="1"/>
      <c r="AG1684" s="1"/>
      <c r="AH1684" s="1"/>
      <c r="AK1684" s="1"/>
      <c r="AL1684" s="1"/>
      <c r="AM1684" s="2"/>
      <c r="AN1684" s="2"/>
      <c r="AQ1684" s="1"/>
      <c r="BG1684" s="1"/>
    </row>
    <row r="1685" spans="15:59">
      <c r="O1685" s="1"/>
      <c r="P1685" s="1"/>
      <c r="AA1685" s="1"/>
      <c r="AB1685" s="1"/>
      <c r="AG1685" s="1"/>
      <c r="AH1685" s="1"/>
      <c r="AK1685" s="1"/>
      <c r="AL1685" s="1"/>
      <c r="AM1685" s="2"/>
      <c r="AN1685" s="2"/>
      <c r="AQ1685" s="1"/>
      <c r="BG1685" s="1"/>
    </row>
    <row r="1686" spans="15:59">
      <c r="O1686" s="1"/>
      <c r="P1686" s="1"/>
      <c r="AA1686" s="1"/>
      <c r="AB1686" s="1"/>
      <c r="AG1686" s="1"/>
      <c r="AH1686" s="1"/>
      <c r="AK1686" s="1"/>
      <c r="AL1686" s="1"/>
      <c r="AM1686" s="2"/>
      <c r="AN1686" s="2"/>
      <c r="AQ1686" s="1"/>
      <c r="BG1686" s="1"/>
    </row>
    <row r="1687" spans="15:59">
      <c r="O1687" s="1"/>
      <c r="P1687" s="1"/>
      <c r="AA1687" s="1"/>
      <c r="AB1687" s="1"/>
      <c r="AG1687" s="1"/>
      <c r="AH1687" s="1"/>
      <c r="AK1687" s="1"/>
      <c r="AL1687" s="1"/>
      <c r="AM1687" s="2"/>
      <c r="AN1687" s="2"/>
      <c r="AQ1687" s="1"/>
      <c r="BG1687" s="1"/>
    </row>
    <row r="1688" spans="15:59">
      <c r="O1688" s="1"/>
      <c r="P1688" s="1"/>
      <c r="AA1688" s="1"/>
      <c r="AB1688" s="1"/>
      <c r="AG1688" s="1"/>
      <c r="AH1688" s="1"/>
      <c r="AK1688" s="1"/>
      <c r="AL1688" s="1"/>
      <c r="AM1688" s="2"/>
      <c r="AN1688" s="2"/>
      <c r="AQ1688" s="1"/>
      <c r="BG1688" s="1"/>
    </row>
    <row r="1689" spans="15:59">
      <c r="O1689" s="1"/>
      <c r="P1689" s="1"/>
      <c r="AA1689" s="1"/>
      <c r="AB1689" s="1"/>
      <c r="AG1689" s="1"/>
      <c r="AH1689" s="1"/>
      <c r="AK1689" s="1"/>
      <c r="AL1689" s="1"/>
      <c r="AM1689" s="2"/>
      <c r="AN1689" s="2"/>
      <c r="AQ1689" s="1"/>
      <c r="BG1689" s="1"/>
    </row>
    <row r="1690" spans="15:59">
      <c r="O1690" s="1"/>
      <c r="P1690" s="1"/>
      <c r="AA1690" s="1"/>
      <c r="AB1690" s="1"/>
      <c r="AG1690" s="1"/>
      <c r="AH1690" s="1"/>
      <c r="AK1690" s="1"/>
      <c r="AL1690" s="1"/>
      <c r="AM1690" s="2"/>
      <c r="AN1690" s="2"/>
      <c r="AQ1690" s="1"/>
      <c r="BG1690" s="1"/>
    </row>
    <row r="1691" spans="15:59">
      <c r="O1691" s="1"/>
      <c r="P1691" s="1"/>
      <c r="AA1691" s="1"/>
      <c r="AB1691" s="1"/>
      <c r="AG1691" s="1"/>
      <c r="AH1691" s="1"/>
      <c r="AK1691" s="1"/>
      <c r="AL1691" s="1"/>
      <c r="AM1691" s="2"/>
      <c r="AN1691" s="2"/>
      <c r="AQ1691" s="1"/>
      <c r="BG1691" s="1"/>
    </row>
    <row r="1692" spans="15:59">
      <c r="O1692" s="1"/>
      <c r="P1692" s="1"/>
      <c r="AA1692" s="1"/>
      <c r="AB1692" s="1"/>
      <c r="AG1692" s="1"/>
      <c r="AH1692" s="1"/>
      <c r="AK1692" s="1"/>
      <c r="AL1692" s="1"/>
      <c r="AM1692" s="2"/>
      <c r="AN1692" s="2"/>
      <c r="AQ1692" s="1"/>
      <c r="BG1692" s="1"/>
    </row>
    <row r="1693" spans="15:59">
      <c r="O1693" s="1"/>
      <c r="P1693" s="1"/>
      <c r="AA1693" s="1"/>
      <c r="AB1693" s="1"/>
      <c r="AG1693" s="1"/>
      <c r="AH1693" s="1"/>
      <c r="AK1693" s="1"/>
      <c r="AL1693" s="1"/>
      <c r="AM1693" s="2"/>
      <c r="AN1693" s="2"/>
      <c r="AQ1693" s="1"/>
      <c r="BG1693" s="1"/>
    </row>
    <row r="1694" spans="15:59">
      <c r="O1694" s="1"/>
      <c r="P1694" s="1"/>
      <c r="AA1694" s="1"/>
      <c r="AB1694" s="1"/>
      <c r="AG1694" s="1"/>
      <c r="AH1694" s="1"/>
      <c r="AK1694" s="1"/>
      <c r="AL1694" s="1"/>
      <c r="AM1694" s="2"/>
      <c r="AN1694" s="2"/>
      <c r="AQ1694" s="1"/>
      <c r="BG1694" s="1"/>
    </row>
    <row r="1695" spans="15:59">
      <c r="O1695" s="1"/>
      <c r="P1695" s="1"/>
      <c r="AA1695" s="1"/>
      <c r="AB1695" s="1"/>
      <c r="AG1695" s="1"/>
      <c r="AH1695" s="1"/>
      <c r="AK1695" s="1"/>
      <c r="AL1695" s="1"/>
      <c r="AM1695" s="2"/>
      <c r="AN1695" s="2"/>
      <c r="AQ1695" s="1"/>
      <c r="BG1695" s="1"/>
    </row>
    <row r="1696" spans="15:59">
      <c r="O1696" s="1"/>
      <c r="P1696" s="1"/>
      <c r="AA1696" s="1"/>
      <c r="AB1696" s="1"/>
      <c r="AG1696" s="1"/>
      <c r="AH1696" s="1"/>
      <c r="AK1696" s="1"/>
      <c r="AL1696" s="1"/>
      <c r="AM1696" s="2"/>
      <c r="AN1696" s="2"/>
      <c r="AQ1696" s="1"/>
      <c r="BG1696" s="1"/>
    </row>
    <row r="1697" spans="15:59">
      <c r="O1697" s="1"/>
      <c r="P1697" s="1"/>
      <c r="AA1697" s="1"/>
      <c r="AB1697" s="1"/>
      <c r="AG1697" s="1"/>
      <c r="AH1697" s="1"/>
      <c r="AK1697" s="1"/>
      <c r="AL1697" s="1"/>
      <c r="AM1697" s="2"/>
      <c r="AN1697" s="2"/>
      <c r="AQ1697" s="1"/>
      <c r="BG1697" s="1"/>
    </row>
    <row r="1698" spans="15:59">
      <c r="O1698" s="1"/>
      <c r="P1698" s="1"/>
      <c r="AA1698" s="1"/>
      <c r="AB1698" s="1"/>
      <c r="AG1698" s="1"/>
      <c r="AH1698" s="1"/>
      <c r="AK1698" s="1"/>
      <c r="AL1698" s="1"/>
      <c r="AM1698" s="2"/>
      <c r="AN1698" s="2"/>
      <c r="AQ1698" s="1"/>
      <c r="BG1698" s="1"/>
    </row>
    <row r="1699" spans="15:59">
      <c r="O1699" s="1"/>
      <c r="P1699" s="1"/>
      <c r="AA1699" s="1"/>
      <c r="AB1699" s="1"/>
      <c r="AG1699" s="1"/>
      <c r="AH1699" s="1"/>
      <c r="AK1699" s="1"/>
      <c r="AL1699" s="1"/>
      <c r="AM1699" s="2"/>
      <c r="AN1699" s="2"/>
      <c r="AQ1699" s="1"/>
      <c r="BG1699" s="1"/>
    </row>
    <row r="1700" spans="15:59">
      <c r="O1700" s="1"/>
      <c r="P1700" s="1"/>
      <c r="AA1700" s="1"/>
      <c r="AB1700" s="1"/>
      <c r="AG1700" s="1"/>
      <c r="AH1700" s="1"/>
      <c r="AK1700" s="1"/>
      <c r="AL1700" s="1"/>
      <c r="AM1700" s="2"/>
      <c r="AN1700" s="2"/>
      <c r="AQ1700" s="1"/>
      <c r="BG1700" s="1"/>
    </row>
    <row r="1701" spans="15:59">
      <c r="O1701" s="1"/>
      <c r="P1701" s="1"/>
      <c r="AA1701" s="1"/>
      <c r="AB1701" s="1"/>
      <c r="AG1701" s="1"/>
      <c r="AH1701" s="1"/>
      <c r="AK1701" s="1"/>
      <c r="AL1701" s="1"/>
      <c r="AM1701" s="2"/>
      <c r="AN1701" s="2"/>
      <c r="AQ1701" s="1"/>
      <c r="BG1701" s="1"/>
    </row>
    <row r="1702" spans="15:59">
      <c r="O1702" s="1"/>
      <c r="P1702" s="1"/>
      <c r="AA1702" s="1"/>
      <c r="AB1702" s="1"/>
      <c r="AG1702" s="1"/>
      <c r="AH1702" s="1"/>
      <c r="AK1702" s="1"/>
      <c r="AL1702" s="1"/>
      <c r="AM1702" s="2"/>
      <c r="AN1702" s="2"/>
      <c r="AQ1702" s="1"/>
      <c r="BG1702" s="1"/>
    </row>
    <row r="1703" spans="15:59">
      <c r="O1703" s="1"/>
      <c r="P1703" s="1"/>
      <c r="AA1703" s="1"/>
      <c r="AB1703" s="1"/>
      <c r="AG1703" s="1"/>
      <c r="AH1703" s="1"/>
      <c r="AK1703" s="1"/>
      <c r="AL1703" s="1"/>
      <c r="AM1703" s="2"/>
      <c r="AN1703" s="2"/>
      <c r="AQ1703" s="1"/>
      <c r="BG1703" s="1"/>
    </row>
    <row r="1704" spans="15:59">
      <c r="O1704" s="1"/>
      <c r="P1704" s="1"/>
      <c r="AA1704" s="1"/>
      <c r="AB1704" s="1"/>
      <c r="AG1704" s="1"/>
      <c r="AH1704" s="1"/>
      <c r="AK1704" s="1"/>
      <c r="AL1704" s="1"/>
      <c r="AM1704" s="2"/>
      <c r="AN1704" s="2"/>
      <c r="AQ1704" s="1"/>
      <c r="BG1704" s="1"/>
    </row>
    <row r="1705" spans="15:59">
      <c r="O1705" s="1"/>
      <c r="P1705" s="1"/>
      <c r="AA1705" s="1"/>
      <c r="AB1705" s="1"/>
      <c r="AG1705" s="1"/>
      <c r="AH1705" s="1"/>
      <c r="AK1705" s="1"/>
      <c r="AL1705" s="1"/>
      <c r="AM1705" s="2"/>
      <c r="AN1705" s="2"/>
      <c r="AQ1705" s="1"/>
      <c r="BG1705" s="1"/>
    </row>
    <row r="1706" spans="15:59">
      <c r="O1706" s="1"/>
      <c r="P1706" s="1"/>
      <c r="AA1706" s="1"/>
      <c r="AB1706" s="1"/>
      <c r="AG1706" s="1"/>
      <c r="AH1706" s="1"/>
      <c r="AK1706" s="1"/>
      <c r="AL1706" s="1"/>
      <c r="AM1706" s="2"/>
      <c r="AN1706" s="2"/>
      <c r="AQ1706" s="1"/>
      <c r="BG1706" s="1"/>
    </row>
    <row r="1707" spans="15:59">
      <c r="O1707" s="1"/>
      <c r="P1707" s="1"/>
      <c r="AA1707" s="1"/>
      <c r="AB1707" s="1"/>
      <c r="AG1707" s="1"/>
      <c r="AH1707" s="1"/>
      <c r="AK1707" s="1"/>
      <c r="AL1707" s="1"/>
      <c r="AM1707" s="2"/>
      <c r="AN1707" s="2"/>
      <c r="AQ1707" s="1"/>
      <c r="BG1707" s="1"/>
    </row>
    <row r="1708" spans="15:59">
      <c r="O1708" s="1"/>
      <c r="P1708" s="1"/>
      <c r="AA1708" s="1"/>
      <c r="AB1708" s="1"/>
      <c r="AG1708" s="1"/>
      <c r="AH1708" s="1"/>
      <c r="AK1708" s="1"/>
      <c r="AL1708" s="1"/>
      <c r="AM1708" s="2"/>
      <c r="AN1708" s="2"/>
      <c r="AQ1708" s="1"/>
      <c r="BG1708" s="1"/>
    </row>
    <row r="1709" spans="15:59">
      <c r="O1709" s="1"/>
      <c r="P1709" s="1"/>
      <c r="AA1709" s="1"/>
      <c r="AB1709" s="1"/>
      <c r="AG1709" s="1"/>
      <c r="AH1709" s="1"/>
      <c r="AK1709" s="1"/>
      <c r="AL1709" s="1"/>
      <c r="AM1709" s="2"/>
      <c r="AN1709" s="2"/>
      <c r="AQ1709" s="1"/>
      <c r="BG1709" s="1"/>
    </row>
    <row r="1710" spans="15:59">
      <c r="O1710" s="1"/>
      <c r="P1710" s="1"/>
      <c r="AA1710" s="1"/>
      <c r="AB1710" s="1"/>
      <c r="AG1710" s="1"/>
      <c r="AH1710" s="1"/>
      <c r="AK1710" s="1"/>
      <c r="AL1710" s="1"/>
      <c r="AM1710" s="2"/>
      <c r="AN1710" s="2"/>
      <c r="AQ1710" s="1"/>
      <c r="BG1710" s="1"/>
    </row>
    <row r="1711" spans="15:59">
      <c r="O1711" s="1"/>
      <c r="P1711" s="1"/>
      <c r="AA1711" s="1"/>
      <c r="AB1711" s="1"/>
      <c r="AG1711" s="1"/>
      <c r="AH1711" s="1"/>
      <c r="AK1711" s="1"/>
      <c r="AL1711" s="1"/>
      <c r="AM1711" s="2"/>
      <c r="AN1711" s="2"/>
      <c r="AQ1711" s="1"/>
      <c r="BG1711" s="1"/>
    </row>
    <row r="1712" spans="15:59">
      <c r="O1712" s="1"/>
      <c r="P1712" s="1"/>
      <c r="AA1712" s="1"/>
      <c r="AB1712" s="1"/>
      <c r="AG1712" s="1"/>
      <c r="AH1712" s="1"/>
      <c r="AK1712" s="1"/>
      <c r="AL1712" s="1"/>
      <c r="AM1712" s="2"/>
      <c r="AN1712" s="2"/>
      <c r="AQ1712" s="1"/>
      <c r="BG1712" s="1"/>
    </row>
    <row r="1713" spans="15:59">
      <c r="O1713" s="1"/>
      <c r="P1713" s="1"/>
      <c r="AA1713" s="1"/>
      <c r="AB1713" s="1"/>
      <c r="AG1713" s="1"/>
      <c r="AH1713" s="1"/>
      <c r="AK1713" s="1"/>
      <c r="AL1713" s="1"/>
      <c r="AM1713" s="2"/>
      <c r="AN1713" s="2"/>
      <c r="AQ1713" s="1"/>
      <c r="BG1713" s="1"/>
    </row>
    <row r="1714" spans="15:59">
      <c r="O1714" s="1"/>
      <c r="P1714" s="1"/>
      <c r="AA1714" s="1"/>
      <c r="AB1714" s="1"/>
      <c r="AG1714" s="1"/>
      <c r="AH1714" s="1"/>
      <c r="AK1714" s="1"/>
      <c r="AL1714" s="1"/>
      <c r="AM1714" s="2"/>
      <c r="AN1714" s="2"/>
      <c r="AQ1714" s="1"/>
      <c r="BG1714" s="1"/>
    </row>
    <row r="1715" spans="15:59">
      <c r="O1715" s="1"/>
      <c r="P1715" s="1"/>
      <c r="AA1715" s="1"/>
      <c r="AB1715" s="1"/>
      <c r="AG1715" s="1"/>
      <c r="AH1715" s="1"/>
      <c r="AK1715" s="1"/>
      <c r="AL1715" s="1"/>
      <c r="AM1715" s="2"/>
      <c r="AN1715" s="2"/>
      <c r="AQ1715" s="1"/>
      <c r="BG1715" s="1"/>
    </row>
    <row r="1716" spans="15:59">
      <c r="O1716" s="1"/>
      <c r="P1716" s="1"/>
      <c r="AA1716" s="1"/>
      <c r="AB1716" s="1"/>
      <c r="AG1716" s="1"/>
      <c r="AH1716" s="1"/>
      <c r="AK1716" s="1"/>
      <c r="AL1716" s="1"/>
      <c r="AM1716" s="2"/>
      <c r="AN1716" s="2"/>
      <c r="AQ1716" s="1"/>
      <c r="BG1716" s="1"/>
    </row>
    <row r="1717" spans="15:59">
      <c r="O1717" s="1"/>
      <c r="P1717" s="1"/>
      <c r="AA1717" s="1"/>
      <c r="AB1717" s="1"/>
      <c r="AG1717" s="1"/>
      <c r="AH1717" s="1"/>
      <c r="AK1717" s="1"/>
      <c r="AL1717" s="1"/>
      <c r="AM1717" s="2"/>
      <c r="AN1717" s="2"/>
      <c r="AQ1717" s="1"/>
      <c r="BG1717" s="1"/>
    </row>
    <row r="1718" spans="15:59">
      <c r="O1718" s="1"/>
      <c r="P1718" s="1"/>
      <c r="AA1718" s="1"/>
      <c r="AB1718" s="1"/>
      <c r="AG1718" s="1"/>
      <c r="AH1718" s="1"/>
      <c r="AK1718" s="1"/>
      <c r="AL1718" s="1"/>
      <c r="AM1718" s="2"/>
      <c r="AN1718" s="2"/>
      <c r="AQ1718" s="1"/>
      <c r="BG1718" s="1"/>
    </row>
    <row r="1719" spans="15:59">
      <c r="O1719" s="1"/>
      <c r="P1719" s="1"/>
      <c r="AA1719" s="1"/>
      <c r="AB1719" s="1"/>
      <c r="AG1719" s="1"/>
      <c r="AH1719" s="1"/>
      <c r="AK1719" s="1"/>
      <c r="AL1719" s="1"/>
      <c r="AM1719" s="2"/>
      <c r="AN1719" s="2"/>
      <c r="AQ1719" s="1"/>
      <c r="BG1719" s="1"/>
    </row>
    <row r="1720" spans="15:59">
      <c r="O1720" s="1"/>
      <c r="P1720" s="1"/>
      <c r="AA1720" s="1"/>
      <c r="AB1720" s="1"/>
      <c r="AG1720" s="1"/>
      <c r="AH1720" s="1"/>
      <c r="AK1720" s="1"/>
      <c r="AL1720" s="1"/>
      <c r="AM1720" s="2"/>
      <c r="AN1720" s="2"/>
      <c r="AQ1720" s="1"/>
      <c r="BG1720" s="1"/>
    </row>
    <row r="1721" spans="15:59">
      <c r="O1721" s="1"/>
      <c r="P1721" s="1"/>
      <c r="AA1721" s="1"/>
      <c r="AB1721" s="1"/>
      <c r="AG1721" s="1"/>
      <c r="AH1721" s="1"/>
      <c r="AK1721" s="1"/>
      <c r="AL1721" s="1"/>
      <c r="AM1721" s="2"/>
      <c r="AN1721" s="2"/>
      <c r="AQ1721" s="1"/>
      <c r="BG1721" s="1"/>
    </row>
    <row r="1722" spans="15:59">
      <c r="O1722" s="1"/>
      <c r="P1722" s="1"/>
      <c r="AA1722" s="1"/>
      <c r="AB1722" s="1"/>
      <c r="AG1722" s="1"/>
      <c r="AH1722" s="1"/>
      <c r="AK1722" s="1"/>
      <c r="AL1722" s="1"/>
      <c r="AM1722" s="2"/>
      <c r="AN1722" s="2"/>
      <c r="AQ1722" s="1"/>
      <c r="BG1722" s="1"/>
    </row>
    <row r="1723" spans="15:59">
      <c r="O1723" s="1"/>
      <c r="P1723" s="1"/>
      <c r="AA1723" s="1"/>
      <c r="AB1723" s="1"/>
      <c r="AG1723" s="1"/>
      <c r="AH1723" s="1"/>
      <c r="AK1723" s="1"/>
      <c r="AL1723" s="1"/>
      <c r="AM1723" s="2"/>
      <c r="AN1723" s="2"/>
      <c r="AQ1723" s="1"/>
      <c r="BG1723" s="1"/>
    </row>
    <row r="1724" spans="15:59">
      <c r="O1724" s="1"/>
      <c r="P1724" s="1"/>
      <c r="AA1724" s="1"/>
      <c r="AB1724" s="1"/>
      <c r="AG1724" s="1"/>
      <c r="AH1724" s="1"/>
      <c r="AK1724" s="1"/>
      <c r="AL1724" s="1"/>
      <c r="AM1724" s="2"/>
      <c r="AN1724" s="2"/>
      <c r="AQ1724" s="1"/>
      <c r="BG1724" s="1"/>
    </row>
    <row r="1725" spans="15:59">
      <c r="O1725" s="1"/>
      <c r="P1725" s="1"/>
      <c r="AA1725" s="1"/>
      <c r="AB1725" s="1"/>
      <c r="AG1725" s="1"/>
      <c r="AH1725" s="1"/>
      <c r="AK1725" s="1"/>
      <c r="AL1725" s="1"/>
      <c r="AM1725" s="2"/>
      <c r="AN1725" s="2"/>
      <c r="AQ1725" s="1"/>
      <c r="BG1725" s="1"/>
    </row>
    <row r="1726" spans="15:59">
      <c r="O1726" s="1"/>
      <c r="P1726" s="1"/>
      <c r="AA1726" s="1"/>
      <c r="AB1726" s="1"/>
      <c r="AG1726" s="1"/>
      <c r="AH1726" s="1"/>
      <c r="AK1726" s="1"/>
      <c r="AL1726" s="1"/>
      <c r="AM1726" s="2"/>
      <c r="AN1726" s="2"/>
      <c r="AQ1726" s="1"/>
      <c r="BG1726" s="1"/>
    </row>
    <row r="1727" spans="15:59">
      <c r="O1727" s="1"/>
      <c r="P1727" s="1"/>
      <c r="AA1727" s="1"/>
      <c r="AB1727" s="1"/>
      <c r="AG1727" s="1"/>
      <c r="AH1727" s="1"/>
      <c r="AK1727" s="1"/>
      <c r="AL1727" s="1"/>
      <c r="AM1727" s="2"/>
      <c r="AN1727" s="2"/>
      <c r="AQ1727" s="1"/>
      <c r="BG1727" s="1"/>
    </row>
    <row r="1728" spans="15:59">
      <c r="O1728" s="1"/>
      <c r="P1728" s="1"/>
      <c r="AA1728" s="1"/>
      <c r="AB1728" s="1"/>
      <c r="AG1728" s="1"/>
      <c r="AH1728" s="1"/>
      <c r="AK1728" s="1"/>
      <c r="AL1728" s="1"/>
      <c r="AM1728" s="2"/>
      <c r="AN1728" s="2"/>
      <c r="AQ1728" s="1"/>
      <c r="BG1728" s="1"/>
    </row>
    <row r="1729" spans="15:59">
      <c r="O1729" s="1"/>
      <c r="P1729" s="1"/>
      <c r="AA1729" s="1"/>
      <c r="AB1729" s="1"/>
      <c r="AG1729" s="1"/>
      <c r="AH1729" s="1"/>
      <c r="AK1729" s="1"/>
      <c r="AL1729" s="1"/>
      <c r="AM1729" s="2"/>
      <c r="AN1729" s="2"/>
      <c r="AQ1729" s="1"/>
      <c r="BG1729" s="1"/>
    </row>
    <row r="1730" spans="15:59">
      <c r="O1730" s="1"/>
      <c r="P1730" s="1"/>
      <c r="AA1730" s="1"/>
      <c r="AB1730" s="1"/>
      <c r="AG1730" s="1"/>
      <c r="AH1730" s="1"/>
      <c r="AK1730" s="1"/>
      <c r="AL1730" s="1"/>
      <c r="AM1730" s="2"/>
      <c r="AN1730" s="2"/>
      <c r="AQ1730" s="1"/>
      <c r="BG1730" s="1"/>
    </row>
    <row r="1731" spans="15:59">
      <c r="O1731" s="1"/>
      <c r="P1731" s="1"/>
      <c r="AA1731" s="1"/>
      <c r="AB1731" s="1"/>
      <c r="AG1731" s="1"/>
      <c r="AH1731" s="1"/>
      <c r="AK1731" s="1"/>
      <c r="AL1731" s="1"/>
      <c r="AM1731" s="2"/>
      <c r="AN1731" s="2"/>
      <c r="AQ1731" s="1"/>
      <c r="BG1731" s="1"/>
    </row>
    <row r="1732" spans="15:59">
      <c r="O1732" s="1"/>
      <c r="P1732" s="1"/>
      <c r="AA1732" s="1"/>
      <c r="AB1732" s="1"/>
      <c r="AG1732" s="1"/>
      <c r="AH1732" s="1"/>
      <c r="AK1732" s="1"/>
      <c r="AL1732" s="1"/>
      <c r="AM1732" s="2"/>
      <c r="AN1732" s="2"/>
      <c r="AQ1732" s="1"/>
      <c r="BG1732" s="1"/>
    </row>
    <row r="1733" spans="15:59">
      <c r="O1733" s="1"/>
      <c r="P1733" s="1"/>
      <c r="AA1733" s="1"/>
      <c r="AB1733" s="1"/>
      <c r="AG1733" s="1"/>
      <c r="AH1733" s="1"/>
      <c r="AK1733" s="1"/>
      <c r="AL1733" s="1"/>
      <c r="AM1733" s="2"/>
      <c r="AN1733" s="2"/>
      <c r="AQ1733" s="1"/>
      <c r="BG1733" s="1"/>
    </row>
    <row r="1734" spans="15:59">
      <c r="O1734" s="1"/>
      <c r="P1734" s="1"/>
      <c r="AA1734" s="1"/>
      <c r="AB1734" s="1"/>
      <c r="AG1734" s="1"/>
      <c r="AH1734" s="1"/>
      <c r="AK1734" s="1"/>
      <c r="AL1734" s="1"/>
      <c r="AM1734" s="2"/>
      <c r="AN1734" s="2"/>
      <c r="AQ1734" s="1"/>
      <c r="BG1734" s="1"/>
    </row>
    <row r="1735" spans="15:59">
      <c r="O1735" s="1"/>
      <c r="P1735" s="1"/>
      <c r="AA1735" s="1"/>
      <c r="AB1735" s="1"/>
      <c r="AG1735" s="1"/>
      <c r="AH1735" s="1"/>
      <c r="AK1735" s="1"/>
      <c r="AL1735" s="1"/>
      <c r="AM1735" s="2"/>
      <c r="AN1735" s="2"/>
      <c r="AQ1735" s="1"/>
      <c r="BG1735" s="1"/>
    </row>
    <row r="1736" spans="15:59">
      <c r="O1736" s="1"/>
      <c r="P1736" s="1"/>
      <c r="AA1736" s="1"/>
      <c r="AB1736" s="1"/>
      <c r="AG1736" s="1"/>
      <c r="AH1736" s="1"/>
      <c r="AK1736" s="1"/>
      <c r="AL1736" s="1"/>
      <c r="AM1736" s="2"/>
      <c r="AN1736" s="2"/>
      <c r="AQ1736" s="1"/>
      <c r="BG1736" s="1"/>
    </row>
    <row r="1737" spans="15:59">
      <c r="O1737" s="1"/>
      <c r="P1737" s="1"/>
      <c r="AA1737" s="1"/>
      <c r="AB1737" s="1"/>
      <c r="AG1737" s="1"/>
      <c r="AH1737" s="1"/>
      <c r="AK1737" s="1"/>
      <c r="AL1737" s="1"/>
      <c r="AM1737" s="2"/>
      <c r="AN1737" s="2"/>
      <c r="AQ1737" s="1"/>
      <c r="BG1737" s="1"/>
    </row>
    <row r="1738" spans="15:59">
      <c r="O1738" s="1"/>
      <c r="P1738" s="1"/>
      <c r="AA1738" s="1"/>
      <c r="AB1738" s="1"/>
      <c r="AG1738" s="1"/>
      <c r="AH1738" s="1"/>
      <c r="AK1738" s="1"/>
      <c r="AL1738" s="1"/>
      <c r="AM1738" s="2"/>
      <c r="AN1738" s="2"/>
      <c r="AQ1738" s="1"/>
      <c r="BG1738" s="1"/>
    </row>
    <row r="1739" spans="15:59">
      <c r="O1739" s="1"/>
      <c r="P1739" s="1"/>
      <c r="AA1739" s="1"/>
      <c r="AB1739" s="1"/>
      <c r="AG1739" s="1"/>
      <c r="AH1739" s="1"/>
      <c r="AK1739" s="1"/>
      <c r="AL1739" s="1"/>
      <c r="AM1739" s="2"/>
      <c r="AN1739" s="2"/>
      <c r="AQ1739" s="1"/>
      <c r="BG1739" s="1"/>
    </row>
    <row r="1740" spans="15:59">
      <c r="O1740" s="1"/>
      <c r="P1740" s="1"/>
      <c r="AA1740" s="1"/>
      <c r="AB1740" s="1"/>
      <c r="AG1740" s="1"/>
      <c r="AH1740" s="1"/>
      <c r="AK1740" s="1"/>
      <c r="AL1740" s="1"/>
      <c r="AM1740" s="2"/>
      <c r="AN1740" s="2"/>
      <c r="AQ1740" s="1"/>
      <c r="BG1740" s="1"/>
    </row>
    <row r="1741" spans="15:59">
      <c r="O1741" s="1"/>
      <c r="P1741" s="1"/>
      <c r="AA1741" s="1"/>
      <c r="AB1741" s="1"/>
      <c r="AG1741" s="1"/>
      <c r="AH1741" s="1"/>
      <c r="AK1741" s="1"/>
      <c r="AL1741" s="1"/>
      <c r="AM1741" s="2"/>
      <c r="AN1741" s="2"/>
      <c r="AQ1741" s="1"/>
      <c r="BG1741" s="1"/>
    </row>
    <row r="1742" spans="15:59">
      <c r="O1742" s="1"/>
      <c r="P1742" s="1"/>
      <c r="AA1742" s="1"/>
      <c r="AB1742" s="1"/>
      <c r="AG1742" s="1"/>
      <c r="AH1742" s="1"/>
      <c r="AK1742" s="1"/>
      <c r="AL1742" s="1"/>
      <c r="AM1742" s="2"/>
      <c r="AN1742" s="2"/>
      <c r="AQ1742" s="1"/>
      <c r="BG1742" s="1"/>
    </row>
    <row r="1743" spans="15:59">
      <c r="O1743" s="1"/>
      <c r="P1743" s="1"/>
      <c r="AA1743" s="1"/>
      <c r="AB1743" s="1"/>
      <c r="AG1743" s="1"/>
      <c r="AH1743" s="1"/>
      <c r="AK1743" s="1"/>
      <c r="AL1743" s="1"/>
      <c r="AM1743" s="2"/>
      <c r="AN1743" s="2"/>
      <c r="AQ1743" s="1"/>
      <c r="BG1743" s="1"/>
    </row>
    <row r="1744" spans="15:59">
      <c r="O1744" s="1"/>
      <c r="P1744" s="1"/>
      <c r="AA1744" s="1"/>
      <c r="AB1744" s="1"/>
      <c r="AG1744" s="1"/>
      <c r="AH1744" s="1"/>
      <c r="AK1744" s="1"/>
      <c r="AL1744" s="1"/>
      <c r="AM1744" s="2"/>
      <c r="AN1744" s="2"/>
      <c r="AQ1744" s="1"/>
      <c r="BG1744" s="1"/>
    </row>
    <row r="1745" spans="15:59">
      <c r="O1745" s="1"/>
      <c r="P1745" s="1"/>
      <c r="AA1745" s="1"/>
      <c r="AB1745" s="1"/>
      <c r="AG1745" s="1"/>
      <c r="AH1745" s="1"/>
      <c r="AK1745" s="1"/>
      <c r="AL1745" s="1"/>
      <c r="AM1745" s="2"/>
      <c r="AN1745" s="2"/>
      <c r="AQ1745" s="1"/>
      <c r="BG1745" s="1"/>
    </row>
    <row r="1746" spans="15:59">
      <c r="O1746" s="1"/>
      <c r="P1746" s="1"/>
      <c r="AA1746" s="1"/>
      <c r="AB1746" s="1"/>
      <c r="AG1746" s="1"/>
      <c r="AH1746" s="1"/>
      <c r="AK1746" s="1"/>
      <c r="AL1746" s="1"/>
      <c r="AM1746" s="2"/>
      <c r="AN1746" s="2"/>
      <c r="AQ1746" s="1"/>
      <c r="BG1746" s="1"/>
    </row>
    <row r="1747" spans="15:59">
      <c r="O1747" s="1"/>
      <c r="P1747" s="1"/>
      <c r="AA1747" s="1"/>
      <c r="AB1747" s="1"/>
      <c r="AG1747" s="1"/>
      <c r="AH1747" s="1"/>
      <c r="AK1747" s="1"/>
      <c r="AL1747" s="1"/>
      <c r="AM1747" s="2"/>
      <c r="AN1747" s="2"/>
      <c r="AQ1747" s="1"/>
      <c r="BG1747" s="1"/>
    </row>
    <row r="1748" spans="15:59">
      <c r="O1748" s="1"/>
      <c r="P1748" s="1"/>
      <c r="AA1748" s="1"/>
      <c r="AB1748" s="1"/>
      <c r="AG1748" s="1"/>
      <c r="AH1748" s="1"/>
      <c r="AK1748" s="1"/>
      <c r="AL1748" s="1"/>
      <c r="AM1748" s="2"/>
      <c r="AN1748" s="2"/>
      <c r="AQ1748" s="1"/>
      <c r="BG1748" s="1"/>
    </row>
    <row r="1749" spans="15:59">
      <c r="O1749" s="1"/>
      <c r="P1749" s="1"/>
      <c r="AA1749" s="1"/>
      <c r="AB1749" s="1"/>
      <c r="AG1749" s="1"/>
      <c r="AH1749" s="1"/>
      <c r="AK1749" s="1"/>
      <c r="AL1749" s="1"/>
      <c r="AM1749" s="2"/>
      <c r="AN1749" s="2"/>
      <c r="AQ1749" s="1"/>
      <c r="BG1749" s="1"/>
    </row>
    <row r="1750" spans="15:59">
      <c r="O1750" s="1"/>
      <c r="P1750" s="1"/>
      <c r="AA1750" s="1"/>
      <c r="AB1750" s="1"/>
      <c r="AG1750" s="1"/>
      <c r="AH1750" s="1"/>
      <c r="AK1750" s="1"/>
      <c r="AL1750" s="1"/>
      <c r="AM1750" s="2"/>
      <c r="AN1750" s="2"/>
      <c r="AQ1750" s="1"/>
      <c r="BG1750" s="1"/>
    </row>
    <row r="1751" spans="15:59">
      <c r="O1751" s="1"/>
      <c r="P1751" s="1"/>
      <c r="AA1751" s="1"/>
      <c r="AB1751" s="1"/>
      <c r="AG1751" s="1"/>
      <c r="AH1751" s="1"/>
      <c r="AK1751" s="1"/>
      <c r="AL1751" s="1"/>
      <c r="AM1751" s="2"/>
      <c r="AN1751" s="2"/>
      <c r="AQ1751" s="1"/>
      <c r="BG1751" s="1"/>
    </row>
    <row r="1752" spans="15:59">
      <c r="O1752" s="1"/>
      <c r="P1752" s="1"/>
      <c r="AA1752" s="1"/>
      <c r="AB1752" s="1"/>
      <c r="AG1752" s="1"/>
      <c r="AH1752" s="1"/>
      <c r="AK1752" s="1"/>
      <c r="AL1752" s="1"/>
      <c r="AM1752" s="2"/>
      <c r="AN1752" s="2"/>
      <c r="AQ1752" s="1"/>
      <c r="BG1752" s="1"/>
    </row>
    <row r="1753" spans="15:59">
      <c r="O1753" s="1"/>
      <c r="P1753" s="1"/>
      <c r="AA1753" s="1"/>
      <c r="AB1753" s="1"/>
      <c r="AG1753" s="1"/>
      <c r="AH1753" s="1"/>
      <c r="AK1753" s="1"/>
      <c r="AL1753" s="1"/>
      <c r="AM1753" s="2"/>
      <c r="AN1753" s="2"/>
      <c r="AQ1753" s="1"/>
      <c r="BG1753" s="1"/>
    </row>
    <row r="1754" spans="15:59">
      <c r="O1754" s="1"/>
      <c r="P1754" s="1"/>
      <c r="AA1754" s="1"/>
      <c r="AB1754" s="1"/>
      <c r="AG1754" s="1"/>
      <c r="AH1754" s="1"/>
      <c r="AK1754" s="1"/>
      <c r="AL1754" s="1"/>
      <c r="AM1754" s="2"/>
      <c r="AN1754" s="2"/>
      <c r="AQ1754" s="1"/>
      <c r="BG1754" s="1"/>
    </row>
    <row r="1755" spans="15:59">
      <c r="O1755" s="1"/>
      <c r="P1755" s="1"/>
      <c r="AA1755" s="1"/>
      <c r="AB1755" s="1"/>
      <c r="AG1755" s="1"/>
      <c r="AH1755" s="1"/>
      <c r="AK1755" s="1"/>
      <c r="AL1755" s="1"/>
      <c r="AM1755" s="2"/>
      <c r="AN1755" s="2"/>
      <c r="AQ1755" s="1"/>
      <c r="BG1755" s="1"/>
    </row>
    <row r="1756" spans="15:59">
      <c r="O1756" s="1"/>
      <c r="P1756" s="1"/>
      <c r="AA1756" s="1"/>
      <c r="AB1756" s="1"/>
      <c r="AG1756" s="1"/>
      <c r="AH1756" s="1"/>
      <c r="AK1756" s="1"/>
      <c r="AL1756" s="1"/>
      <c r="AM1756" s="2"/>
      <c r="AN1756" s="2"/>
      <c r="AQ1756" s="1"/>
      <c r="BG1756" s="1"/>
    </row>
    <row r="1757" spans="15:59">
      <c r="O1757" s="1"/>
      <c r="P1757" s="1"/>
      <c r="AA1757" s="1"/>
      <c r="AB1757" s="1"/>
      <c r="AG1757" s="1"/>
      <c r="AH1757" s="1"/>
      <c r="AK1757" s="1"/>
      <c r="AL1757" s="1"/>
      <c r="AM1757" s="2"/>
      <c r="AN1757" s="2"/>
      <c r="AQ1757" s="1"/>
      <c r="BG1757" s="1"/>
    </row>
    <row r="1758" spans="15:59">
      <c r="O1758" s="1"/>
      <c r="P1758" s="1"/>
      <c r="AA1758" s="1"/>
      <c r="AB1758" s="1"/>
      <c r="AG1758" s="1"/>
      <c r="AH1758" s="1"/>
      <c r="AK1758" s="1"/>
      <c r="AL1758" s="1"/>
      <c r="AM1758" s="2"/>
      <c r="AN1758" s="2"/>
      <c r="AQ1758" s="1"/>
      <c r="BG1758" s="1"/>
    </row>
    <row r="1759" spans="15:59">
      <c r="O1759" s="1"/>
      <c r="P1759" s="1"/>
      <c r="AA1759" s="1"/>
      <c r="AB1759" s="1"/>
      <c r="AG1759" s="1"/>
      <c r="AH1759" s="1"/>
      <c r="AK1759" s="1"/>
      <c r="AL1759" s="1"/>
      <c r="AM1759" s="2"/>
      <c r="AN1759" s="2"/>
      <c r="AQ1759" s="1"/>
      <c r="BG1759" s="1"/>
    </row>
    <row r="1760" spans="15:59">
      <c r="O1760" s="1"/>
      <c r="P1760" s="1"/>
      <c r="AA1760" s="1"/>
      <c r="AB1760" s="1"/>
      <c r="AG1760" s="1"/>
      <c r="AH1760" s="1"/>
      <c r="AK1760" s="1"/>
      <c r="AL1760" s="1"/>
      <c r="AM1760" s="2"/>
      <c r="AN1760" s="2"/>
      <c r="AQ1760" s="1"/>
      <c r="BG1760" s="1"/>
    </row>
    <row r="1761" spans="15:59">
      <c r="O1761" s="1"/>
      <c r="P1761" s="1"/>
      <c r="AA1761" s="1"/>
      <c r="AB1761" s="1"/>
      <c r="AG1761" s="1"/>
      <c r="AH1761" s="1"/>
      <c r="AK1761" s="1"/>
      <c r="AL1761" s="1"/>
      <c r="AM1761" s="2"/>
      <c r="AN1761" s="2"/>
      <c r="AQ1761" s="1"/>
      <c r="BG1761" s="1"/>
    </row>
    <row r="1762" spans="15:59">
      <c r="O1762" s="1"/>
      <c r="P1762" s="1"/>
      <c r="AA1762" s="1"/>
      <c r="AB1762" s="1"/>
      <c r="AG1762" s="1"/>
      <c r="AH1762" s="1"/>
      <c r="AK1762" s="1"/>
      <c r="AL1762" s="1"/>
      <c r="AM1762" s="2"/>
      <c r="AN1762" s="2"/>
      <c r="AQ1762" s="1"/>
      <c r="BG1762" s="1"/>
    </row>
    <row r="1763" spans="15:59">
      <c r="O1763" s="1"/>
      <c r="P1763" s="1"/>
      <c r="AA1763" s="1"/>
      <c r="AB1763" s="1"/>
      <c r="AG1763" s="1"/>
      <c r="AH1763" s="1"/>
      <c r="AK1763" s="1"/>
      <c r="AL1763" s="1"/>
      <c r="AM1763" s="2"/>
      <c r="AN1763" s="2"/>
      <c r="AQ1763" s="1"/>
      <c r="BG1763" s="1"/>
    </row>
    <row r="1764" spans="15:59">
      <c r="O1764" s="1"/>
      <c r="P1764" s="1"/>
      <c r="AA1764" s="1"/>
      <c r="AB1764" s="1"/>
      <c r="AG1764" s="1"/>
      <c r="AH1764" s="1"/>
      <c r="AK1764" s="1"/>
      <c r="AL1764" s="1"/>
      <c r="AM1764" s="2"/>
      <c r="AN1764" s="2"/>
      <c r="AQ1764" s="1"/>
      <c r="BG1764" s="1"/>
    </row>
    <row r="1765" spans="15:59">
      <c r="O1765" s="1"/>
      <c r="P1765" s="1"/>
      <c r="AA1765" s="1"/>
      <c r="AB1765" s="1"/>
      <c r="AG1765" s="1"/>
      <c r="AH1765" s="1"/>
      <c r="AK1765" s="1"/>
      <c r="AL1765" s="1"/>
      <c r="AM1765" s="2"/>
      <c r="AN1765" s="2"/>
      <c r="AQ1765" s="1"/>
      <c r="BG1765" s="1"/>
    </row>
    <row r="1766" spans="15:59">
      <c r="O1766" s="1"/>
      <c r="P1766" s="1"/>
      <c r="AA1766" s="1"/>
      <c r="AB1766" s="1"/>
      <c r="AG1766" s="1"/>
      <c r="AH1766" s="1"/>
      <c r="AK1766" s="1"/>
      <c r="AL1766" s="1"/>
      <c r="AM1766" s="2"/>
      <c r="AN1766" s="2"/>
      <c r="AQ1766" s="1"/>
      <c r="BG1766" s="1"/>
    </row>
    <row r="1767" spans="15:59">
      <c r="O1767" s="1"/>
      <c r="P1767" s="1"/>
      <c r="AA1767" s="1"/>
      <c r="AB1767" s="1"/>
      <c r="AG1767" s="1"/>
      <c r="AH1767" s="1"/>
      <c r="AK1767" s="1"/>
      <c r="AL1767" s="1"/>
      <c r="AM1767" s="2"/>
      <c r="AN1767" s="2"/>
      <c r="AQ1767" s="1"/>
      <c r="BG1767" s="1"/>
    </row>
    <row r="1768" spans="15:59">
      <c r="O1768" s="1"/>
      <c r="P1768" s="1"/>
      <c r="AA1768" s="1"/>
      <c r="AB1768" s="1"/>
      <c r="AG1768" s="1"/>
      <c r="AH1768" s="1"/>
      <c r="AK1768" s="1"/>
      <c r="AL1768" s="1"/>
      <c r="AM1768" s="2"/>
      <c r="AN1768" s="2"/>
      <c r="AQ1768" s="1"/>
      <c r="BG1768" s="1"/>
    </row>
    <row r="1769" spans="15:59">
      <c r="O1769" s="1"/>
      <c r="P1769" s="1"/>
      <c r="AA1769" s="1"/>
      <c r="AB1769" s="1"/>
      <c r="AG1769" s="1"/>
      <c r="AH1769" s="1"/>
      <c r="AK1769" s="1"/>
      <c r="AL1769" s="1"/>
      <c r="AM1769" s="2"/>
      <c r="AN1769" s="2"/>
      <c r="AQ1769" s="1"/>
      <c r="BG1769" s="1"/>
    </row>
    <row r="1770" spans="15:59">
      <c r="O1770" s="1"/>
      <c r="P1770" s="1"/>
      <c r="AA1770" s="1"/>
      <c r="AB1770" s="1"/>
      <c r="AG1770" s="1"/>
      <c r="AH1770" s="1"/>
      <c r="AK1770" s="1"/>
      <c r="AL1770" s="1"/>
      <c r="AM1770" s="2"/>
      <c r="AN1770" s="2"/>
      <c r="AQ1770" s="1"/>
      <c r="BG1770" s="1"/>
    </row>
    <row r="1771" spans="15:59">
      <c r="O1771" s="1"/>
      <c r="P1771" s="1"/>
      <c r="AA1771" s="1"/>
      <c r="AB1771" s="1"/>
      <c r="AG1771" s="1"/>
      <c r="AH1771" s="1"/>
      <c r="AK1771" s="1"/>
      <c r="AL1771" s="1"/>
      <c r="AM1771" s="2"/>
      <c r="AN1771" s="2"/>
      <c r="AQ1771" s="1"/>
      <c r="BG1771" s="1"/>
    </row>
    <row r="1772" spans="15:59">
      <c r="O1772" s="1"/>
      <c r="P1772" s="1"/>
      <c r="AA1772" s="1"/>
      <c r="AB1772" s="1"/>
      <c r="AG1772" s="1"/>
      <c r="AH1772" s="1"/>
      <c r="AK1772" s="1"/>
      <c r="AL1772" s="1"/>
      <c r="AM1772" s="2"/>
      <c r="AN1772" s="2"/>
      <c r="AQ1772" s="1"/>
      <c r="BG1772" s="1"/>
    </row>
    <row r="1773" spans="15:59">
      <c r="O1773" s="1"/>
      <c r="P1773" s="1"/>
      <c r="AA1773" s="1"/>
      <c r="AB1773" s="1"/>
      <c r="AG1773" s="1"/>
      <c r="AH1773" s="1"/>
      <c r="AK1773" s="1"/>
      <c r="AL1773" s="1"/>
      <c r="AM1773" s="2"/>
      <c r="AN1773" s="2"/>
      <c r="AQ1773" s="1"/>
      <c r="BG1773" s="1"/>
    </row>
    <row r="1774" spans="15:59">
      <c r="O1774" s="1"/>
      <c r="P1774" s="1"/>
      <c r="AA1774" s="1"/>
      <c r="AB1774" s="1"/>
      <c r="AG1774" s="1"/>
      <c r="AH1774" s="1"/>
      <c r="AK1774" s="1"/>
      <c r="AL1774" s="1"/>
      <c r="AM1774" s="2"/>
      <c r="AN1774" s="2"/>
      <c r="AQ1774" s="1"/>
      <c r="BG1774" s="1"/>
    </row>
    <row r="1775" spans="15:59">
      <c r="O1775" s="1"/>
      <c r="P1775" s="1"/>
      <c r="AA1775" s="1"/>
      <c r="AB1775" s="1"/>
      <c r="AG1775" s="1"/>
      <c r="AH1775" s="1"/>
      <c r="AK1775" s="1"/>
      <c r="AL1775" s="1"/>
      <c r="AM1775" s="2"/>
      <c r="AN1775" s="2"/>
      <c r="AQ1775" s="1"/>
      <c r="BG1775" s="1"/>
    </row>
    <row r="1776" spans="15:59">
      <c r="O1776" s="1"/>
      <c r="P1776" s="1"/>
      <c r="AA1776" s="1"/>
      <c r="AB1776" s="1"/>
      <c r="AG1776" s="1"/>
      <c r="AH1776" s="1"/>
      <c r="AK1776" s="1"/>
      <c r="AL1776" s="1"/>
      <c r="AM1776" s="2"/>
      <c r="AN1776" s="2"/>
      <c r="AQ1776" s="1"/>
      <c r="BG1776" s="1"/>
    </row>
    <row r="1777" spans="15:59">
      <c r="O1777" s="1"/>
      <c r="P1777" s="1"/>
      <c r="AA1777" s="1"/>
      <c r="AB1777" s="1"/>
      <c r="AG1777" s="1"/>
      <c r="AH1777" s="1"/>
      <c r="AK1777" s="1"/>
      <c r="AL1777" s="1"/>
      <c r="AM1777" s="2"/>
      <c r="AN1777" s="2"/>
      <c r="AQ1777" s="1"/>
      <c r="BG1777" s="1"/>
    </row>
    <row r="1778" spans="15:59">
      <c r="O1778" s="1"/>
      <c r="P1778" s="1"/>
      <c r="AA1778" s="1"/>
      <c r="AB1778" s="1"/>
      <c r="AG1778" s="1"/>
      <c r="AH1778" s="1"/>
      <c r="AK1778" s="1"/>
      <c r="AL1778" s="1"/>
      <c r="AM1778" s="2"/>
      <c r="AN1778" s="2"/>
      <c r="AQ1778" s="1"/>
      <c r="BG1778" s="1"/>
    </row>
    <row r="1779" spans="15:59">
      <c r="O1779" s="1"/>
      <c r="P1779" s="1"/>
      <c r="AA1779" s="1"/>
      <c r="AB1779" s="1"/>
      <c r="AG1779" s="1"/>
      <c r="AH1779" s="1"/>
      <c r="AK1779" s="1"/>
      <c r="AL1779" s="1"/>
      <c r="AM1779" s="2"/>
      <c r="AN1779" s="2"/>
      <c r="AQ1779" s="1"/>
      <c r="BG1779" s="1"/>
    </row>
    <row r="1780" spans="15:59">
      <c r="O1780" s="1"/>
      <c r="P1780" s="1"/>
      <c r="AA1780" s="1"/>
      <c r="AB1780" s="1"/>
      <c r="AG1780" s="1"/>
      <c r="AH1780" s="1"/>
      <c r="AK1780" s="1"/>
      <c r="AL1780" s="1"/>
      <c r="AM1780" s="2"/>
      <c r="AN1780" s="2"/>
      <c r="AQ1780" s="1"/>
      <c r="BG1780" s="1"/>
    </row>
    <row r="1781" spans="15:59">
      <c r="O1781" s="1"/>
      <c r="P1781" s="1"/>
      <c r="AA1781" s="1"/>
      <c r="AB1781" s="1"/>
      <c r="AG1781" s="1"/>
      <c r="AH1781" s="1"/>
      <c r="AK1781" s="1"/>
      <c r="AL1781" s="1"/>
      <c r="AM1781" s="2"/>
      <c r="AN1781" s="2"/>
      <c r="AQ1781" s="1"/>
      <c r="BG1781" s="1"/>
    </row>
    <row r="1782" spans="15:59">
      <c r="O1782" s="1"/>
      <c r="P1782" s="1"/>
      <c r="AA1782" s="1"/>
      <c r="AB1782" s="1"/>
      <c r="AG1782" s="1"/>
      <c r="AH1782" s="1"/>
      <c r="AK1782" s="1"/>
      <c r="AL1782" s="1"/>
      <c r="AM1782" s="2"/>
      <c r="AN1782" s="2"/>
      <c r="AQ1782" s="1"/>
      <c r="BG1782" s="1"/>
    </row>
    <row r="1783" spans="15:59">
      <c r="O1783" s="1"/>
      <c r="P1783" s="1"/>
      <c r="AA1783" s="1"/>
      <c r="AB1783" s="1"/>
      <c r="AG1783" s="1"/>
      <c r="AH1783" s="1"/>
      <c r="AK1783" s="1"/>
      <c r="AL1783" s="1"/>
      <c r="AM1783" s="2"/>
      <c r="AN1783" s="2"/>
      <c r="AQ1783" s="1"/>
      <c r="BG1783" s="1"/>
    </row>
    <row r="1784" spans="15:59">
      <c r="O1784" s="1"/>
      <c r="P1784" s="1"/>
      <c r="AA1784" s="1"/>
      <c r="AB1784" s="1"/>
      <c r="AG1784" s="1"/>
      <c r="AH1784" s="1"/>
      <c r="AK1784" s="1"/>
      <c r="AL1784" s="1"/>
      <c r="AM1784" s="2"/>
      <c r="AN1784" s="2"/>
      <c r="AQ1784" s="1"/>
      <c r="BG1784" s="1"/>
    </row>
    <row r="1785" spans="15:59">
      <c r="O1785" s="1"/>
      <c r="P1785" s="1"/>
      <c r="AA1785" s="1"/>
      <c r="AB1785" s="1"/>
      <c r="AG1785" s="1"/>
      <c r="AH1785" s="1"/>
      <c r="AK1785" s="1"/>
      <c r="AL1785" s="1"/>
      <c r="AM1785" s="2"/>
      <c r="AN1785" s="2"/>
      <c r="AQ1785" s="1"/>
      <c r="BG1785" s="1"/>
    </row>
    <row r="1786" spans="15:59">
      <c r="O1786" s="1"/>
      <c r="P1786" s="1"/>
      <c r="AA1786" s="1"/>
      <c r="AB1786" s="1"/>
      <c r="AG1786" s="1"/>
      <c r="AH1786" s="1"/>
      <c r="AK1786" s="1"/>
      <c r="AL1786" s="1"/>
      <c r="AM1786" s="2"/>
      <c r="AN1786" s="2"/>
      <c r="AQ1786" s="1"/>
      <c r="BG1786" s="1"/>
    </row>
    <row r="1787" spans="15:59">
      <c r="O1787" s="1"/>
      <c r="P1787" s="1"/>
      <c r="AA1787" s="1"/>
      <c r="AB1787" s="1"/>
      <c r="AG1787" s="1"/>
      <c r="AH1787" s="1"/>
      <c r="AK1787" s="1"/>
      <c r="AL1787" s="1"/>
      <c r="AM1787" s="2"/>
      <c r="AN1787" s="2"/>
      <c r="AQ1787" s="1"/>
      <c r="BG1787" s="1"/>
    </row>
    <row r="1788" spans="15:59">
      <c r="O1788" s="1"/>
      <c r="P1788" s="1"/>
      <c r="AA1788" s="1"/>
      <c r="AB1788" s="1"/>
      <c r="AG1788" s="1"/>
      <c r="AH1788" s="1"/>
      <c r="AK1788" s="1"/>
      <c r="AL1788" s="1"/>
      <c r="AM1788" s="2"/>
      <c r="AN1788" s="2"/>
      <c r="AQ1788" s="1"/>
      <c r="BG1788" s="1"/>
    </row>
    <row r="1789" spans="15:59">
      <c r="O1789" s="1"/>
      <c r="P1789" s="1"/>
      <c r="AA1789" s="1"/>
      <c r="AB1789" s="1"/>
      <c r="AG1789" s="1"/>
      <c r="AH1789" s="1"/>
      <c r="AK1789" s="1"/>
      <c r="AL1789" s="1"/>
      <c r="AM1789" s="2"/>
      <c r="AN1789" s="2"/>
      <c r="AQ1789" s="1"/>
      <c r="BG1789" s="1"/>
    </row>
    <row r="1790" spans="15:59">
      <c r="O1790" s="1"/>
      <c r="P1790" s="1"/>
      <c r="AA1790" s="1"/>
      <c r="AB1790" s="1"/>
      <c r="AG1790" s="1"/>
      <c r="AH1790" s="1"/>
      <c r="AK1790" s="1"/>
      <c r="AL1790" s="1"/>
      <c r="AM1790" s="2"/>
      <c r="AN1790" s="2"/>
      <c r="AQ1790" s="1"/>
      <c r="BG1790" s="1"/>
    </row>
    <row r="1791" spans="15:59">
      <c r="O1791" s="1"/>
      <c r="P1791" s="1"/>
      <c r="AA1791" s="1"/>
      <c r="AB1791" s="1"/>
      <c r="AG1791" s="1"/>
      <c r="AH1791" s="1"/>
      <c r="AK1791" s="1"/>
      <c r="AL1791" s="1"/>
      <c r="AM1791" s="2"/>
      <c r="AN1791" s="2"/>
      <c r="AQ1791" s="1"/>
      <c r="BG1791" s="1"/>
    </row>
    <row r="1792" spans="15:59">
      <c r="O1792" s="1"/>
      <c r="P1792" s="1"/>
      <c r="AA1792" s="1"/>
      <c r="AB1792" s="1"/>
      <c r="AG1792" s="1"/>
      <c r="AH1792" s="1"/>
      <c r="AK1792" s="1"/>
      <c r="AL1792" s="1"/>
      <c r="AM1792" s="2"/>
      <c r="AN1792" s="2"/>
      <c r="AQ1792" s="1"/>
      <c r="BG1792" s="1"/>
    </row>
    <row r="1793" spans="15:59">
      <c r="O1793" s="1"/>
      <c r="P1793" s="1"/>
      <c r="AA1793" s="1"/>
      <c r="AB1793" s="1"/>
      <c r="AG1793" s="1"/>
      <c r="AH1793" s="1"/>
      <c r="AK1793" s="1"/>
      <c r="AL1793" s="1"/>
      <c r="AM1793" s="2"/>
      <c r="AN1793" s="2"/>
      <c r="AQ1793" s="1"/>
      <c r="BG1793" s="1"/>
    </row>
    <row r="1794" spans="15:59">
      <c r="O1794" s="1"/>
      <c r="P1794" s="1"/>
      <c r="AA1794" s="1"/>
      <c r="AB1794" s="1"/>
      <c r="AG1794" s="1"/>
      <c r="AH1794" s="1"/>
      <c r="AK1794" s="1"/>
      <c r="AL1794" s="1"/>
      <c r="AM1794" s="2"/>
      <c r="AN1794" s="2"/>
      <c r="AQ1794" s="1"/>
      <c r="BG1794" s="1"/>
    </row>
    <row r="1795" spans="15:59">
      <c r="O1795" s="1"/>
      <c r="P1795" s="1"/>
      <c r="AA1795" s="1"/>
      <c r="AB1795" s="1"/>
      <c r="AG1795" s="1"/>
      <c r="AH1795" s="1"/>
      <c r="AK1795" s="1"/>
      <c r="AL1795" s="1"/>
      <c r="AM1795" s="2"/>
      <c r="AN1795" s="2"/>
      <c r="AQ1795" s="1"/>
      <c r="BG1795" s="1"/>
    </row>
    <row r="1796" spans="15:59">
      <c r="AM1796" s="2"/>
      <c r="AN1796" s="2"/>
      <c r="AQ1796" s="1"/>
      <c r="BG1796" s="1"/>
    </row>
    <row r="1797" spans="15:59">
      <c r="AM1797" s="2"/>
      <c r="AN1797" s="2"/>
      <c r="AQ1797" s="1"/>
      <c r="BG1797" s="1"/>
    </row>
    <row r="1798" spans="15:59">
      <c r="AM1798" s="2"/>
      <c r="AN1798" s="2"/>
      <c r="AQ1798" s="1"/>
      <c r="BG1798" s="1"/>
    </row>
    <row r="1799" spans="15:59">
      <c r="AM1799" s="2"/>
      <c r="AN1799" s="2"/>
      <c r="AQ1799" s="1"/>
      <c r="BG1799" s="1"/>
    </row>
    <row r="1800" spans="15:59">
      <c r="AM1800" s="2"/>
      <c r="AN1800" s="2"/>
      <c r="AQ1800" s="1"/>
      <c r="BG1800" s="1"/>
    </row>
    <row r="1801" spans="15:59">
      <c r="AM1801" s="2"/>
      <c r="AN1801" s="2"/>
      <c r="AQ1801" s="1"/>
      <c r="BG1801" s="1"/>
    </row>
    <row r="1802" spans="15:59">
      <c r="AM1802" s="2"/>
      <c r="AN1802" s="2"/>
      <c r="AQ1802" s="1"/>
      <c r="BG1802" s="1"/>
    </row>
    <row r="1803" spans="15:59">
      <c r="AM1803" s="2"/>
      <c r="AN1803" s="2"/>
      <c r="AQ1803" s="1"/>
      <c r="BG1803" s="1"/>
    </row>
    <row r="1804" spans="15:59">
      <c r="AM1804" s="2"/>
      <c r="AN1804" s="2"/>
      <c r="AQ1804" s="1"/>
      <c r="BG1804" s="1"/>
    </row>
    <row r="1805" spans="15:59">
      <c r="AM1805" s="2"/>
      <c r="AN1805" s="2"/>
      <c r="AQ1805" s="1"/>
      <c r="BG1805" s="1"/>
    </row>
    <row r="1806" spans="15:59">
      <c r="AM1806" s="2"/>
      <c r="AN1806" s="2"/>
      <c r="AQ1806" s="1"/>
      <c r="BG1806" s="1"/>
    </row>
    <row r="1807" spans="15:59">
      <c r="AM1807" s="2"/>
      <c r="AN1807" s="2"/>
      <c r="AQ1807" s="1"/>
      <c r="BG1807" s="1"/>
    </row>
    <row r="1808" spans="15:59">
      <c r="AM1808" s="2"/>
      <c r="AN1808" s="2"/>
      <c r="AQ1808" s="1"/>
      <c r="BG1808" s="1"/>
    </row>
    <row r="1809" spans="39:59">
      <c r="AM1809" s="2"/>
      <c r="AN1809" s="2"/>
      <c r="AQ1809" s="1"/>
      <c r="BG1809" s="1"/>
    </row>
    <row r="1810" spans="39:59">
      <c r="AM1810" s="2"/>
      <c r="AN1810" s="2"/>
      <c r="AQ1810" s="1"/>
      <c r="BG1810" s="1"/>
    </row>
    <row r="1811" spans="39:59">
      <c r="AM1811" s="2"/>
      <c r="AN1811" s="2"/>
      <c r="AQ1811" s="1"/>
      <c r="BG1811" s="1"/>
    </row>
    <row r="1812" spans="39:59">
      <c r="AM1812" s="2"/>
      <c r="AN1812" s="2"/>
      <c r="AQ1812" s="1"/>
      <c r="BG1812" s="1"/>
    </row>
    <row r="1813" spans="39:59">
      <c r="AM1813" s="2"/>
      <c r="AN1813" s="2"/>
      <c r="AQ1813" s="1"/>
      <c r="BG1813" s="1"/>
    </row>
    <row r="1814" spans="39:59">
      <c r="AM1814" s="2"/>
      <c r="AN1814" s="2"/>
      <c r="AQ1814" s="1"/>
      <c r="BG1814" s="1"/>
    </row>
    <row r="1815" spans="39:59">
      <c r="AM1815" s="2"/>
      <c r="AN1815" s="2"/>
      <c r="AQ1815" s="1"/>
      <c r="BG1815" s="1"/>
    </row>
    <row r="1816" spans="39:59">
      <c r="AM1816" s="2"/>
      <c r="AN1816" s="2"/>
      <c r="AQ1816" s="1"/>
      <c r="BG1816" s="1"/>
    </row>
    <row r="1817" spans="39:59">
      <c r="AM1817" s="2"/>
      <c r="AN1817" s="2"/>
      <c r="AQ1817" s="1"/>
      <c r="BG1817" s="1"/>
    </row>
    <row r="1818" spans="39:59">
      <c r="AM1818" s="2"/>
      <c r="AN1818" s="2"/>
      <c r="AQ1818" s="1"/>
      <c r="BG1818" s="1"/>
    </row>
    <row r="1819" spans="39:59">
      <c r="AM1819" s="2"/>
      <c r="AN1819" s="2"/>
      <c r="AQ1819" s="1"/>
      <c r="BG1819" s="1"/>
    </row>
    <row r="1820" spans="39:59">
      <c r="AM1820" s="2"/>
      <c r="AN1820" s="2"/>
      <c r="AQ1820" s="1"/>
      <c r="BG1820" s="1"/>
    </row>
    <row r="1821" spans="39:59">
      <c r="AM1821" s="2"/>
      <c r="AN1821" s="2"/>
      <c r="AQ1821" s="1"/>
      <c r="BG1821" s="1"/>
    </row>
    <row r="1822" spans="39:59">
      <c r="AM1822" s="2"/>
      <c r="AN1822" s="2"/>
      <c r="AQ1822" s="1"/>
      <c r="BG1822" s="1"/>
    </row>
    <row r="1823" spans="39:59">
      <c r="AM1823" s="2"/>
      <c r="AN1823" s="2"/>
      <c r="AQ1823" s="1"/>
      <c r="BG1823" s="1"/>
    </row>
    <row r="1824" spans="39:59">
      <c r="AM1824" s="2"/>
      <c r="AN1824" s="2"/>
      <c r="AQ1824" s="1"/>
      <c r="BG1824" s="1"/>
    </row>
    <row r="1825" spans="39:59">
      <c r="AM1825" s="2"/>
      <c r="AN1825" s="2"/>
      <c r="AQ1825" s="1"/>
      <c r="BG1825" s="1"/>
    </row>
    <row r="1826" spans="39:59">
      <c r="AM1826" s="2"/>
      <c r="AN1826" s="2"/>
      <c r="AQ1826" s="1"/>
      <c r="BG1826" s="1"/>
    </row>
    <row r="1827" spans="39:59">
      <c r="AM1827" s="2"/>
      <c r="AN1827" s="2"/>
      <c r="AQ1827" s="1"/>
      <c r="BG1827" s="1"/>
    </row>
    <row r="1828" spans="39:59">
      <c r="AM1828" s="2"/>
      <c r="AN1828" s="2"/>
      <c r="AQ1828" s="1"/>
      <c r="BG1828" s="1"/>
    </row>
    <row r="1829" spans="39:59">
      <c r="AM1829" s="2"/>
      <c r="AN1829" s="2"/>
      <c r="AQ1829" s="1"/>
      <c r="BG1829" s="1"/>
    </row>
    <row r="1830" spans="39:59">
      <c r="AM1830" s="2"/>
      <c r="AN1830" s="2"/>
      <c r="AQ1830" s="1"/>
      <c r="BG1830" s="1"/>
    </row>
    <row r="1831" spans="39:59">
      <c r="AM1831" s="2"/>
      <c r="AN1831" s="2"/>
      <c r="AQ1831" s="1"/>
      <c r="BG1831" s="1"/>
    </row>
    <row r="1832" spans="39:59">
      <c r="AM1832" s="2"/>
      <c r="AN1832" s="2"/>
      <c r="AQ1832" s="1"/>
      <c r="BG1832" s="1"/>
    </row>
    <row r="1833" spans="39:59">
      <c r="AM1833" s="2"/>
      <c r="AN1833" s="2"/>
      <c r="AQ1833" s="1"/>
      <c r="BG1833" s="1"/>
    </row>
    <row r="1834" spans="39:59">
      <c r="AM1834" s="2"/>
      <c r="AN1834" s="2"/>
      <c r="AQ1834" s="1"/>
      <c r="BG1834" s="1"/>
    </row>
    <row r="1835" spans="39:59">
      <c r="AM1835" s="2"/>
      <c r="AN1835" s="2"/>
      <c r="AQ1835" s="1"/>
      <c r="BG1835" s="1"/>
    </row>
    <row r="1836" spans="39:59">
      <c r="AM1836" s="2"/>
      <c r="AN1836" s="2"/>
      <c r="AQ1836" s="1"/>
      <c r="BG1836" s="1"/>
    </row>
    <row r="1837" spans="39:59">
      <c r="AM1837" s="2"/>
      <c r="AN1837" s="2"/>
      <c r="AQ1837" s="1"/>
      <c r="BG1837" s="1"/>
    </row>
    <row r="1838" spans="39:59">
      <c r="AM1838" s="2"/>
      <c r="AN1838" s="2"/>
      <c r="AQ1838" s="1"/>
      <c r="BG1838" s="1"/>
    </row>
    <row r="1839" spans="39:59">
      <c r="AM1839" s="2"/>
      <c r="AN1839" s="2"/>
      <c r="AQ1839" s="1"/>
      <c r="BG1839" s="1"/>
    </row>
    <row r="1840" spans="39:59">
      <c r="AM1840" s="2"/>
      <c r="AN1840" s="2"/>
      <c r="AQ1840" s="1"/>
      <c r="BG1840" s="1"/>
    </row>
    <row r="1841" spans="39:59">
      <c r="AM1841" s="2"/>
      <c r="AN1841" s="2"/>
      <c r="AQ1841" s="1"/>
      <c r="BG1841" s="1"/>
    </row>
    <row r="1842" spans="39:59">
      <c r="AM1842" s="2"/>
      <c r="AN1842" s="2"/>
      <c r="AQ1842" s="1"/>
      <c r="BG1842" s="1"/>
    </row>
    <row r="1843" spans="39:59">
      <c r="AM1843" s="2"/>
      <c r="AN1843" s="2"/>
      <c r="AQ1843" s="1"/>
      <c r="BG1843" s="1"/>
    </row>
    <row r="1844" spans="39:59">
      <c r="AM1844" s="2"/>
      <c r="AN1844" s="2"/>
      <c r="AQ1844" s="1"/>
      <c r="BG1844" s="1"/>
    </row>
    <row r="1845" spans="39:59">
      <c r="AM1845" s="2"/>
      <c r="AN1845" s="2"/>
      <c r="AQ1845" s="1"/>
      <c r="BG1845" s="1"/>
    </row>
    <row r="1846" spans="39:59">
      <c r="AM1846" s="2"/>
      <c r="AN1846" s="2"/>
      <c r="AQ1846" s="1"/>
      <c r="BG1846" s="1"/>
    </row>
    <row r="1847" spans="39:59">
      <c r="AM1847" s="2"/>
      <c r="AN1847" s="2"/>
      <c r="AQ1847" s="1"/>
      <c r="BG1847" s="1"/>
    </row>
    <row r="1848" spans="39:59">
      <c r="AM1848" s="2"/>
      <c r="AN1848" s="2"/>
      <c r="AQ1848" s="1"/>
      <c r="BG1848" s="1"/>
    </row>
    <row r="1849" spans="39:59">
      <c r="AM1849" s="2"/>
      <c r="AN1849" s="2"/>
      <c r="AQ1849" s="1"/>
      <c r="BG1849" s="1"/>
    </row>
    <row r="1850" spans="39:59">
      <c r="AM1850" s="2"/>
      <c r="AN1850" s="2"/>
      <c r="AQ1850" s="1"/>
      <c r="BG1850" s="1"/>
    </row>
    <row r="1851" spans="39:59">
      <c r="AM1851" s="2"/>
      <c r="AN1851" s="2"/>
      <c r="AQ1851" s="1"/>
      <c r="BG1851" s="1"/>
    </row>
    <row r="1852" spans="39:59">
      <c r="AM1852" s="2"/>
      <c r="AN1852" s="2"/>
      <c r="AQ1852" s="1"/>
      <c r="BG1852" s="1"/>
    </row>
    <row r="1853" spans="39:59">
      <c r="AM1853" s="2"/>
      <c r="AN1853" s="2"/>
      <c r="AQ1853" s="1"/>
      <c r="BG1853" s="1"/>
    </row>
    <row r="1854" spans="39:59">
      <c r="AM1854" s="2"/>
      <c r="AN1854" s="2"/>
      <c r="AQ1854" s="1"/>
      <c r="BG1854" s="1"/>
    </row>
    <row r="1855" spans="39:59">
      <c r="AM1855" s="2"/>
      <c r="AN1855" s="2"/>
      <c r="AQ1855" s="1"/>
      <c r="BG1855" s="1"/>
    </row>
    <row r="1856" spans="39:59">
      <c r="AM1856" s="2"/>
      <c r="AN1856" s="2"/>
      <c r="AQ1856" s="1"/>
      <c r="BG1856" s="1"/>
    </row>
    <row r="1857" spans="39:59">
      <c r="AM1857" s="2"/>
      <c r="AN1857" s="2"/>
      <c r="AQ1857" s="1"/>
      <c r="BG1857" s="1"/>
    </row>
    <row r="1858" spans="39:59">
      <c r="AM1858" s="2"/>
      <c r="AN1858" s="2"/>
      <c r="AQ1858" s="1"/>
      <c r="BG1858" s="1"/>
    </row>
    <row r="1859" spans="39:59">
      <c r="AM1859" s="2"/>
      <c r="AN1859" s="2"/>
      <c r="AQ1859" s="1"/>
      <c r="BG1859" s="1"/>
    </row>
    <row r="1860" spans="39:59">
      <c r="AM1860" s="2"/>
      <c r="AN1860" s="2"/>
      <c r="AQ1860" s="1"/>
      <c r="BG1860" s="1"/>
    </row>
    <row r="1861" spans="39:59">
      <c r="AM1861" s="2"/>
      <c r="AN1861" s="2"/>
      <c r="AQ1861" s="1"/>
      <c r="BG1861" s="1"/>
    </row>
    <row r="1862" spans="39:59">
      <c r="AM1862" s="2"/>
      <c r="AN1862" s="2"/>
      <c r="AQ1862" s="1"/>
      <c r="BG1862" s="1"/>
    </row>
    <row r="1863" spans="39:59">
      <c r="AM1863" s="2"/>
      <c r="AN1863" s="2"/>
      <c r="AQ1863" s="1"/>
      <c r="BG1863" s="1"/>
    </row>
    <row r="1864" spans="39:59">
      <c r="AM1864" s="2"/>
      <c r="AN1864" s="2"/>
      <c r="AQ1864" s="1"/>
      <c r="BG1864" s="1"/>
    </row>
    <row r="1865" spans="39:59">
      <c r="AM1865" s="2"/>
      <c r="AN1865" s="2"/>
      <c r="AQ1865" s="1"/>
      <c r="BG1865" s="1"/>
    </row>
    <row r="1866" spans="39:59">
      <c r="AM1866" s="2"/>
      <c r="AN1866" s="2"/>
      <c r="AQ1866" s="1"/>
      <c r="BG1866" s="1"/>
    </row>
    <row r="1867" spans="39:59">
      <c r="AM1867" s="2"/>
      <c r="AN1867" s="2"/>
      <c r="AQ1867" s="1"/>
      <c r="BG1867" s="1"/>
    </row>
    <row r="1868" spans="39:59">
      <c r="AM1868" s="2"/>
      <c r="AN1868" s="2"/>
      <c r="AQ1868" s="1"/>
      <c r="BG1868" s="1"/>
    </row>
    <row r="1869" spans="39:59">
      <c r="AM1869" s="2"/>
      <c r="AN1869" s="2"/>
      <c r="AQ1869" s="1"/>
      <c r="BG1869" s="1"/>
    </row>
    <row r="1870" spans="39:59">
      <c r="AM1870" s="2"/>
      <c r="AN1870" s="2"/>
      <c r="AQ1870" s="1"/>
      <c r="BG1870" s="1"/>
    </row>
    <row r="1871" spans="39:59">
      <c r="AM1871" s="2"/>
      <c r="AN1871" s="2"/>
      <c r="AQ1871" s="1"/>
      <c r="BG1871" s="1"/>
    </row>
    <row r="1872" spans="39:59">
      <c r="AM1872" s="2"/>
      <c r="AN1872" s="2"/>
      <c r="AQ1872" s="1"/>
      <c r="BG1872" s="1"/>
    </row>
    <row r="1873" spans="39:59">
      <c r="AM1873" s="2"/>
      <c r="AN1873" s="2"/>
      <c r="AQ1873" s="1"/>
      <c r="BG1873" s="1"/>
    </row>
    <row r="1874" spans="39:59">
      <c r="AM1874" s="2"/>
      <c r="AN1874" s="2"/>
      <c r="AQ1874" s="1"/>
      <c r="BG1874" s="1"/>
    </row>
    <row r="1875" spans="39:59">
      <c r="AM1875" s="2"/>
      <c r="AN1875" s="2"/>
      <c r="AQ1875" s="1"/>
      <c r="BG1875" s="1"/>
    </row>
    <row r="1876" spans="39:59">
      <c r="AM1876" s="2"/>
      <c r="AN1876" s="2"/>
      <c r="AQ1876" s="1"/>
      <c r="BG1876" s="1"/>
    </row>
    <row r="1877" spans="39:59">
      <c r="AM1877" s="2"/>
      <c r="AN1877" s="2"/>
      <c r="AQ1877" s="1"/>
      <c r="BG1877" s="1"/>
    </row>
    <row r="1878" spans="39:59">
      <c r="AM1878" s="2"/>
      <c r="AN1878" s="2"/>
      <c r="AQ1878" s="1"/>
      <c r="BG1878" s="1"/>
    </row>
    <row r="1879" spans="39:59">
      <c r="AM1879" s="2"/>
      <c r="AN1879" s="2"/>
      <c r="AQ1879" s="1"/>
      <c r="BG1879" s="1"/>
    </row>
    <row r="1880" spans="39:59">
      <c r="AM1880" s="2"/>
      <c r="AN1880" s="2"/>
      <c r="AQ1880" s="1"/>
      <c r="BG1880" s="1"/>
    </row>
    <row r="1881" spans="39:59">
      <c r="AM1881" s="2"/>
      <c r="AN1881" s="2"/>
      <c r="AQ1881" s="1"/>
      <c r="BG1881" s="1"/>
    </row>
    <row r="1882" spans="39:59">
      <c r="AM1882" s="2"/>
      <c r="AN1882" s="2"/>
      <c r="AQ1882" s="1"/>
      <c r="BG1882" s="1"/>
    </row>
    <row r="1883" spans="39:59">
      <c r="AM1883" s="2"/>
      <c r="AN1883" s="2"/>
      <c r="AQ1883" s="1"/>
      <c r="BG1883" s="1"/>
    </row>
    <row r="1884" spans="39:59">
      <c r="AM1884" s="2"/>
      <c r="AN1884" s="2"/>
      <c r="AQ1884" s="1"/>
      <c r="BG1884" s="1"/>
    </row>
    <row r="1885" spans="39:59">
      <c r="AM1885" s="2"/>
      <c r="AN1885" s="2"/>
      <c r="AQ1885" s="1"/>
      <c r="BG1885" s="1"/>
    </row>
    <row r="1886" spans="39:59">
      <c r="AM1886" s="2"/>
      <c r="AN1886" s="2"/>
      <c r="AQ1886" s="1"/>
      <c r="BG1886" s="1"/>
    </row>
    <row r="1887" spans="39:59">
      <c r="AM1887" s="2"/>
      <c r="AN1887" s="2"/>
      <c r="AQ1887" s="1"/>
      <c r="BG1887" s="1"/>
    </row>
    <row r="1888" spans="39:59">
      <c r="AM1888" s="2"/>
      <c r="AN1888" s="2"/>
      <c r="AQ1888" s="1"/>
      <c r="BG1888" s="1"/>
    </row>
    <row r="1889" spans="39:59">
      <c r="AM1889" s="2"/>
      <c r="AN1889" s="2"/>
      <c r="AQ1889" s="1"/>
      <c r="BG1889" s="1"/>
    </row>
    <row r="1890" spans="39:59">
      <c r="AM1890" s="2"/>
      <c r="AN1890" s="2"/>
      <c r="AQ1890" s="1"/>
      <c r="BG1890" s="1"/>
    </row>
    <row r="1891" spans="39:59">
      <c r="AM1891" s="2"/>
      <c r="AN1891" s="2"/>
      <c r="AQ1891" s="1"/>
      <c r="BG1891" s="1"/>
    </row>
    <row r="1892" spans="39:59">
      <c r="AM1892" s="2"/>
      <c r="AN1892" s="2"/>
      <c r="AQ1892" s="1"/>
      <c r="BG1892" s="1"/>
    </row>
    <row r="1893" spans="39:59">
      <c r="AM1893" s="2"/>
      <c r="AN1893" s="2"/>
      <c r="AQ1893" s="1"/>
      <c r="BG1893" s="1"/>
    </row>
    <row r="1894" spans="39:59">
      <c r="AM1894" s="2"/>
      <c r="AN1894" s="2"/>
      <c r="AQ1894" s="1"/>
      <c r="BG1894" s="1"/>
    </row>
    <row r="1895" spans="39:59">
      <c r="AM1895" s="2"/>
      <c r="AN1895" s="2"/>
      <c r="AQ1895" s="1"/>
      <c r="BG1895" s="1"/>
    </row>
    <row r="1896" spans="39:59">
      <c r="AM1896" s="2"/>
      <c r="AN1896" s="2"/>
      <c r="AQ1896" s="1"/>
      <c r="BG1896" s="1"/>
    </row>
    <row r="1897" spans="39:59">
      <c r="AM1897" s="2"/>
      <c r="AN1897" s="2"/>
      <c r="AQ1897" s="1"/>
      <c r="BG1897" s="1"/>
    </row>
    <row r="1898" spans="39:59">
      <c r="AM1898" s="2"/>
      <c r="AN1898" s="2"/>
      <c r="AQ1898" s="1"/>
      <c r="BG1898" s="1"/>
    </row>
    <row r="1899" spans="39:59">
      <c r="AM1899" s="2"/>
      <c r="AN1899" s="2"/>
      <c r="AQ1899" s="1"/>
      <c r="BG1899" s="1"/>
    </row>
    <row r="1900" spans="39:59">
      <c r="AM1900" s="2"/>
      <c r="AN1900" s="2"/>
      <c r="AQ1900" s="1"/>
      <c r="BG1900" s="1"/>
    </row>
    <row r="1901" spans="39:59">
      <c r="AM1901" s="2"/>
      <c r="AN1901" s="2"/>
      <c r="AQ1901" s="1"/>
      <c r="BG1901" s="1"/>
    </row>
    <row r="1902" spans="39:59">
      <c r="AM1902" s="2"/>
      <c r="AN1902" s="2"/>
      <c r="AQ1902" s="1"/>
      <c r="BG1902" s="1"/>
    </row>
    <row r="1903" spans="39:59">
      <c r="AM1903" s="2"/>
      <c r="AN1903" s="2"/>
      <c r="AQ1903" s="1"/>
      <c r="BG1903" s="1"/>
    </row>
    <row r="1904" spans="39:59">
      <c r="AM1904" s="2"/>
      <c r="AN1904" s="2"/>
      <c r="AQ1904" s="1"/>
      <c r="BG1904" s="1"/>
    </row>
    <row r="1905" spans="39:59">
      <c r="AM1905" s="2"/>
      <c r="AN1905" s="2"/>
      <c r="AQ1905" s="1"/>
      <c r="BG1905" s="1"/>
    </row>
    <row r="1906" spans="39:59">
      <c r="AM1906" s="2"/>
      <c r="AN1906" s="2"/>
      <c r="AQ1906" s="1"/>
      <c r="BG1906" s="1"/>
    </row>
    <row r="1907" spans="39:59">
      <c r="AM1907" s="2"/>
      <c r="AN1907" s="2"/>
      <c r="AQ1907" s="1"/>
      <c r="BG1907" s="1"/>
    </row>
    <row r="1908" spans="39:59">
      <c r="AM1908" s="2"/>
      <c r="AN1908" s="2"/>
      <c r="AQ1908" s="1"/>
      <c r="BG1908" s="1"/>
    </row>
    <row r="1909" spans="39:59">
      <c r="AM1909" s="2"/>
      <c r="AN1909" s="2"/>
      <c r="AQ1909" s="1"/>
      <c r="BG1909" s="1"/>
    </row>
    <row r="1910" spans="39:59">
      <c r="AM1910" s="2"/>
      <c r="AN1910" s="2"/>
      <c r="AQ1910" s="1"/>
      <c r="BG1910" s="1"/>
    </row>
    <row r="1911" spans="39:59">
      <c r="AM1911" s="2"/>
      <c r="AN1911" s="2"/>
      <c r="AQ1911" s="1"/>
      <c r="BG1911" s="1"/>
    </row>
    <row r="1912" spans="39:59">
      <c r="AM1912" s="2"/>
      <c r="AN1912" s="2"/>
      <c r="AQ1912" s="1"/>
      <c r="BG1912" s="1"/>
    </row>
    <row r="1913" spans="39:59">
      <c r="AM1913" s="2"/>
      <c r="AN1913" s="2"/>
      <c r="AQ1913" s="1"/>
      <c r="BG1913" s="1"/>
    </row>
    <row r="1914" spans="39:59">
      <c r="AM1914" s="2"/>
      <c r="AN1914" s="2"/>
      <c r="AQ1914" s="1"/>
      <c r="BG1914" s="1"/>
    </row>
    <row r="1915" spans="39:59">
      <c r="AM1915" s="2"/>
      <c r="AN1915" s="2"/>
      <c r="AQ1915" s="1"/>
      <c r="BG1915" s="1"/>
    </row>
    <row r="1916" spans="39:59">
      <c r="AM1916" s="2"/>
      <c r="AN1916" s="2"/>
      <c r="AQ1916" s="1"/>
      <c r="BG1916" s="1"/>
    </row>
    <row r="1917" spans="39:59">
      <c r="AM1917" s="2"/>
      <c r="AN1917" s="2"/>
      <c r="AQ1917" s="1"/>
      <c r="BG1917" s="1"/>
    </row>
    <row r="1918" spans="39:59">
      <c r="AM1918" s="2"/>
      <c r="AN1918" s="2"/>
      <c r="AQ1918" s="1"/>
      <c r="BG1918" s="1"/>
    </row>
    <row r="1919" spans="39:59">
      <c r="AM1919" s="2"/>
      <c r="AN1919" s="2"/>
      <c r="AQ1919" s="1"/>
      <c r="BG1919" s="1"/>
    </row>
    <row r="1920" spans="39:59">
      <c r="AM1920" s="2"/>
      <c r="AN1920" s="2"/>
      <c r="AQ1920" s="1"/>
      <c r="BG1920" s="1"/>
    </row>
    <row r="1921" spans="39:59">
      <c r="AM1921" s="2"/>
      <c r="AN1921" s="2"/>
      <c r="AQ1921" s="1"/>
      <c r="BG1921" s="1"/>
    </row>
    <row r="1922" spans="39:59">
      <c r="AM1922" s="2"/>
      <c r="AN1922" s="2"/>
      <c r="AQ1922" s="1"/>
      <c r="BG1922" s="1"/>
    </row>
    <row r="1923" spans="39:59">
      <c r="AM1923" s="2"/>
      <c r="AN1923" s="2"/>
      <c r="AQ1923" s="1"/>
      <c r="BG1923" s="1"/>
    </row>
    <row r="1924" spans="39:59">
      <c r="AM1924" s="2"/>
      <c r="AN1924" s="2"/>
      <c r="AQ1924" s="1"/>
      <c r="BG1924" s="1"/>
    </row>
    <row r="1925" spans="39:59">
      <c r="AM1925" s="2"/>
      <c r="AN1925" s="2"/>
      <c r="AQ1925" s="1"/>
      <c r="BG1925" s="1"/>
    </row>
    <row r="1926" spans="39:59">
      <c r="AM1926" s="2"/>
      <c r="AN1926" s="2"/>
      <c r="AQ1926" s="1"/>
      <c r="BG1926" s="1"/>
    </row>
    <row r="1927" spans="39:59">
      <c r="AM1927" s="2"/>
      <c r="AN1927" s="2"/>
      <c r="AQ1927" s="1"/>
      <c r="BG1927" s="1"/>
    </row>
    <row r="1928" spans="39:59">
      <c r="AM1928" s="2"/>
      <c r="AN1928" s="2"/>
      <c r="AQ1928" s="1"/>
      <c r="BG1928" s="1"/>
    </row>
    <row r="1929" spans="39:59">
      <c r="AM1929" s="2"/>
      <c r="AN1929" s="2"/>
      <c r="AQ1929" s="1"/>
      <c r="BG1929" s="1"/>
    </row>
    <row r="1930" spans="39:59">
      <c r="AM1930" s="2"/>
      <c r="AN1930" s="2"/>
      <c r="AQ1930" s="1"/>
      <c r="BG1930" s="1"/>
    </row>
    <row r="1931" spans="39:59">
      <c r="AM1931" s="2"/>
      <c r="AN1931" s="2"/>
      <c r="AQ1931" s="1"/>
      <c r="BG1931" s="1"/>
    </row>
    <row r="1932" spans="39:59">
      <c r="AM1932" s="2"/>
      <c r="AN1932" s="2"/>
      <c r="AQ1932" s="1"/>
      <c r="BG1932" s="1"/>
    </row>
    <row r="1933" spans="39:59">
      <c r="AM1933" s="2"/>
      <c r="AN1933" s="2"/>
      <c r="AQ1933" s="1"/>
      <c r="BG1933" s="1"/>
    </row>
    <row r="1934" spans="39:59">
      <c r="AM1934" s="2"/>
      <c r="AN1934" s="2"/>
      <c r="AQ1934" s="1"/>
      <c r="BG1934" s="1"/>
    </row>
    <row r="1935" spans="39:59">
      <c r="AM1935" s="2"/>
      <c r="AN1935" s="2"/>
      <c r="AQ1935" s="1"/>
      <c r="BG1935" s="1"/>
    </row>
    <row r="1936" spans="39:59">
      <c r="AM1936" s="2"/>
      <c r="AN1936" s="2"/>
      <c r="AQ1936" s="1"/>
      <c r="BG1936" s="1"/>
    </row>
    <row r="1937" spans="39:59">
      <c r="AM1937" s="2"/>
      <c r="AN1937" s="2"/>
      <c r="AQ1937" s="1"/>
      <c r="BG1937" s="1"/>
    </row>
    <row r="1938" spans="39:59">
      <c r="AM1938" s="2"/>
      <c r="AN1938" s="2"/>
      <c r="AQ1938" s="1"/>
      <c r="BG1938" s="1"/>
    </row>
    <row r="1939" spans="39:59">
      <c r="AM1939" s="2"/>
      <c r="AN1939" s="2"/>
      <c r="AQ1939" s="1"/>
      <c r="BG1939" s="1"/>
    </row>
    <row r="1940" spans="39:59">
      <c r="AM1940" s="2"/>
      <c r="AN1940" s="2"/>
      <c r="AQ1940" s="1"/>
      <c r="BG1940" s="1"/>
    </row>
    <row r="1941" spans="39:59">
      <c r="AM1941" s="2"/>
      <c r="AN1941" s="2"/>
      <c r="AQ1941" s="1"/>
      <c r="BG1941" s="1"/>
    </row>
    <row r="1942" spans="39:59">
      <c r="AM1942" s="2"/>
      <c r="AN1942" s="2"/>
      <c r="AQ1942" s="1"/>
      <c r="BG1942" s="1"/>
    </row>
    <row r="1943" spans="39:59">
      <c r="AM1943" s="2"/>
      <c r="AN1943" s="2"/>
      <c r="AQ1943" s="1"/>
      <c r="BG1943" s="1"/>
    </row>
    <row r="1944" spans="39:59">
      <c r="AM1944" s="2"/>
      <c r="AN1944" s="2"/>
      <c r="AQ1944" s="1"/>
      <c r="BG1944" s="1"/>
    </row>
    <row r="1945" spans="39:59">
      <c r="AM1945" s="2"/>
      <c r="AN1945" s="2"/>
      <c r="AQ1945" s="1"/>
      <c r="BG1945" s="1"/>
    </row>
    <row r="1946" spans="39:59">
      <c r="AM1946" s="2"/>
      <c r="AN1946" s="2"/>
      <c r="AQ1946" s="1"/>
      <c r="BG1946" s="1"/>
    </row>
    <row r="1947" spans="39:59">
      <c r="AM1947" s="2"/>
      <c r="AN1947" s="2"/>
      <c r="AQ1947" s="1"/>
      <c r="BG1947" s="1"/>
    </row>
    <row r="1948" spans="39:59">
      <c r="AM1948" s="2"/>
      <c r="AN1948" s="2"/>
      <c r="AQ1948" s="1"/>
      <c r="BG1948" s="1"/>
    </row>
    <row r="1949" spans="39:59">
      <c r="AM1949" s="2"/>
      <c r="AN1949" s="2"/>
      <c r="AQ1949" s="1"/>
      <c r="BG1949" s="1"/>
    </row>
    <row r="1950" spans="39:59">
      <c r="AM1950" s="2"/>
      <c r="AN1950" s="2"/>
      <c r="AQ1950" s="1"/>
      <c r="BG1950" s="1"/>
    </row>
    <row r="1951" spans="39:59">
      <c r="AM1951" s="2"/>
      <c r="AN1951" s="2"/>
      <c r="AQ1951" s="1"/>
      <c r="BG1951" s="1"/>
    </row>
    <row r="1952" spans="39:59">
      <c r="AM1952" s="2"/>
      <c r="AN1952" s="2"/>
      <c r="AQ1952" s="1"/>
      <c r="BG1952" s="1"/>
    </row>
    <row r="1953" spans="39:59">
      <c r="AM1953" s="2"/>
      <c r="AN1953" s="2"/>
      <c r="AQ1953" s="1"/>
      <c r="BG1953" s="1"/>
    </row>
    <row r="1954" spans="39:59">
      <c r="AM1954" s="2"/>
      <c r="AN1954" s="2"/>
      <c r="AQ1954" s="1"/>
      <c r="BG1954" s="1"/>
    </row>
    <row r="1955" spans="39:59">
      <c r="AM1955" s="2"/>
      <c r="AN1955" s="2"/>
      <c r="AQ1955" s="1"/>
      <c r="BG1955" s="1"/>
    </row>
    <row r="1956" spans="39:59">
      <c r="AM1956" s="2"/>
      <c r="AN1956" s="2"/>
      <c r="AQ1956" s="1"/>
      <c r="BG1956" s="1"/>
    </row>
    <row r="1957" spans="39:59">
      <c r="AM1957" s="2"/>
      <c r="AN1957" s="2"/>
      <c r="AQ1957" s="1"/>
      <c r="BG1957" s="1"/>
    </row>
    <row r="1958" spans="39:59">
      <c r="AM1958" s="2"/>
      <c r="AN1958" s="2"/>
      <c r="AQ1958" s="1"/>
      <c r="BG1958" s="1"/>
    </row>
    <row r="1959" spans="39:59">
      <c r="AM1959" s="2"/>
      <c r="AN1959" s="2"/>
      <c r="AQ1959" s="1"/>
      <c r="BG1959" s="1"/>
    </row>
    <row r="1960" spans="39:59">
      <c r="AM1960" s="2"/>
      <c r="AN1960" s="2"/>
      <c r="AQ1960" s="1"/>
      <c r="BG1960" s="1"/>
    </row>
    <row r="1961" spans="39:59">
      <c r="AM1961" s="2"/>
      <c r="AN1961" s="2"/>
      <c r="AQ1961" s="1"/>
      <c r="BG1961" s="1"/>
    </row>
    <row r="1962" spans="39:59">
      <c r="AM1962" s="2"/>
      <c r="AN1962" s="2"/>
      <c r="AQ1962" s="1"/>
      <c r="BG1962" s="1"/>
    </row>
    <row r="1963" spans="39:59">
      <c r="AM1963" s="2"/>
      <c r="AN1963" s="2"/>
      <c r="AQ1963" s="1"/>
      <c r="BG1963" s="1"/>
    </row>
    <row r="1964" spans="39:59">
      <c r="AM1964" s="2"/>
      <c r="AN1964" s="2"/>
      <c r="AQ1964" s="1"/>
      <c r="BG1964" s="1"/>
    </row>
    <row r="1965" spans="39:59">
      <c r="AM1965" s="2"/>
      <c r="AN1965" s="2"/>
      <c r="AQ1965" s="1"/>
      <c r="BG1965" s="1"/>
    </row>
    <row r="1966" spans="39:59">
      <c r="AM1966" s="2"/>
      <c r="AN1966" s="2"/>
      <c r="AQ1966" s="1"/>
      <c r="BG1966" s="1"/>
    </row>
    <row r="1967" spans="39:59">
      <c r="AM1967" s="2"/>
      <c r="AN1967" s="2"/>
      <c r="AQ1967" s="1"/>
      <c r="BG1967" s="1"/>
    </row>
    <row r="1968" spans="39:59">
      <c r="AM1968" s="2"/>
      <c r="AN1968" s="2"/>
      <c r="AQ1968" s="1"/>
      <c r="BG1968" s="1"/>
    </row>
    <row r="1969" spans="39:59">
      <c r="AM1969" s="2"/>
      <c r="AN1969" s="2"/>
      <c r="AQ1969" s="1"/>
      <c r="BG1969" s="1"/>
    </row>
    <row r="1970" spans="39:59">
      <c r="AM1970" s="2"/>
      <c r="AN1970" s="2"/>
      <c r="AQ1970" s="1"/>
      <c r="BG1970" s="1"/>
    </row>
    <row r="1971" spans="39:59">
      <c r="AM1971" s="2"/>
      <c r="AN1971" s="2"/>
      <c r="AQ1971" s="1"/>
      <c r="BG1971" s="1"/>
    </row>
    <row r="1972" spans="39:59">
      <c r="AM1972" s="2"/>
      <c r="AN1972" s="2"/>
      <c r="AQ1972" s="1"/>
      <c r="BG1972" s="1"/>
    </row>
    <row r="1973" spans="39:59">
      <c r="AM1973" s="2"/>
      <c r="AN1973" s="2"/>
      <c r="AQ1973" s="1"/>
      <c r="BG1973" s="1"/>
    </row>
    <row r="1974" spans="39:59">
      <c r="AM1974" s="2"/>
      <c r="AN1974" s="2"/>
      <c r="AQ1974" s="1"/>
      <c r="BG1974" s="1"/>
    </row>
    <row r="1975" spans="39:59">
      <c r="AM1975" s="2"/>
      <c r="AN1975" s="2"/>
      <c r="AQ1975" s="1"/>
      <c r="BG1975" s="1"/>
    </row>
    <row r="1976" spans="39:59">
      <c r="AM1976" s="2"/>
      <c r="AN1976" s="2"/>
      <c r="AQ1976" s="1"/>
      <c r="BG1976" s="1"/>
    </row>
    <row r="1977" spans="39:59">
      <c r="AM1977" s="2"/>
      <c r="AN1977" s="2"/>
      <c r="AQ1977" s="1"/>
      <c r="BG1977" s="1"/>
    </row>
    <row r="1978" spans="39:59">
      <c r="AM1978" s="2"/>
      <c r="AN1978" s="2"/>
      <c r="AQ1978" s="1"/>
      <c r="BG1978" s="1"/>
    </row>
    <row r="1979" spans="39:59">
      <c r="AM1979" s="2"/>
      <c r="AN1979" s="2"/>
      <c r="AQ1979" s="1"/>
      <c r="BG1979" s="1"/>
    </row>
    <row r="1980" spans="39:59">
      <c r="AM1980" s="2"/>
      <c r="AN1980" s="2"/>
      <c r="AQ1980" s="1"/>
      <c r="BG1980" s="1"/>
    </row>
    <row r="1981" spans="39:59">
      <c r="AM1981" s="2"/>
      <c r="AN1981" s="2"/>
      <c r="AQ1981" s="1"/>
      <c r="BG1981" s="1"/>
    </row>
    <row r="1982" spans="39:59">
      <c r="AM1982" s="2"/>
      <c r="AN1982" s="2"/>
      <c r="AQ1982" s="1"/>
      <c r="BG1982" s="1"/>
    </row>
    <row r="1983" spans="39:59">
      <c r="AM1983" s="2"/>
      <c r="AN1983" s="2"/>
      <c r="AQ1983" s="1"/>
      <c r="BG1983" s="1"/>
    </row>
    <row r="1984" spans="39:59">
      <c r="AM1984" s="2"/>
      <c r="AN1984" s="2"/>
      <c r="AQ1984" s="1"/>
      <c r="BG1984" s="1"/>
    </row>
    <row r="1985" spans="39:59">
      <c r="AM1985" s="2"/>
      <c r="AN1985" s="2"/>
      <c r="AQ1985" s="1"/>
      <c r="BG1985" s="1"/>
    </row>
    <row r="1986" spans="39:59">
      <c r="AM1986" s="2"/>
      <c r="AN1986" s="2"/>
      <c r="AQ1986" s="1"/>
      <c r="BG1986" s="1"/>
    </row>
    <row r="1987" spans="39:59">
      <c r="AM1987" s="2"/>
      <c r="AN1987" s="2"/>
      <c r="AQ1987" s="1"/>
      <c r="BG1987" s="1"/>
    </row>
    <row r="1988" spans="39:59">
      <c r="AM1988" s="2"/>
      <c r="AN1988" s="2"/>
      <c r="AQ1988" s="1"/>
      <c r="BG1988" s="1"/>
    </row>
    <row r="1989" spans="39:59">
      <c r="AM1989" s="2"/>
      <c r="AN1989" s="2"/>
      <c r="AQ1989" s="1"/>
      <c r="BG1989" s="1"/>
    </row>
    <row r="1990" spans="39:59">
      <c r="AM1990" s="2"/>
      <c r="AN1990" s="2"/>
      <c r="AQ1990" s="1"/>
      <c r="BG1990" s="1"/>
    </row>
    <row r="1991" spans="39:59">
      <c r="AM1991" s="2"/>
      <c r="AN1991" s="2"/>
      <c r="AQ1991" s="1"/>
      <c r="BG1991" s="1"/>
    </row>
    <row r="1992" spans="39:59">
      <c r="AM1992" s="2"/>
      <c r="AN1992" s="2"/>
      <c r="AQ1992" s="1"/>
      <c r="BG1992" s="1"/>
    </row>
    <row r="1993" spans="39:59">
      <c r="AM1993" s="2"/>
      <c r="AN1993" s="2"/>
      <c r="AQ1993" s="1"/>
      <c r="BG1993" s="1"/>
    </row>
    <row r="1994" spans="39:59">
      <c r="AM1994" s="2"/>
      <c r="AN1994" s="2"/>
      <c r="AQ1994" s="1"/>
      <c r="BG1994" s="1"/>
    </row>
    <row r="1995" spans="39:59">
      <c r="AM1995" s="2"/>
      <c r="AN1995" s="2"/>
      <c r="AQ1995" s="1"/>
      <c r="BG1995" s="1"/>
    </row>
    <row r="1996" spans="39:59">
      <c r="AM1996" s="2"/>
      <c r="AN1996" s="2"/>
      <c r="AQ1996" s="1"/>
      <c r="BG1996" s="1"/>
    </row>
    <row r="1997" spans="39:59">
      <c r="AM1997" s="2"/>
      <c r="AN1997" s="2"/>
      <c r="AQ1997" s="1"/>
      <c r="BG1997" s="1"/>
    </row>
    <row r="1998" spans="39:59">
      <c r="AM1998" s="2"/>
      <c r="AN1998" s="2"/>
      <c r="AQ1998" s="1"/>
      <c r="BG1998" s="1"/>
    </row>
    <row r="1999" spans="39:59">
      <c r="AM1999" s="2"/>
      <c r="AN1999" s="2"/>
      <c r="AQ1999" s="1"/>
      <c r="BG1999" s="1"/>
    </row>
    <row r="2000" spans="39:59">
      <c r="AM2000" s="2"/>
      <c r="AN2000" s="2"/>
      <c r="AQ2000" s="1"/>
      <c r="BG2000" s="1"/>
    </row>
    <row r="2001" spans="39:59">
      <c r="AM2001" s="2"/>
      <c r="AN2001" s="2"/>
      <c r="AQ2001" s="1"/>
      <c r="BG2001" s="1"/>
    </row>
    <row r="2002" spans="39:59">
      <c r="AM2002" s="2"/>
      <c r="AN2002" s="2"/>
      <c r="AQ2002" s="1"/>
      <c r="BG2002" s="1"/>
    </row>
    <row r="2003" spans="39:59">
      <c r="AM2003" s="2"/>
      <c r="AN2003" s="2"/>
      <c r="AQ2003" s="1"/>
      <c r="BG2003" s="1"/>
    </row>
    <row r="2004" spans="39:59">
      <c r="AM2004" s="2"/>
      <c r="AN2004" s="2"/>
      <c r="AQ2004" s="1"/>
      <c r="BG2004" s="1"/>
    </row>
    <row r="2005" spans="39:59">
      <c r="AM2005" s="2"/>
      <c r="AN2005" s="2"/>
      <c r="AQ2005" s="1"/>
      <c r="BG2005" s="1"/>
    </row>
    <row r="2006" spans="39:59">
      <c r="AM2006" s="2"/>
      <c r="AN2006" s="2"/>
      <c r="AQ2006" s="1"/>
      <c r="BG2006" s="1"/>
    </row>
    <row r="2007" spans="39:59">
      <c r="AM2007" s="2"/>
      <c r="AN2007" s="2"/>
      <c r="AQ2007" s="1"/>
      <c r="BG2007" s="1"/>
    </row>
    <row r="2008" spans="39:59">
      <c r="AM2008" s="2"/>
      <c r="AN2008" s="2"/>
      <c r="AQ2008" s="1"/>
      <c r="BG2008" s="1"/>
    </row>
    <row r="2009" spans="39:59">
      <c r="AM2009" s="2"/>
      <c r="AN2009" s="2"/>
      <c r="AQ2009" s="1"/>
      <c r="BG2009" s="1"/>
    </row>
    <row r="2010" spans="39:59">
      <c r="AM2010" s="2"/>
      <c r="AN2010" s="2"/>
      <c r="AQ2010" s="1"/>
      <c r="BG2010" s="1"/>
    </row>
    <row r="2011" spans="39:59">
      <c r="AM2011" s="2"/>
      <c r="AN2011" s="2"/>
      <c r="AQ2011" s="1"/>
      <c r="BG2011" s="1"/>
    </row>
    <row r="2012" spans="39:59">
      <c r="AM2012" s="2"/>
      <c r="AN2012" s="2"/>
      <c r="AQ2012" s="1"/>
      <c r="BG2012" s="1"/>
    </row>
    <row r="2013" spans="39:59">
      <c r="AM2013" s="2"/>
      <c r="AN2013" s="2"/>
      <c r="AQ2013" s="1"/>
      <c r="BG2013" s="1"/>
    </row>
    <row r="2014" spans="39:59">
      <c r="AM2014" s="2"/>
      <c r="AN2014" s="2"/>
      <c r="AQ2014" s="1"/>
      <c r="BG2014" s="1"/>
    </row>
    <row r="2015" spans="39:59">
      <c r="AM2015" s="2"/>
      <c r="AN2015" s="2"/>
      <c r="AQ2015" s="1"/>
      <c r="BG2015" s="1"/>
    </row>
    <row r="2016" spans="39:59">
      <c r="AM2016" s="2"/>
      <c r="AN2016" s="2"/>
      <c r="AQ2016" s="1"/>
      <c r="BG2016" s="1"/>
    </row>
    <row r="2017" spans="39:59">
      <c r="AM2017" s="2"/>
      <c r="AN2017" s="2"/>
      <c r="AQ2017" s="1"/>
      <c r="BG2017" s="1"/>
    </row>
    <row r="2018" spans="39:59">
      <c r="AM2018" s="2"/>
      <c r="AN2018" s="2"/>
      <c r="AQ2018" s="1"/>
      <c r="BG2018" s="1"/>
    </row>
    <row r="2019" spans="39:59">
      <c r="AM2019" s="2"/>
      <c r="AN2019" s="2"/>
      <c r="AQ2019" s="1"/>
      <c r="BG2019" s="1"/>
    </row>
    <row r="2020" spans="39:59">
      <c r="AM2020" s="2"/>
      <c r="AN2020" s="2"/>
      <c r="AQ2020" s="1"/>
      <c r="BG2020" s="1"/>
    </row>
    <row r="2021" spans="39:59">
      <c r="AM2021" s="2"/>
      <c r="AN2021" s="2"/>
      <c r="AQ2021" s="1"/>
      <c r="BG2021" s="1"/>
    </row>
    <row r="2022" spans="39:59">
      <c r="AM2022" s="2"/>
      <c r="AN2022" s="2"/>
      <c r="AQ2022" s="1"/>
      <c r="BG2022" s="1"/>
    </row>
    <row r="2023" spans="39:59">
      <c r="AM2023" s="2"/>
      <c r="AN2023" s="2"/>
      <c r="AQ2023" s="1"/>
      <c r="BG2023" s="1"/>
    </row>
    <row r="2024" spans="39:59">
      <c r="AM2024" s="2"/>
      <c r="AN2024" s="2"/>
      <c r="AQ2024" s="1"/>
      <c r="BG2024" s="1"/>
    </row>
    <row r="2025" spans="39:59">
      <c r="AM2025" s="2"/>
      <c r="AN2025" s="2"/>
      <c r="AQ2025" s="1"/>
      <c r="BG2025" s="1"/>
    </row>
    <row r="2026" spans="39:59">
      <c r="AM2026" s="2"/>
      <c r="AN2026" s="2"/>
      <c r="AQ2026" s="1"/>
      <c r="BG2026" s="1"/>
    </row>
    <row r="2027" spans="39:59">
      <c r="AM2027" s="2"/>
      <c r="AN2027" s="2"/>
      <c r="AQ2027" s="1"/>
      <c r="BG2027" s="1"/>
    </row>
    <row r="2028" spans="39:59">
      <c r="AM2028" s="2"/>
      <c r="AN2028" s="2"/>
      <c r="AQ2028" s="1"/>
      <c r="BG2028" s="1"/>
    </row>
    <row r="2029" spans="39:59">
      <c r="AM2029" s="2"/>
      <c r="AN2029" s="2"/>
      <c r="AQ2029" s="1"/>
      <c r="BG2029" s="1"/>
    </row>
    <row r="2030" spans="39:59">
      <c r="AM2030" s="2"/>
      <c r="AN2030" s="2"/>
      <c r="AQ2030" s="1"/>
      <c r="BG2030" s="1"/>
    </row>
    <row r="2031" spans="39:59">
      <c r="AM2031" s="2"/>
      <c r="AN2031" s="2"/>
      <c r="AQ2031" s="1"/>
      <c r="BG2031" s="1"/>
    </row>
    <row r="2032" spans="39:59">
      <c r="AM2032" s="2"/>
      <c r="AN2032" s="2"/>
      <c r="AQ2032" s="1"/>
      <c r="BG2032" s="1"/>
    </row>
    <row r="2033" spans="39:59">
      <c r="AM2033" s="2"/>
      <c r="AN2033" s="2"/>
      <c r="AQ2033" s="1"/>
      <c r="BG2033" s="1"/>
    </row>
    <row r="2034" spans="39:59">
      <c r="AM2034" s="2"/>
      <c r="AN2034" s="2"/>
      <c r="AQ2034" s="1"/>
      <c r="BG2034" s="1"/>
    </row>
    <row r="2035" spans="39:59">
      <c r="AM2035" s="2"/>
      <c r="AN2035" s="2"/>
      <c r="AQ2035" s="1"/>
      <c r="BG2035" s="1"/>
    </row>
    <row r="2036" spans="39:59">
      <c r="AM2036" s="2"/>
      <c r="AN2036" s="2"/>
      <c r="AQ2036" s="1"/>
      <c r="BG2036" s="1"/>
    </row>
    <row r="2037" spans="39:59">
      <c r="AM2037" s="2"/>
      <c r="AN2037" s="2"/>
      <c r="AQ2037" s="1"/>
      <c r="BG2037" s="1"/>
    </row>
    <row r="2038" spans="39:59">
      <c r="AM2038" s="2"/>
      <c r="AN2038" s="2"/>
      <c r="AQ2038" s="1"/>
      <c r="BG2038" s="1"/>
    </row>
    <row r="2039" spans="39:59">
      <c r="AM2039" s="2"/>
      <c r="AN2039" s="2"/>
      <c r="AQ2039" s="1"/>
      <c r="BG2039" s="1"/>
    </row>
    <row r="2040" spans="39:59">
      <c r="AM2040" s="2"/>
      <c r="AN2040" s="2"/>
      <c r="AQ2040" s="1"/>
      <c r="BG2040" s="1"/>
    </row>
    <row r="2041" spans="39:59">
      <c r="AM2041" s="2"/>
      <c r="AN2041" s="2"/>
      <c r="AQ2041" s="1"/>
      <c r="BG2041" s="1"/>
    </row>
    <row r="2042" spans="39:59">
      <c r="AM2042" s="2"/>
      <c r="AN2042" s="2"/>
      <c r="AQ2042" s="1"/>
      <c r="BG2042" s="1"/>
    </row>
    <row r="2043" spans="39:59">
      <c r="AM2043" s="2"/>
      <c r="AN2043" s="2"/>
      <c r="AQ2043" s="1"/>
      <c r="BG2043" s="1"/>
    </row>
    <row r="2044" spans="39:59">
      <c r="AM2044" s="2"/>
      <c r="AN2044" s="2"/>
      <c r="AQ2044" s="1"/>
      <c r="BG2044" s="1"/>
    </row>
    <row r="2045" spans="39:59">
      <c r="AM2045" s="2"/>
      <c r="AN2045" s="2"/>
      <c r="AQ2045" s="1"/>
      <c r="BG2045" s="1"/>
    </row>
    <row r="2046" spans="39:59">
      <c r="AM2046" s="2"/>
      <c r="AN2046" s="2"/>
      <c r="AQ2046" s="1"/>
      <c r="BG2046" s="1"/>
    </row>
    <row r="2047" spans="39:59">
      <c r="AM2047" s="2"/>
      <c r="AN2047" s="2"/>
      <c r="AQ2047" s="1"/>
      <c r="BG2047" s="1"/>
    </row>
    <row r="2048" spans="39:59">
      <c r="AM2048" s="2"/>
      <c r="AN2048" s="2"/>
      <c r="AQ2048" s="1"/>
      <c r="BG2048" s="1"/>
    </row>
    <row r="2049" spans="39:81">
      <c r="AM2049" s="2"/>
      <c r="AN2049" s="2"/>
      <c r="AQ2049" s="1"/>
      <c r="BG2049" s="1"/>
    </row>
    <row r="2050" spans="39:81">
      <c r="AM2050" s="2"/>
      <c r="AN2050" s="2"/>
      <c r="AQ2050" s="1"/>
      <c r="BG2050" s="1"/>
    </row>
    <row r="2051" spans="39:81">
      <c r="AM2051" s="2"/>
      <c r="AN2051" s="2"/>
      <c r="AQ2051" s="1"/>
    </row>
    <row r="2052" spans="39:81">
      <c r="AM2052" s="2"/>
      <c r="AN2052" s="2"/>
      <c r="AS2052">
        <v>-11.158836132284099</v>
      </c>
      <c r="AT2052">
        <v>-18.289072400985798</v>
      </c>
      <c r="CB2052">
        <v>-11.158836132284099</v>
      </c>
      <c r="CC2052">
        <v>-7.1416551246618303</v>
      </c>
    </row>
    <row r="2053" spans="39:81">
      <c r="AM2053" s="2"/>
      <c r="AN2053" s="2"/>
      <c r="AS2053">
        <v>-11.3022678277793</v>
      </c>
      <c r="AT2053">
        <v>-17.0687357440776</v>
      </c>
      <c r="CB2053">
        <v>-11.3022678277793</v>
      </c>
      <c r="CC2053">
        <v>-7.2334514097787999</v>
      </c>
    </row>
    <row r="2054" spans="39:81">
      <c r="AM2054" s="2"/>
      <c r="AN2054" s="2"/>
      <c r="AS2054">
        <v>-11.4435850033737</v>
      </c>
      <c r="AT2054">
        <v>-15.927762460092501</v>
      </c>
      <c r="CB2054">
        <v>-11.4435850033737</v>
      </c>
      <c r="CC2054">
        <v>-7.3238944021592003</v>
      </c>
    </row>
    <row r="2055" spans="39:81">
      <c r="AM2055" s="2"/>
      <c r="AN2055" s="2"/>
      <c r="AS2055">
        <v>-11.5130096002573</v>
      </c>
      <c r="AT2055">
        <v>-14.6802922320325</v>
      </c>
      <c r="CB2055">
        <v>-11.5130096002573</v>
      </c>
      <c r="CC2055">
        <v>-7.3683261441647101</v>
      </c>
    </row>
    <row r="2056" spans="39:81">
      <c r="AM2056" s="2"/>
      <c r="AN2056" s="2"/>
      <c r="AS2056">
        <v>-11.6153976686379</v>
      </c>
      <c r="AT2056">
        <v>-13.740624695813599</v>
      </c>
      <c r="CB2056">
        <v>-11.6153976686379</v>
      </c>
      <c r="CC2056">
        <v>-7.4338545079282801</v>
      </c>
    </row>
    <row r="2057" spans="39:81">
      <c r="AM2057" s="2"/>
      <c r="AN2057" s="2"/>
      <c r="AS2057">
        <v>-11.663010651296</v>
      </c>
      <c r="AT2057">
        <v>-12.470236516785601</v>
      </c>
      <c r="CB2057">
        <v>-11.663010651296</v>
      </c>
      <c r="CC2057">
        <v>-7.4643268168294696</v>
      </c>
    </row>
    <row r="2058" spans="39:81">
      <c r="AM2058" s="2"/>
      <c r="AN2058" s="2"/>
      <c r="AS2058">
        <v>-11.6921054191432</v>
      </c>
      <c r="AT2058">
        <v>-11.2587520152249</v>
      </c>
      <c r="CB2058">
        <v>-11.6921054191432</v>
      </c>
      <c r="CC2058">
        <v>-7.4829474682516599</v>
      </c>
    </row>
    <row r="2059" spans="39:81">
      <c r="AM2059" s="2"/>
      <c r="AN2059" s="2"/>
      <c r="AS2059">
        <v>-11.7587334679113</v>
      </c>
      <c r="AT2059">
        <v>-9.9291690720733001</v>
      </c>
      <c r="CB2059">
        <v>-11.7587334679113</v>
      </c>
      <c r="CC2059">
        <v>-7.5255894194632704</v>
      </c>
    </row>
    <row r="2060" spans="39:81">
      <c r="AM2060" s="2"/>
      <c r="AN2060" s="2"/>
      <c r="AS2060">
        <v>-11.787852760359</v>
      </c>
      <c r="AT2060">
        <v>-8.3038714657405404</v>
      </c>
      <c r="CB2060">
        <v>-11.787852760359</v>
      </c>
      <c r="CC2060">
        <v>-7.5442257666297898</v>
      </c>
    </row>
    <row r="2061" spans="39:81">
      <c r="AM2061" s="2"/>
      <c r="AN2061" s="2"/>
      <c r="AS2061">
        <v>-11.867210983268301</v>
      </c>
      <c r="AT2061">
        <v>-7.0037492095451599</v>
      </c>
      <c r="CB2061">
        <v>-11.867210983268301</v>
      </c>
      <c r="CC2061">
        <v>-7.5950150292917096</v>
      </c>
    </row>
    <row r="2062" spans="39:81">
      <c r="AM2062" s="2"/>
      <c r="AN2062" s="2"/>
      <c r="AS2062">
        <v>-11.9388584749858</v>
      </c>
      <c r="AT2062">
        <v>-5.5535521314187202</v>
      </c>
      <c r="CB2062">
        <v>-11.9388584749858</v>
      </c>
      <c r="CC2062">
        <v>-7.6408694239909201</v>
      </c>
    </row>
    <row r="2063" spans="39:81">
      <c r="AM2063" s="2"/>
      <c r="AN2063" s="2"/>
      <c r="AS2063">
        <v>-11.9593282198691</v>
      </c>
      <c r="AT2063">
        <v>-4.3836952110023404</v>
      </c>
      <c r="CB2063">
        <v>-11.9593282198691</v>
      </c>
      <c r="CC2063">
        <v>-7.6539700607162704</v>
      </c>
    </row>
    <row r="2064" spans="39:81">
      <c r="AM2064" s="2"/>
      <c r="AN2064" s="2"/>
      <c r="AS2064">
        <v>-11.979335046500699</v>
      </c>
      <c r="AT2064">
        <v>-3.3338585908126102</v>
      </c>
      <c r="CB2064">
        <v>-11.979335046500699</v>
      </c>
      <c r="CC2064">
        <v>-7.6667744297604798</v>
      </c>
    </row>
    <row r="2065" spans="39:81">
      <c r="AM2065" s="2"/>
      <c r="AN2065" s="2"/>
      <c r="AS2065">
        <v>-11.9327500781485</v>
      </c>
      <c r="AT2065">
        <v>-2.1069940206256601</v>
      </c>
      <c r="CB2065">
        <v>-11.9327500781485</v>
      </c>
      <c r="CC2065">
        <v>-7.6369600500150803</v>
      </c>
    </row>
    <row r="2066" spans="39:81">
      <c r="AM2066" s="2"/>
      <c r="AN2066" s="2"/>
      <c r="AS2066">
        <v>-11.8889783172619</v>
      </c>
      <c r="AT2066">
        <v>-0.77384535943423305</v>
      </c>
      <c r="CB2066">
        <v>-11.8889783172619</v>
      </c>
      <c r="CC2066">
        <v>-7.6089461230476498</v>
      </c>
    </row>
    <row r="2067" spans="39:81">
      <c r="AM2067" s="2"/>
      <c r="AN2067" s="2"/>
      <c r="AS2067">
        <v>-11.8912315495692</v>
      </c>
      <c r="AT2067">
        <v>0.71589248516339399</v>
      </c>
      <c r="CB2067">
        <v>-11.8912315495692</v>
      </c>
      <c r="CC2067">
        <v>-7.6103881917243097</v>
      </c>
    </row>
    <row r="2068" spans="39:81">
      <c r="AM2068" s="2"/>
      <c r="AN2068" s="2"/>
      <c r="AS2068">
        <v>-11.868189329176801</v>
      </c>
      <c r="AT2068">
        <v>2.2979100701352402</v>
      </c>
      <c r="CB2068">
        <v>-11.868189329176801</v>
      </c>
      <c r="CC2068">
        <v>-7.5956411706731899</v>
      </c>
    </row>
    <row r="2069" spans="39:81">
      <c r="AM2069" s="2"/>
      <c r="AN2069" s="2"/>
      <c r="AS2069">
        <v>-11.8720595279365</v>
      </c>
      <c r="AT2069">
        <v>3.7246274024916199</v>
      </c>
      <c r="CB2069">
        <v>-11.8720595279365</v>
      </c>
      <c r="CC2069">
        <v>-7.5981180978793796</v>
      </c>
    </row>
    <row r="2070" spans="39:81">
      <c r="AM2070" s="2"/>
      <c r="AN2070" s="2"/>
      <c r="AS2070">
        <v>-11.845805873044799</v>
      </c>
      <c r="AT2070">
        <v>4.9096458904063596</v>
      </c>
      <c r="CB2070">
        <v>-11.845805873044799</v>
      </c>
      <c r="CC2070">
        <v>-7.5813157587486701</v>
      </c>
    </row>
    <row r="2071" spans="39:81">
      <c r="AM2071" s="2"/>
      <c r="AN2071" s="2"/>
      <c r="AS2071">
        <v>-11.756113054784199</v>
      </c>
      <c r="AT2071">
        <v>6.1397538091554704</v>
      </c>
      <c r="CB2071">
        <v>-11.756113054784199</v>
      </c>
      <c r="CC2071">
        <v>-7.5239123550619196</v>
      </c>
    </row>
    <row r="2072" spans="39:81">
      <c r="AM2072" s="2"/>
      <c r="AN2072" s="2"/>
      <c r="AS2072">
        <v>-11.7019043782295</v>
      </c>
      <c r="AT2072">
        <v>7.2055255649154004</v>
      </c>
      <c r="CB2072">
        <v>-11.7019043782295</v>
      </c>
      <c r="CC2072">
        <v>-7.4892188020669099</v>
      </c>
    </row>
    <row r="2073" spans="39:81">
      <c r="AM2073" s="2"/>
      <c r="AN2073" s="2"/>
      <c r="AS2073">
        <v>-11.6195195141428</v>
      </c>
      <c r="AT2073">
        <v>8.5591617388963908</v>
      </c>
      <c r="CB2073">
        <v>-11.6195195141428</v>
      </c>
      <c r="CC2073">
        <v>-7.4364924890514299</v>
      </c>
    </row>
    <row r="2074" spans="39:81">
      <c r="AM2074" s="2"/>
      <c r="AN2074" s="2"/>
      <c r="AS2074">
        <v>-11.551351816621899</v>
      </c>
      <c r="AT2074">
        <v>9.9294047790586095</v>
      </c>
      <c r="CB2074">
        <v>-11.551351816621899</v>
      </c>
      <c r="CC2074">
        <v>-7.3928651626380502</v>
      </c>
    </row>
    <row r="2075" spans="39:81">
      <c r="AM2075" s="2"/>
      <c r="AN2075" s="2"/>
      <c r="AS2075">
        <v>-11.513512221643101</v>
      </c>
      <c r="AT2075">
        <v>11.1555865172817</v>
      </c>
      <c r="CB2075">
        <v>-11.513512221643101</v>
      </c>
      <c r="CC2075">
        <v>-7.3686478218516198</v>
      </c>
    </row>
    <row r="2076" spans="39:81">
      <c r="AM2076" s="2"/>
      <c r="AN2076" s="2"/>
      <c r="AS2076">
        <v>-11.420399554777401</v>
      </c>
      <c r="AT2076">
        <v>12.605418012299101</v>
      </c>
      <c r="CB2076">
        <v>-11.420399554777401</v>
      </c>
      <c r="CC2076">
        <v>-7.3090557150575499</v>
      </c>
    </row>
    <row r="2077" spans="39:81">
      <c r="AM2077" s="2"/>
      <c r="AN2077" s="2"/>
      <c r="AS2077">
        <v>-11.361834238059201</v>
      </c>
      <c r="AT2077">
        <v>13.8102439612318</v>
      </c>
      <c r="CB2077">
        <v>-11.361834238059201</v>
      </c>
      <c r="CC2077">
        <v>-7.2715739123579102</v>
      </c>
    </row>
    <row r="2078" spans="39:81">
      <c r="AM2078" s="2"/>
      <c r="AN2078" s="2"/>
      <c r="AS2078">
        <v>-11.269989523764201</v>
      </c>
      <c r="AT2078">
        <v>15.070086881412999</v>
      </c>
      <c r="CB2078">
        <v>-11.269989523764201</v>
      </c>
      <c r="CC2078">
        <v>-7.2127932952090896</v>
      </c>
    </row>
    <row r="2079" spans="39:81">
      <c r="AM2079" s="2"/>
      <c r="AN2079" s="2"/>
      <c r="AS2079">
        <v>-11.153443450924801</v>
      </c>
      <c r="AT2079">
        <v>16.152800183434401</v>
      </c>
      <c r="CB2079">
        <v>-11.153443450924801</v>
      </c>
      <c r="CC2079">
        <v>-7.1382038085918902</v>
      </c>
    </row>
    <row r="2080" spans="39:81">
      <c r="AM2080" s="2"/>
      <c r="AN2080" s="2"/>
      <c r="AS2080">
        <v>-11.0652315038431</v>
      </c>
      <c r="AT2080">
        <v>17.220696320502</v>
      </c>
      <c r="CB2080">
        <v>-11.0652315038431</v>
      </c>
      <c r="CC2080">
        <v>-7.0817481624595802</v>
      </c>
    </row>
    <row r="2081" spans="39:81">
      <c r="AM2081" s="2"/>
      <c r="AN2081" s="2"/>
      <c r="AS2081">
        <v>-10.934234932251799</v>
      </c>
      <c r="AT2081">
        <v>18.284326087165599</v>
      </c>
      <c r="CB2081">
        <v>-10.934234932251799</v>
      </c>
      <c r="CC2081">
        <v>-6.9979103566411798</v>
      </c>
    </row>
    <row r="2082" spans="39:81">
      <c r="AM2082" s="2"/>
      <c r="AN2082" s="2"/>
      <c r="AS2082">
        <v>-10.8280382456177</v>
      </c>
      <c r="AT2082">
        <v>19.4232109521379</v>
      </c>
      <c r="CB2082">
        <v>-10.8280382456177</v>
      </c>
      <c r="CC2082">
        <v>-6.9299444771953898</v>
      </c>
    </row>
    <row r="2083" spans="39:81">
      <c r="AM2083" s="2"/>
      <c r="AN2083" s="2"/>
      <c r="AS2083">
        <v>-10.7442443960798</v>
      </c>
      <c r="AT2083">
        <v>20.7198787582793</v>
      </c>
      <c r="CB2083">
        <v>-10.7442443960798</v>
      </c>
      <c r="CC2083">
        <v>-6.8763164134910904</v>
      </c>
    </row>
    <row r="2084" spans="39:81">
      <c r="AM2084" s="2"/>
      <c r="AN2084" s="2"/>
      <c r="AS2084">
        <v>-10.6452076794266</v>
      </c>
      <c r="AT2084">
        <v>21.973848077371301</v>
      </c>
      <c r="CB2084">
        <v>-10.6452076794266</v>
      </c>
      <c r="CC2084">
        <v>-6.8129329148330502</v>
      </c>
    </row>
    <row r="2085" spans="39:81">
      <c r="AM2085" s="2"/>
      <c r="AN2085" s="2"/>
      <c r="AS2085">
        <v>-10.573539815638799</v>
      </c>
      <c r="AT2085">
        <v>23.1296291470581</v>
      </c>
      <c r="CB2085">
        <v>-10.573539815638799</v>
      </c>
      <c r="CC2085">
        <v>-6.76706548200886</v>
      </c>
    </row>
    <row r="2086" spans="39:81">
      <c r="AM2086" s="2"/>
      <c r="AN2086" s="2"/>
      <c r="AS2086">
        <v>-10.461688184106301</v>
      </c>
      <c r="AT2086">
        <v>24.2069154889918</v>
      </c>
      <c r="CB2086">
        <v>-10.461688184106301</v>
      </c>
      <c r="CC2086">
        <v>-6.6954804378280501</v>
      </c>
    </row>
    <row r="2087" spans="39:81">
      <c r="AM2087" s="2"/>
      <c r="AN2087" s="2"/>
      <c r="AS2087">
        <v>-10.3323929801721</v>
      </c>
      <c r="AT2087">
        <v>25.108548160148199</v>
      </c>
      <c r="CB2087">
        <v>-10.3323929801721</v>
      </c>
      <c r="CC2087">
        <v>-6.6127315073101602</v>
      </c>
    </row>
    <row r="2088" spans="39:81">
      <c r="AM2088" s="2"/>
      <c r="AN2088" s="2"/>
      <c r="AS2088">
        <v>-10.2162733907325</v>
      </c>
      <c r="AT2088">
        <v>26.1405293477995</v>
      </c>
      <c r="CB2088">
        <v>-10.2162733907325</v>
      </c>
      <c r="CC2088">
        <v>-6.5384149700688496</v>
      </c>
    </row>
    <row r="2089" spans="39:81">
      <c r="AM2089" s="2"/>
      <c r="AN2089" s="2"/>
      <c r="AS2089">
        <v>-10.0558022344369</v>
      </c>
      <c r="AT2089">
        <v>27.344573698770699</v>
      </c>
      <c r="CB2089">
        <v>-10.0558022344369</v>
      </c>
      <c r="CC2089">
        <v>-6.4357134300396499</v>
      </c>
    </row>
    <row r="2090" spans="39:81">
      <c r="AM2090" s="2"/>
      <c r="AN2090" s="2"/>
      <c r="AS2090">
        <v>-9.9069731427213394</v>
      </c>
      <c r="AT2090">
        <v>28.512797095785899</v>
      </c>
      <c r="CB2090">
        <v>-9.9069731427213394</v>
      </c>
      <c r="CC2090">
        <v>-6.3404628113416601</v>
      </c>
    </row>
    <row r="2091" spans="39:81">
      <c r="AM2091" s="2"/>
      <c r="AN2091" s="2"/>
      <c r="AS2091">
        <v>-9.7548579280643803</v>
      </c>
      <c r="AT2091">
        <v>29.859399892562799</v>
      </c>
      <c r="CB2091">
        <v>-9.7548579280643803</v>
      </c>
      <c r="CC2091">
        <v>-6.2431090739612003</v>
      </c>
    </row>
    <row r="2092" spans="39:81">
      <c r="AM2092" s="2"/>
      <c r="AN2092" s="2"/>
      <c r="AS2092">
        <v>-9.5753352894530401</v>
      </c>
      <c r="AT2092">
        <v>31.012992328694299</v>
      </c>
      <c r="CB2092">
        <v>-9.5753352894530401</v>
      </c>
      <c r="CC2092">
        <v>-6.1282145852499497</v>
      </c>
    </row>
    <row r="2093" spans="39:81">
      <c r="AM2093" s="2"/>
      <c r="AN2093" s="2"/>
      <c r="AS2093">
        <v>-9.4123624984955097</v>
      </c>
      <c r="AT2093">
        <v>32.043249649497596</v>
      </c>
      <c r="CB2093">
        <v>-9.4123624984955097</v>
      </c>
      <c r="CC2093">
        <v>-6.0239119990371304</v>
      </c>
    </row>
    <row r="2094" spans="39:81">
      <c r="AM2094" s="2"/>
      <c r="AN2094" s="2"/>
      <c r="AS2094">
        <v>-9.2562730714173291</v>
      </c>
      <c r="AT2094">
        <v>33.0155770374311</v>
      </c>
      <c r="CB2094">
        <v>-9.2562730714173291</v>
      </c>
      <c r="CC2094">
        <v>-5.9240147657070903</v>
      </c>
    </row>
    <row r="2095" spans="39:81">
      <c r="AM2095" s="2"/>
      <c r="AN2095" s="2"/>
      <c r="AS2095">
        <v>-9.0739219193422294</v>
      </c>
      <c r="AT2095">
        <v>33.8988197528003</v>
      </c>
      <c r="CB2095">
        <v>-9.0739219193422294</v>
      </c>
      <c r="CC2095">
        <v>-5.80731002837903</v>
      </c>
    </row>
    <row r="2096" spans="39:81">
      <c r="AM2096" s="2"/>
      <c r="AN2096" s="2"/>
      <c r="AS2096">
        <v>-8.9038388408285201</v>
      </c>
      <c r="AT2096">
        <v>34.931248541517903</v>
      </c>
      <c r="CB2096">
        <v>-8.9038388408285201</v>
      </c>
      <c r="CC2096">
        <v>-5.6984568581302497</v>
      </c>
    </row>
    <row r="2097" spans="39:81">
      <c r="AM2097" s="2"/>
      <c r="AN2097" s="2"/>
      <c r="AS2097">
        <v>-8.6980902460715299</v>
      </c>
      <c r="AT2097">
        <v>35.879428584098399</v>
      </c>
      <c r="CB2097">
        <v>-8.6980902460715299</v>
      </c>
      <c r="CC2097">
        <v>-5.56677775748578</v>
      </c>
    </row>
    <row r="2098" spans="39:81">
      <c r="AM2098" s="2"/>
      <c r="AN2098" s="2"/>
      <c r="AS2098">
        <v>-8.4818268079327108</v>
      </c>
      <c r="AT2098">
        <v>36.875224256896402</v>
      </c>
      <c r="CB2098">
        <v>-8.4818268079327108</v>
      </c>
      <c r="CC2098">
        <v>-5.4283691570769301</v>
      </c>
    </row>
    <row r="2099" spans="39:81">
      <c r="AM2099" s="2"/>
      <c r="AN2099" s="2"/>
      <c r="AS2099">
        <v>-8.2883453302013592</v>
      </c>
      <c r="AT2099">
        <v>37.978805135677199</v>
      </c>
      <c r="CB2099">
        <v>-8.2883453302013592</v>
      </c>
      <c r="CC2099">
        <v>-5.3045410113288698</v>
      </c>
    </row>
    <row r="2100" spans="39:81">
      <c r="AM2100" s="2"/>
      <c r="AN2100" s="2"/>
      <c r="AS2100">
        <v>-8.0685793990892005</v>
      </c>
      <c r="AT2100">
        <v>38.713013987179501</v>
      </c>
      <c r="CB2100">
        <v>-8.0685793990892005</v>
      </c>
      <c r="CC2100">
        <v>-5.1638908154170897</v>
      </c>
    </row>
    <row r="2101" spans="39:81">
      <c r="AM2101" s="2"/>
      <c r="AN2101" s="2"/>
      <c r="AS2101">
        <v>-7.8516804053518996</v>
      </c>
      <c r="AT2101">
        <v>39.640201047583503</v>
      </c>
      <c r="CB2101">
        <v>-7.8516804053518996</v>
      </c>
      <c r="CC2101">
        <v>-5.0250754594252101</v>
      </c>
    </row>
    <row r="2102" spans="39:81">
      <c r="AM2102" s="2"/>
      <c r="AN2102" s="2"/>
      <c r="AS2102">
        <v>-7.6410879715770497</v>
      </c>
      <c r="AT2102">
        <v>40.180179653985498</v>
      </c>
      <c r="CB2102">
        <v>-7.6410879715770497</v>
      </c>
      <c r="CC2102">
        <v>-4.8902963018093102</v>
      </c>
    </row>
    <row r="2103" spans="39:81">
      <c r="AM2103" s="2"/>
      <c r="AN2103" s="2"/>
      <c r="AS2103">
        <v>-7.4152324438769401</v>
      </c>
      <c r="AT2103">
        <v>40.714855280687701</v>
      </c>
      <c r="CB2103">
        <v>-7.4152324438769401</v>
      </c>
      <c r="CC2103">
        <v>-4.7457487640812399</v>
      </c>
    </row>
    <row r="2104" spans="39:81">
      <c r="AM2104" s="2"/>
      <c r="AN2104" s="2"/>
      <c r="AS2104">
        <v>-7.2195445407045504</v>
      </c>
      <c r="AT2104">
        <v>41.475785423112598</v>
      </c>
      <c r="CB2104">
        <v>-7.2195445407045504</v>
      </c>
      <c r="CC2104">
        <v>-4.6205085060509097</v>
      </c>
    </row>
    <row r="2105" spans="39:81">
      <c r="AM2105" s="2"/>
      <c r="AN2105" s="2"/>
      <c r="AS2105">
        <v>-7.0229033194894797</v>
      </c>
      <c r="AT2105">
        <v>42.095286124462703</v>
      </c>
      <c r="CB2105">
        <v>-7.0229033194894797</v>
      </c>
      <c r="CC2105">
        <v>-4.4946581244732604</v>
      </c>
    </row>
    <row r="2106" spans="39:81">
      <c r="AM2106" s="2"/>
      <c r="AN2106" s="2"/>
      <c r="AS2106">
        <v>-6.8115961765730297</v>
      </c>
      <c r="AT2106">
        <v>43.0031144927367</v>
      </c>
      <c r="CB2106">
        <v>-6.8115961765730297</v>
      </c>
      <c r="CC2106">
        <v>-4.3594215530067402</v>
      </c>
    </row>
    <row r="2107" spans="39:81">
      <c r="AM2107" s="2"/>
      <c r="AN2107" s="2"/>
      <c r="AS2107">
        <v>-6.5968004548536898</v>
      </c>
      <c r="AT2107">
        <v>43.814246218035798</v>
      </c>
      <c r="CB2107">
        <v>-6.5968004548536898</v>
      </c>
      <c r="CC2107">
        <v>-4.2219522911063603</v>
      </c>
    </row>
    <row r="2108" spans="39:81">
      <c r="AM2108" s="2"/>
      <c r="AN2108" s="2"/>
      <c r="AS2108">
        <v>-6.3455616561397301</v>
      </c>
      <c r="AT2108">
        <v>44.427762283719403</v>
      </c>
      <c r="CB2108">
        <v>-6.3455616561397301</v>
      </c>
      <c r="CC2108">
        <v>-4.0611594599294296</v>
      </c>
    </row>
    <row r="2109" spans="39:81">
      <c r="AM2109" s="2"/>
      <c r="AN2109" s="2"/>
      <c r="AS2109">
        <v>-6.1008086754805504</v>
      </c>
      <c r="AT2109">
        <v>44.910448752774798</v>
      </c>
      <c r="CB2109">
        <v>-6.1008086754805504</v>
      </c>
      <c r="CC2109">
        <v>-3.9045175523075502</v>
      </c>
    </row>
    <row r="2110" spans="39:81">
      <c r="AM2110" s="2"/>
      <c r="AN2110" s="2"/>
      <c r="AS2110">
        <v>-5.8644980218479104</v>
      </c>
      <c r="AT2110">
        <v>45.282020523860901</v>
      </c>
      <c r="CB2110">
        <v>-5.8644980218479104</v>
      </c>
      <c r="CC2110">
        <v>-3.7532787339826599</v>
      </c>
    </row>
    <row r="2111" spans="39:81">
      <c r="AM2111" s="2"/>
      <c r="AN2111" s="2"/>
      <c r="AS2111">
        <v>-5.6065900990228901</v>
      </c>
      <c r="AT2111">
        <v>45.574509276690897</v>
      </c>
      <c r="CB2111">
        <v>-5.6065900990228901</v>
      </c>
      <c r="CC2111">
        <v>-3.5882176633746501</v>
      </c>
    </row>
    <row r="2112" spans="39:81">
      <c r="AM2112" s="2"/>
      <c r="AN2112" s="2"/>
      <c r="AS2112">
        <v>-5.3655579817858996</v>
      </c>
      <c r="AT2112">
        <v>46.110468498837399</v>
      </c>
      <c r="CB2112">
        <v>-5.3655579817858996</v>
      </c>
      <c r="CC2112">
        <v>-3.4339571083429701</v>
      </c>
    </row>
    <row r="2113" spans="39:81">
      <c r="AM2113" s="2"/>
      <c r="AN2113" s="2"/>
      <c r="AS2113">
        <v>-5.0835174771060299</v>
      </c>
      <c r="AT2113">
        <v>46.687828198107702</v>
      </c>
      <c r="CB2113">
        <v>-5.0835174771060299</v>
      </c>
      <c r="CC2113">
        <v>-3.2534511853478598</v>
      </c>
    </row>
    <row r="2114" spans="39:81">
      <c r="AM2114" s="2"/>
      <c r="AN2114" s="2"/>
      <c r="AS2114">
        <v>-4.7774806946112403</v>
      </c>
      <c r="AT2114">
        <v>47.195024115373101</v>
      </c>
      <c r="CB2114">
        <v>-4.7774806946112403</v>
      </c>
      <c r="CC2114">
        <v>-3.05758764455119</v>
      </c>
    </row>
    <row r="2115" spans="39:81">
      <c r="AM2115" s="2"/>
      <c r="AN2115" s="2"/>
      <c r="AS2115">
        <v>-4.48489185781043</v>
      </c>
      <c r="AT2115">
        <v>47.820823478011199</v>
      </c>
      <c r="CB2115">
        <v>-4.48489185781043</v>
      </c>
      <c r="CC2115">
        <v>-2.87033078899867</v>
      </c>
    </row>
    <row r="2116" spans="39:81">
      <c r="AM2116" s="2"/>
      <c r="AN2116" s="2"/>
      <c r="AS2116">
        <v>-4.1601187308465502</v>
      </c>
      <c r="AT2116">
        <v>47.967640787195101</v>
      </c>
      <c r="CB2116">
        <v>-4.1601187308465502</v>
      </c>
      <c r="CC2116">
        <v>-2.6624759877417898</v>
      </c>
    </row>
    <row r="2117" spans="39:81">
      <c r="AM2117" s="2"/>
      <c r="AN2117" s="2"/>
      <c r="AS2117">
        <v>-3.8639354267352002</v>
      </c>
      <c r="AT2117">
        <v>48.279147794238497</v>
      </c>
      <c r="CB2117">
        <v>-3.8639354267352002</v>
      </c>
      <c r="CC2117">
        <v>-2.4729186731105299</v>
      </c>
    </row>
    <row r="2118" spans="39:81">
      <c r="AM2118" s="2"/>
      <c r="AN2118" s="2"/>
      <c r="AS2118">
        <v>-3.5666812950528302</v>
      </c>
      <c r="AT2118">
        <v>48.541240033657402</v>
      </c>
      <c r="CB2118">
        <v>-3.5666812950528302</v>
      </c>
      <c r="CC2118">
        <v>-2.2826760288338099</v>
      </c>
    </row>
    <row r="2119" spans="39:81">
      <c r="AM2119" s="2"/>
      <c r="AN2119" s="2"/>
      <c r="AS2119">
        <v>-3.2548632612581301</v>
      </c>
      <c r="AT2119">
        <v>48.683084724596903</v>
      </c>
      <c r="CB2119">
        <v>-3.2548632612581301</v>
      </c>
      <c r="CC2119">
        <v>-2.0831124872052</v>
      </c>
    </row>
    <row r="2120" spans="39:81">
      <c r="AM2120" s="2"/>
      <c r="AN2120" s="2"/>
      <c r="AS2120">
        <v>-2.9564330591627401</v>
      </c>
      <c r="AT2120">
        <v>49.117245745285601</v>
      </c>
      <c r="CB2120">
        <v>-2.9564330591627401</v>
      </c>
      <c r="CC2120">
        <v>-1.89211715786415</v>
      </c>
    </row>
    <row r="2121" spans="39:81">
      <c r="AM2121" s="2"/>
      <c r="AN2121" s="2"/>
      <c r="AS2121">
        <v>-2.6260777032199898</v>
      </c>
      <c r="AT2121">
        <v>49.365323300395801</v>
      </c>
      <c r="CB2121">
        <v>-2.6260777032199898</v>
      </c>
      <c r="CC2121">
        <v>-1.6806897300607899</v>
      </c>
    </row>
    <row r="2122" spans="39:81">
      <c r="AM2122" s="2"/>
      <c r="AN2122" s="2"/>
      <c r="AS2122">
        <v>-2.31057410740625</v>
      </c>
      <c r="AT2122">
        <v>49.808739803677803</v>
      </c>
      <c r="CB2122">
        <v>-2.31057410740625</v>
      </c>
      <c r="CC2122">
        <v>-1.4787674287399999</v>
      </c>
    </row>
    <row r="2123" spans="39:81">
      <c r="AM2123" s="2"/>
      <c r="AN2123" s="2"/>
      <c r="AS2123">
        <v>-1.9855254798234601</v>
      </c>
      <c r="AT2123">
        <v>50.087675883966703</v>
      </c>
      <c r="CB2123">
        <v>-1.9855254798234601</v>
      </c>
      <c r="CC2123">
        <v>-1.2707363070870199</v>
      </c>
    </row>
    <row r="2124" spans="39:81">
      <c r="AM2124" s="2"/>
      <c r="AN2124" s="2"/>
      <c r="AS2124">
        <v>-1.6600074131915299</v>
      </c>
      <c r="AT2124">
        <v>50.315767780194101</v>
      </c>
      <c r="CB2124">
        <v>-1.6600074131915299</v>
      </c>
      <c r="CC2124">
        <v>-1.0624047444425799</v>
      </c>
    </row>
    <row r="2125" spans="39:81">
      <c r="AM2125" s="2"/>
      <c r="AN2125" s="2"/>
      <c r="AS2125">
        <v>-1.3624268221990701</v>
      </c>
      <c r="AT2125">
        <v>50.453221972049697</v>
      </c>
      <c r="CB2125">
        <v>-1.3624268221990701</v>
      </c>
      <c r="CC2125">
        <v>-0.87195316620740904</v>
      </c>
    </row>
    <row r="2126" spans="39:81">
      <c r="AM2126" s="2"/>
      <c r="AN2126" s="2"/>
      <c r="AS2126">
        <v>-1.0593781058257601</v>
      </c>
      <c r="AT2126">
        <v>50.457988257549403</v>
      </c>
      <c r="CB2126">
        <v>-1.0593781058257601</v>
      </c>
      <c r="CC2126">
        <v>-0.67800198772848896</v>
      </c>
    </row>
    <row r="2127" spans="39:81">
      <c r="AM2127" s="2"/>
      <c r="AN2127" s="2"/>
      <c r="AS2127">
        <v>-0.785480310755723</v>
      </c>
      <c r="AT2127">
        <v>50.556046962516497</v>
      </c>
      <c r="CB2127">
        <v>-0.785480310755723</v>
      </c>
      <c r="CC2127">
        <v>-0.502707398883662</v>
      </c>
    </row>
    <row r="2128" spans="39:81">
      <c r="AM2128" s="2"/>
      <c r="AN2128" s="2"/>
      <c r="AS2128">
        <v>-0.51769284562189799</v>
      </c>
      <c r="AT2128">
        <v>50.685342804773903</v>
      </c>
      <c r="CB2128">
        <v>-0.51769284562189799</v>
      </c>
      <c r="CC2128">
        <v>-0.331323421198014</v>
      </c>
    </row>
    <row r="2129" spans="39:81">
      <c r="AM2129" s="2"/>
      <c r="AN2129" s="2"/>
      <c r="AS2129">
        <v>-0.21161663152426599</v>
      </c>
      <c r="AT2129">
        <v>50.853382908077599</v>
      </c>
      <c r="CB2129">
        <v>-0.21161663152426599</v>
      </c>
      <c r="CC2129">
        <v>-0.13543464417553</v>
      </c>
    </row>
    <row r="2130" spans="39:81">
      <c r="AM2130" s="2"/>
      <c r="AN2130" s="2"/>
      <c r="AS2130">
        <v>6.3755095670272099E-2</v>
      </c>
      <c r="AT2130">
        <v>51.103709771333598</v>
      </c>
      <c r="CB2130">
        <v>6.3755095670272099E-2</v>
      </c>
      <c r="CC2130">
        <v>4.0803261228974097E-2</v>
      </c>
    </row>
    <row r="2131" spans="39:81">
      <c r="AM2131" s="2"/>
      <c r="AN2131" s="2"/>
      <c r="AS2131">
        <v>0.37425202022705401</v>
      </c>
      <c r="AT2131">
        <v>51.0970799984038</v>
      </c>
      <c r="CB2131">
        <v>0.37425202022705401</v>
      </c>
      <c r="CC2131">
        <v>0.23952129294531399</v>
      </c>
    </row>
    <row r="2132" spans="39:81">
      <c r="AM2132" s="2"/>
      <c r="AN2132" s="2"/>
      <c r="AS2132">
        <v>0.67680396435638601</v>
      </c>
      <c r="AT2132">
        <v>50.963979023464397</v>
      </c>
      <c r="CB2132">
        <v>0.67680396435638601</v>
      </c>
      <c r="CC2132">
        <v>0.433154537188087</v>
      </c>
    </row>
    <row r="2133" spans="39:81">
      <c r="AM2133" s="2"/>
      <c r="AN2133" s="2"/>
      <c r="AS2133">
        <v>0.95385988003054401</v>
      </c>
      <c r="AT2133">
        <v>50.804666878383301</v>
      </c>
      <c r="CB2133">
        <v>0.95385988003054401</v>
      </c>
      <c r="CC2133">
        <v>0.61047032321954797</v>
      </c>
    </row>
    <row r="2134" spans="39:81">
      <c r="AM2134" s="2"/>
      <c r="AN2134" s="2"/>
      <c r="AS2134">
        <v>1.2782579863418</v>
      </c>
      <c r="AT2134">
        <v>50.3908591846129</v>
      </c>
      <c r="CB2134">
        <v>1.2782579863418</v>
      </c>
      <c r="CC2134">
        <v>0.81808511125875705</v>
      </c>
    </row>
    <row r="2135" spans="39:81">
      <c r="AM2135" s="2"/>
      <c r="AN2135" s="2"/>
      <c r="AS2135">
        <v>1.57631584087391</v>
      </c>
      <c r="AT2135">
        <v>50.214264323159703</v>
      </c>
      <c r="CB2135">
        <v>1.57631584087391</v>
      </c>
      <c r="CC2135">
        <v>1.0088421381593</v>
      </c>
    </row>
    <row r="2136" spans="39:81">
      <c r="AM2136" s="2"/>
      <c r="AN2136" s="2"/>
      <c r="AS2136">
        <v>1.89558890854747</v>
      </c>
      <c r="AT2136">
        <v>50.024923420393101</v>
      </c>
      <c r="CB2136">
        <v>1.89558890854747</v>
      </c>
      <c r="CC2136">
        <v>1.2131769014703799</v>
      </c>
    </row>
    <row r="2137" spans="39:81">
      <c r="AM2137" s="2"/>
      <c r="AN2137" s="2"/>
      <c r="AS2137">
        <v>2.2238835771983498</v>
      </c>
      <c r="AT2137">
        <v>49.866990031831698</v>
      </c>
      <c r="CB2137">
        <v>2.2238835771983498</v>
      </c>
      <c r="CC2137">
        <v>1.42328548940694</v>
      </c>
    </row>
    <row r="2138" spans="39:81">
      <c r="AM2138" s="2"/>
      <c r="AN2138" s="2"/>
      <c r="AS2138">
        <v>2.5401644838297601</v>
      </c>
      <c r="AT2138">
        <v>49.7517872123316</v>
      </c>
      <c r="CB2138">
        <v>2.5401644838297601</v>
      </c>
      <c r="CC2138">
        <v>1.6257052696510399</v>
      </c>
    </row>
    <row r="2139" spans="39:81">
      <c r="AM2139" s="2"/>
      <c r="AN2139" s="2"/>
      <c r="AS2139">
        <v>2.8823998273837601</v>
      </c>
      <c r="AT2139">
        <v>49.392940248418199</v>
      </c>
      <c r="CB2139">
        <v>2.8823998273837601</v>
      </c>
      <c r="CC2139">
        <v>1.8447358895256101</v>
      </c>
    </row>
    <row r="2140" spans="39:81">
      <c r="AM2140" s="2"/>
      <c r="AN2140" s="2"/>
      <c r="AS2140">
        <v>3.1949288399676199</v>
      </c>
      <c r="AT2140">
        <v>49.175737907357401</v>
      </c>
      <c r="CB2140">
        <v>3.1949288399676199</v>
      </c>
      <c r="CC2140">
        <v>2.04475445757928</v>
      </c>
    </row>
    <row r="2141" spans="39:81">
      <c r="AM2141" s="2"/>
      <c r="AN2141" s="2"/>
      <c r="AS2141">
        <v>3.5098456048628401</v>
      </c>
      <c r="AT2141">
        <v>48.595973804528398</v>
      </c>
      <c r="CB2141">
        <v>3.5098456048628401</v>
      </c>
      <c r="CC2141">
        <v>2.2463011871122101</v>
      </c>
    </row>
    <row r="2142" spans="39:81">
      <c r="AM2142" s="2"/>
      <c r="AN2142" s="2"/>
      <c r="AS2142">
        <v>3.8048826437077499</v>
      </c>
      <c r="AT2142">
        <v>48.145614905388904</v>
      </c>
      <c r="CB2142">
        <v>3.8048826437077499</v>
      </c>
      <c r="CC2142">
        <v>2.43512489197296</v>
      </c>
    </row>
    <row r="2143" spans="39:81">
      <c r="AM2143" s="2"/>
      <c r="AN2143" s="2"/>
      <c r="AS2143">
        <v>4.0631985783916198</v>
      </c>
      <c r="AT2143">
        <v>47.853029108680403</v>
      </c>
      <c r="CB2143">
        <v>4.0631985783916198</v>
      </c>
      <c r="CC2143">
        <v>2.6004470901706398</v>
      </c>
    </row>
    <row r="2144" spans="39:81">
      <c r="AM2144" s="2"/>
      <c r="AN2144" s="2"/>
      <c r="AS2144">
        <v>4.3490839597258502</v>
      </c>
      <c r="AT2144">
        <v>47.411983450307503</v>
      </c>
      <c r="CB2144">
        <v>4.3490839597258502</v>
      </c>
      <c r="CC2144">
        <v>2.7834137342245402</v>
      </c>
    </row>
    <row r="2145" spans="39:81">
      <c r="AM2145" s="2"/>
      <c r="AN2145" s="2"/>
      <c r="AS2145">
        <v>4.6117301154022501</v>
      </c>
      <c r="AT2145">
        <v>47.447799913995901</v>
      </c>
      <c r="CB2145">
        <v>4.6117301154022501</v>
      </c>
      <c r="CC2145">
        <v>2.9515072738574402</v>
      </c>
    </row>
    <row r="2146" spans="39:81">
      <c r="AM2146" s="2"/>
      <c r="AN2146" s="2"/>
      <c r="AS2146">
        <v>4.8962830487392504</v>
      </c>
      <c r="AT2146">
        <v>47.135175590911302</v>
      </c>
      <c r="CB2146">
        <v>4.8962830487392504</v>
      </c>
      <c r="CC2146">
        <v>3.13362115119312</v>
      </c>
    </row>
    <row r="2147" spans="39:81">
      <c r="AM2147" s="2"/>
      <c r="AN2147" s="2"/>
      <c r="AS2147">
        <v>5.1813366015507301</v>
      </c>
      <c r="AT2147">
        <v>46.809473265665297</v>
      </c>
      <c r="CB2147">
        <v>5.1813366015507301</v>
      </c>
      <c r="CC2147">
        <v>3.3160554249924701</v>
      </c>
    </row>
    <row r="2148" spans="39:81">
      <c r="AM2148" s="2"/>
      <c r="AN2148" s="2"/>
      <c r="AS2148">
        <v>5.4181469500854096</v>
      </c>
      <c r="AT2148">
        <v>46.376261408776898</v>
      </c>
      <c r="CB2148">
        <v>5.4181469500854096</v>
      </c>
      <c r="CC2148">
        <v>3.46761404805466</v>
      </c>
    </row>
    <row r="2149" spans="39:81">
      <c r="AM2149" s="2"/>
      <c r="AN2149" s="2"/>
      <c r="AS2149">
        <v>5.6524336198442304</v>
      </c>
      <c r="AT2149">
        <v>45.593760088518202</v>
      </c>
      <c r="CB2149">
        <v>5.6524336198442304</v>
      </c>
      <c r="CC2149">
        <v>3.6175575167003098</v>
      </c>
    </row>
    <row r="2150" spans="39:81">
      <c r="AM2150" s="2"/>
      <c r="AN2150" s="2"/>
      <c r="AS2150">
        <v>5.85200652431483</v>
      </c>
      <c r="AT2150">
        <v>45.010476490728202</v>
      </c>
      <c r="CB2150">
        <v>5.85200652431483</v>
      </c>
      <c r="CC2150">
        <v>3.7452841755614901</v>
      </c>
    </row>
    <row r="2151" spans="39:81">
      <c r="AM2151" s="2"/>
      <c r="AN2151" s="2"/>
      <c r="AS2151">
        <v>6.0406683255209002</v>
      </c>
      <c r="AT2151">
        <v>44.512096379485101</v>
      </c>
      <c r="CB2151">
        <v>6.0406683255209002</v>
      </c>
      <c r="CC2151">
        <v>3.8660277283333699</v>
      </c>
    </row>
    <row r="2152" spans="39:81">
      <c r="AM2152" s="2"/>
      <c r="AN2152" s="2"/>
      <c r="AS2152">
        <v>6.2594611888434999</v>
      </c>
      <c r="AT2152">
        <v>44.117484369477197</v>
      </c>
      <c r="CB2152">
        <v>6.2594611888434999</v>
      </c>
      <c r="CC2152">
        <v>4.00605516085984</v>
      </c>
    </row>
    <row r="2153" spans="39:81">
      <c r="AM2153" s="2"/>
      <c r="AN2153" s="2"/>
      <c r="AS2153">
        <v>6.4761896291863001</v>
      </c>
      <c r="AT2153">
        <v>43.789401961979699</v>
      </c>
      <c r="CB2153">
        <v>6.4761896291863001</v>
      </c>
      <c r="CC2153">
        <v>4.1447613626792297</v>
      </c>
    </row>
    <row r="2154" spans="39:81">
      <c r="AM2154" s="2"/>
      <c r="AN2154" s="2"/>
      <c r="AS2154">
        <v>6.7003584728585199</v>
      </c>
      <c r="AT2154">
        <v>43.388155417892399</v>
      </c>
      <c r="CB2154">
        <v>6.7003584728585199</v>
      </c>
      <c r="CC2154">
        <v>4.2882294226294499</v>
      </c>
    </row>
    <row r="2155" spans="39:81">
      <c r="AM2155" s="2"/>
      <c r="AN2155" s="2"/>
      <c r="AS2155">
        <v>6.9187952097932399</v>
      </c>
      <c r="AT2155">
        <v>42.687307077951402</v>
      </c>
      <c r="CB2155">
        <v>6.9187952097932399</v>
      </c>
      <c r="CC2155">
        <v>4.4280289342676697</v>
      </c>
    </row>
    <row r="2156" spans="39:81">
      <c r="AM2156" s="2"/>
      <c r="AN2156" s="2"/>
      <c r="AS2156">
        <v>7.1077794899345399</v>
      </c>
      <c r="AT2156">
        <v>41.978943037000903</v>
      </c>
      <c r="CB2156">
        <v>7.1077794899345399</v>
      </c>
      <c r="CC2156">
        <v>4.5489788735580996</v>
      </c>
    </row>
    <row r="2157" spans="39:81">
      <c r="AM2157" s="2"/>
      <c r="AN2157" s="2"/>
      <c r="AS2157">
        <v>7.3123637463248699</v>
      </c>
      <c r="AT2157">
        <v>41.173999183330899</v>
      </c>
      <c r="CB2157">
        <v>7.3123637463248699</v>
      </c>
      <c r="CC2157">
        <v>4.67991279764792</v>
      </c>
    </row>
    <row r="2158" spans="39:81">
      <c r="AM2158" s="2"/>
      <c r="AN2158" s="2"/>
      <c r="AS2158">
        <v>7.5267583382192997</v>
      </c>
      <c r="AT2158">
        <v>40.339163605348901</v>
      </c>
      <c r="CB2158">
        <v>7.5267583382192997</v>
      </c>
      <c r="CC2158">
        <v>4.8171253364603501</v>
      </c>
    </row>
    <row r="2159" spans="39:81">
      <c r="AM2159" s="2"/>
      <c r="AN2159" s="2"/>
      <c r="AS2159">
        <v>7.7365921599865199</v>
      </c>
      <c r="AT2159">
        <v>39.777681604563803</v>
      </c>
      <c r="CB2159">
        <v>7.7365921599865199</v>
      </c>
      <c r="CC2159">
        <v>4.9514189823913703</v>
      </c>
    </row>
    <row r="2160" spans="39:81">
      <c r="AM2160" s="2"/>
      <c r="AN2160" s="2"/>
      <c r="AS2160">
        <v>7.9659162784816697</v>
      </c>
      <c r="AT2160">
        <v>38.892794643583102</v>
      </c>
      <c r="CB2160">
        <v>7.9659162784816697</v>
      </c>
      <c r="CC2160">
        <v>5.0981864182282699</v>
      </c>
    </row>
    <row r="2161" spans="39:81">
      <c r="AM2161" s="2"/>
      <c r="AN2161" s="2"/>
      <c r="AS2161">
        <v>8.16683917795398</v>
      </c>
      <c r="AT2161">
        <v>38.227505208473602</v>
      </c>
      <c r="CB2161">
        <v>8.16683917795398</v>
      </c>
      <c r="CC2161">
        <v>5.2267770738905499</v>
      </c>
    </row>
    <row r="2162" spans="39:81">
      <c r="AM2162" s="2"/>
      <c r="AN2162" s="2"/>
      <c r="AS2162">
        <v>8.3673540796740298</v>
      </c>
      <c r="AT2162">
        <v>37.4725057488264</v>
      </c>
      <c r="CB2162">
        <v>8.3673540796740298</v>
      </c>
      <c r="CC2162">
        <v>5.3551066109913803</v>
      </c>
    </row>
    <row r="2163" spans="39:81">
      <c r="AM2163" s="2"/>
      <c r="AN2163" s="2"/>
      <c r="AS2163">
        <v>8.5809063455738404</v>
      </c>
      <c r="AT2163">
        <v>36.539248478203803</v>
      </c>
      <c r="CB2163">
        <v>8.5809063455738404</v>
      </c>
      <c r="CC2163">
        <v>5.49178006116726</v>
      </c>
    </row>
    <row r="2164" spans="39:81">
      <c r="AM2164" s="2"/>
      <c r="AN2164" s="2"/>
      <c r="AS2164">
        <v>8.7603131347490706</v>
      </c>
      <c r="AT2164">
        <v>35.630488474014001</v>
      </c>
      <c r="CB2164">
        <v>8.7603131347490706</v>
      </c>
      <c r="CC2164">
        <v>5.6066004062393997</v>
      </c>
    </row>
    <row r="2165" spans="39:81">
      <c r="AM2165" s="2"/>
      <c r="AN2165" s="2"/>
      <c r="AS2165">
        <v>8.9640140613611496</v>
      </c>
      <c r="AT2165">
        <v>34.510078858975</v>
      </c>
      <c r="CB2165">
        <v>8.9640140613611496</v>
      </c>
      <c r="CC2165">
        <v>5.7369689992711397</v>
      </c>
    </row>
    <row r="2166" spans="39:81">
      <c r="AM2166" s="2"/>
      <c r="AN2166" s="2"/>
      <c r="AS2166">
        <v>9.1538831695612597</v>
      </c>
      <c r="AT2166">
        <v>33.458196846765603</v>
      </c>
      <c r="CB2166">
        <v>9.1538831695612597</v>
      </c>
      <c r="CC2166">
        <v>5.8584852285191999</v>
      </c>
    </row>
    <row r="2167" spans="39:81">
      <c r="AM2167" s="2"/>
      <c r="AN2167" s="2"/>
      <c r="AS2167">
        <v>9.3191765346786504</v>
      </c>
      <c r="AT2167">
        <v>32.407253395171402</v>
      </c>
      <c r="CB2167">
        <v>9.3191765346786504</v>
      </c>
      <c r="CC2167">
        <v>5.9642729821943297</v>
      </c>
    </row>
    <row r="2168" spans="39:81">
      <c r="AM2168" s="2"/>
      <c r="AN2168" s="2"/>
      <c r="AS2168">
        <v>9.5008967877120103</v>
      </c>
      <c r="AT2168">
        <v>31.464358012398101</v>
      </c>
      <c r="CB2168">
        <v>9.5008967877120103</v>
      </c>
      <c r="CC2168">
        <v>6.0805739441356899</v>
      </c>
    </row>
    <row r="2169" spans="39:81">
      <c r="AM2169" s="2"/>
      <c r="AN2169" s="2"/>
      <c r="AS2169">
        <v>9.6700067329764892</v>
      </c>
      <c r="AT2169">
        <v>30.549324346193501</v>
      </c>
      <c r="CB2169">
        <v>9.6700067329764892</v>
      </c>
      <c r="CC2169">
        <v>6.1888043091049498</v>
      </c>
    </row>
    <row r="2170" spans="39:81">
      <c r="AM2170" s="2"/>
      <c r="AN2170" s="2"/>
      <c r="AS2170">
        <v>9.8233981550508194</v>
      </c>
      <c r="AT2170">
        <v>29.512759948179099</v>
      </c>
      <c r="CB2170">
        <v>9.8233981550508194</v>
      </c>
      <c r="CC2170">
        <v>6.2869748192325297</v>
      </c>
    </row>
    <row r="2171" spans="39:81">
      <c r="AM2171" s="2"/>
      <c r="AN2171" s="2"/>
      <c r="AS2171">
        <v>9.9947811159210502</v>
      </c>
      <c r="AT2171">
        <v>28.403156286518399</v>
      </c>
      <c r="CB2171">
        <v>9.9947811159210502</v>
      </c>
      <c r="CC2171">
        <v>6.3966599141894704</v>
      </c>
    </row>
    <row r="2172" spans="39:81">
      <c r="AM2172" s="2"/>
      <c r="AN2172" s="2"/>
      <c r="AS2172">
        <v>10.1370905630114</v>
      </c>
      <c r="AT2172">
        <v>27.1239207477044</v>
      </c>
      <c r="CB2172">
        <v>10.1370905630114</v>
      </c>
      <c r="CC2172">
        <v>6.4877379603273004</v>
      </c>
    </row>
    <row r="2173" spans="39:81">
      <c r="AM2173" s="2"/>
      <c r="AN2173" s="2"/>
      <c r="AS2173">
        <v>10.281345632515199</v>
      </c>
      <c r="AT2173">
        <v>25.856506521938599</v>
      </c>
      <c r="CB2173">
        <v>10.281345632515199</v>
      </c>
      <c r="CC2173">
        <v>6.5800612048097502</v>
      </c>
    </row>
    <row r="2174" spans="39:81">
      <c r="AM2174" s="2"/>
      <c r="AN2174" s="2"/>
      <c r="AS2174">
        <v>10.4353099589396</v>
      </c>
      <c r="AT2174">
        <v>24.773159674083399</v>
      </c>
      <c r="CB2174">
        <v>10.4353099589396</v>
      </c>
      <c r="CC2174">
        <v>6.6785983737213801</v>
      </c>
    </row>
    <row r="2175" spans="39:81">
      <c r="AM2175" s="2"/>
      <c r="AN2175" s="2"/>
      <c r="AS2175">
        <v>10.538044951342901</v>
      </c>
      <c r="AT2175">
        <v>23.743901375644601</v>
      </c>
      <c r="CB2175">
        <v>10.538044951342901</v>
      </c>
      <c r="CC2175">
        <v>6.7443487688594796</v>
      </c>
    </row>
    <row r="2176" spans="39:81">
      <c r="AM2176" s="2"/>
      <c r="AN2176" s="2"/>
      <c r="AS2176">
        <v>10.6640272798581</v>
      </c>
      <c r="AT2176">
        <v>22.809072049028199</v>
      </c>
      <c r="CB2176">
        <v>10.6640272798581</v>
      </c>
      <c r="CC2176">
        <v>6.8249774591092098</v>
      </c>
    </row>
    <row r="2177" spans="39:81">
      <c r="AM2177" s="2"/>
      <c r="AN2177" s="2"/>
      <c r="AS2177">
        <v>10.7822876413521</v>
      </c>
      <c r="AT2177">
        <v>21.9022779665138</v>
      </c>
      <c r="CB2177">
        <v>10.7822876413521</v>
      </c>
      <c r="CC2177">
        <v>6.9006640904653898</v>
      </c>
    </row>
    <row r="2178" spans="39:81">
      <c r="AM2178" s="2"/>
      <c r="AN2178" s="2"/>
      <c r="AS2178">
        <v>10.8813113293456</v>
      </c>
      <c r="AT2178">
        <v>20.7418085039041</v>
      </c>
      <c r="CB2178">
        <v>10.8813113293456</v>
      </c>
      <c r="CC2178">
        <v>6.9640392507811901</v>
      </c>
    </row>
    <row r="2179" spans="39:81">
      <c r="AM2179" s="2"/>
      <c r="AN2179" s="2"/>
      <c r="AS2179">
        <v>11.034332724927999</v>
      </c>
      <c r="AT2179">
        <v>19.549184931365801</v>
      </c>
      <c r="CB2179">
        <v>11.034332724927999</v>
      </c>
      <c r="CC2179">
        <v>7.0619729439539496</v>
      </c>
    </row>
    <row r="2180" spans="39:81">
      <c r="AM2180" s="2"/>
      <c r="AN2180" s="2"/>
      <c r="AS2180">
        <v>11.1588356910743</v>
      </c>
      <c r="AT2180">
        <v>18.289075225297601</v>
      </c>
      <c r="CB2180">
        <v>11.1588356910743</v>
      </c>
      <c r="CC2180">
        <v>7.1416548422875703</v>
      </c>
    </row>
    <row r="2181" spans="39:81">
      <c r="AM2181" s="2"/>
      <c r="AN2181" s="2"/>
      <c r="AS2181">
        <v>11.3022669405606</v>
      </c>
      <c r="AT2181">
        <v>17.0687353516036</v>
      </c>
      <c r="CB2181">
        <v>11.3022669405606</v>
      </c>
      <c r="CC2181">
        <v>7.2334508419587999</v>
      </c>
    </row>
    <row r="2182" spans="39:81">
      <c r="AM2182" s="2"/>
      <c r="AN2182" s="2"/>
      <c r="AS2182">
        <v>11.4435839875015</v>
      </c>
      <c r="AT2182">
        <v>15.9277643603267</v>
      </c>
      <c r="CB2182">
        <v>11.4435839875015</v>
      </c>
      <c r="CC2182">
        <v>7.3238937520010197</v>
      </c>
    </row>
    <row r="2183" spans="39:81">
      <c r="AM2183" s="2"/>
      <c r="AN2183" s="2"/>
      <c r="AS2183">
        <v>11.5130089563618</v>
      </c>
      <c r="AT2183">
        <v>14.6802905824461</v>
      </c>
      <c r="CB2183">
        <v>11.5130089563618</v>
      </c>
      <c r="CC2183">
        <v>7.3683257320716002</v>
      </c>
    </row>
    <row r="2184" spans="39:81">
      <c r="AM2184" s="2"/>
      <c r="AN2184" s="2"/>
      <c r="AS2184">
        <v>11.6153970554845</v>
      </c>
      <c r="AT2184">
        <v>13.7406223004479</v>
      </c>
      <c r="CB2184">
        <v>11.6153970554845</v>
      </c>
      <c r="CC2184">
        <v>7.4338541155101296</v>
      </c>
    </row>
    <row r="2185" spans="39:81">
      <c r="AM2185" s="2"/>
      <c r="AN2185" s="2"/>
      <c r="AS2185">
        <v>11.6630106882576</v>
      </c>
      <c r="AT2185">
        <v>12.470239027619799</v>
      </c>
      <c r="CB2185">
        <v>11.6630106882576</v>
      </c>
      <c r="CC2185">
        <v>7.4643268404848797</v>
      </c>
    </row>
    <row r="2186" spans="39:81">
      <c r="AM2186" s="2"/>
      <c r="AN2186" s="2"/>
      <c r="AS2186">
        <v>11.6921049151041</v>
      </c>
      <c r="AT2186">
        <v>11.258749976703401</v>
      </c>
      <c r="CB2186">
        <v>11.6921049151041</v>
      </c>
      <c r="CC2186">
        <v>7.4829471456666798</v>
      </c>
    </row>
    <row r="2187" spans="39:81">
      <c r="AM2187" s="2"/>
      <c r="AN2187" s="2"/>
      <c r="AS2187">
        <v>11.7587321259688</v>
      </c>
      <c r="AT2187">
        <v>9.9291736790011207</v>
      </c>
      <c r="CB2187">
        <v>11.7587321259688</v>
      </c>
      <c r="CC2187">
        <v>7.5255885606200499</v>
      </c>
    </row>
    <row r="2188" spans="39:81">
      <c r="AM2188" s="2"/>
      <c r="AN2188" s="2"/>
      <c r="AS2188">
        <v>11.787851734627299</v>
      </c>
      <c r="AT2188">
        <v>8.3038738265813006</v>
      </c>
      <c r="CB2188">
        <v>11.787851734627299</v>
      </c>
      <c r="CC2188">
        <v>7.5442251101614799</v>
      </c>
    </row>
    <row r="2189" spans="39:81">
      <c r="AM2189" s="2"/>
      <c r="AN2189" s="2"/>
      <c r="AS2189">
        <v>11.8672096568752</v>
      </c>
      <c r="AT2189">
        <v>7.0037498790430401</v>
      </c>
      <c r="CB2189">
        <v>11.8672096568752</v>
      </c>
      <c r="CC2189">
        <v>7.5950141804001401</v>
      </c>
    </row>
    <row r="2190" spans="39:81">
      <c r="AM2190" s="2"/>
      <c r="AN2190" s="2"/>
      <c r="AS2190">
        <v>11.9388576986868</v>
      </c>
      <c r="AT2190">
        <v>5.5535536007237498</v>
      </c>
      <c r="CB2190">
        <v>11.9388576986868</v>
      </c>
      <c r="CC2190">
        <v>7.6408689271596097</v>
      </c>
    </row>
    <row r="2191" spans="39:81">
      <c r="AM2191" s="2"/>
      <c r="AN2191" s="2"/>
      <c r="AS2191">
        <v>11.959327793293401</v>
      </c>
      <c r="AT2191">
        <v>4.3836912680919902</v>
      </c>
      <c r="CB2191">
        <v>11.959327793293401</v>
      </c>
      <c r="CC2191">
        <v>7.6539697877078101</v>
      </c>
    </row>
    <row r="2192" spans="39:81">
      <c r="AM2192" s="2"/>
      <c r="AN2192" s="2"/>
      <c r="AS2192">
        <v>11.9793350960192</v>
      </c>
      <c r="AT2192">
        <v>3.3338564548571901</v>
      </c>
      <c r="CB2192">
        <v>11.9793350960192</v>
      </c>
      <c r="CC2192">
        <v>7.6667744614522899</v>
      </c>
    </row>
    <row r="2193" spans="39:81">
      <c r="AM2193" s="2"/>
      <c r="AN2193" s="2"/>
      <c r="AS2193">
        <v>11.9327497812196</v>
      </c>
      <c r="AT2193">
        <v>2.1069950305793799</v>
      </c>
      <c r="CB2193">
        <v>11.9327497812196</v>
      </c>
      <c r="CC2193">
        <v>7.6369598599805402</v>
      </c>
    </row>
    <row r="2194" spans="39:81">
      <c r="AM2194" s="2"/>
      <c r="AN2194" s="2"/>
      <c r="AS2194">
        <v>11.8889774706971</v>
      </c>
      <c r="AT2194">
        <v>0.77384631799759496</v>
      </c>
      <c r="CB2194">
        <v>11.8889774706971</v>
      </c>
      <c r="CC2194">
        <v>7.6089455812461599</v>
      </c>
    </row>
    <row r="2195" spans="39:81">
      <c r="AM2195" s="2"/>
      <c r="AN2195" s="2"/>
      <c r="AS2195">
        <v>11.8912302892429</v>
      </c>
      <c r="AT2195">
        <v>-0.71588900655292698</v>
      </c>
      <c r="CB2195">
        <v>11.8912302892429</v>
      </c>
      <c r="CC2195">
        <v>7.61038738511549</v>
      </c>
    </row>
    <row r="2196" spans="39:81">
      <c r="AM2196" s="2"/>
      <c r="AN2196" s="2"/>
      <c r="AS2196">
        <v>11.868188417896301</v>
      </c>
      <c r="AT2196">
        <v>-2.2979068143801098</v>
      </c>
      <c r="CB2196">
        <v>11.868188417896301</v>
      </c>
      <c r="CC2196">
        <v>7.5956405874536701</v>
      </c>
    </row>
    <row r="2197" spans="39:81">
      <c r="AM2197" s="2"/>
      <c r="AN2197" s="2"/>
      <c r="AS2197">
        <v>11.872058437776801</v>
      </c>
      <c r="AT2197">
        <v>-3.7246280884488598</v>
      </c>
      <c r="CB2197">
        <v>11.872058437776801</v>
      </c>
      <c r="CC2197">
        <v>7.5981174001771503</v>
      </c>
    </row>
    <row r="2198" spans="39:81">
      <c r="AM2198" s="2"/>
      <c r="AN2198" s="2"/>
      <c r="AS2198">
        <v>11.8458048735533</v>
      </c>
      <c r="AT2198">
        <v>-4.9096454431559504</v>
      </c>
      <c r="CB2198">
        <v>11.8458048735533</v>
      </c>
      <c r="CC2198">
        <v>7.5813151190741204</v>
      </c>
    </row>
    <row r="2199" spans="39:81">
      <c r="AM2199" s="2"/>
      <c r="AN2199" s="2"/>
      <c r="AS2199">
        <v>11.7561123634413</v>
      </c>
      <c r="AT2199">
        <v>-6.1397551794645002</v>
      </c>
      <c r="CB2199">
        <v>11.7561123634413</v>
      </c>
      <c r="CC2199">
        <v>7.5239119126024701</v>
      </c>
    </row>
    <row r="2200" spans="39:81">
      <c r="AM2200" s="2"/>
      <c r="AN2200" s="2"/>
      <c r="AS2200">
        <v>11.7019038338012</v>
      </c>
      <c r="AT2200">
        <v>-7.2055275062997</v>
      </c>
      <c r="CB2200">
        <v>11.7019038338012</v>
      </c>
      <c r="CC2200">
        <v>7.4892184536327999</v>
      </c>
    </row>
    <row r="2201" spans="39:81">
      <c r="AM2201" s="2"/>
      <c r="AN2201" s="2"/>
      <c r="AS2201">
        <v>11.619519246781699</v>
      </c>
      <c r="AT2201">
        <v>-8.5591587782566503</v>
      </c>
      <c r="CB2201">
        <v>11.619519246781699</v>
      </c>
      <c r="CC2201">
        <v>7.43649231794031</v>
      </c>
    </row>
    <row r="2202" spans="39:81">
      <c r="AM2202" s="2"/>
      <c r="AN2202" s="2"/>
      <c r="AS2202">
        <v>11.5513509946528</v>
      </c>
      <c r="AT2202">
        <v>-9.9294058990519503</v>
      </c>
      <c r="CB2202">
        <v>11.5513509946528</v>
      </c>
      <c r="CC2202">
        <v>7.3928646365778397</v>
      </c>
    </row>
    <row r="2203" spans="39:81">
      <c r="AM2203" s="2"/>
      <c r="AN2203" s="2"/>
      <c r="AS2203">
        <v>11.5135109000627</v>
      </c>
      <c r="AT2203">
        <v>-11.155583572532199</v>
      </c>
      <c r="CB2203">
        <v>11.5135109000627</v>
      </c>
      <c r="CC2203">
        <v>7.3686469760401296</v>
      </c>
    </row>
    <row r="2204" spans="39:81">
      <c r="AM2204" s="2"/>
      <c r="AN2204" s="2"/>
      <c r="AS2204">
        <v>11.420398660453801</v>
      </c>
      <c r="AT2204">
        <v>-12.605415442914101</v>
      </c>
      <c r="CB2204">
        <v>11.420398660453801</v>
      </c>
      <c r="CC2204">
        <v>7.30905514269047</v>
      </c>
    </row>
    <row r="2205" spans="39:81">
      <c r="AM2205" s="2"/>
      <c r="AN2205" s="2"/>
      <c r="AS2205">
        <v>11.3618331327324</v>
      </c>
      <c r="AT2205">
        <v>-13.810244201094999</v>
      </c>
      <c r="CB2205">
        <v>11.3618331327324</v>
      </c>
      <c r="CC2205">
        <v>7.2715732049487496</v>
      </c>
    </row>
    <row r="2206" spans="39:81">
      <c r="AM2206" s="2"/>
      <c r="AN2206" s="2"/>
      <c r="AS2206">
        <v>11.2699889887973</v>
      </c>
      <c r="AT2206">
        <v>-15.0700856640018</v>
      </c>
      <c r="CB2206">
        <v>11.2699889887973</v>
      </c>
      <c r="CC2206">
        <v>7.2127929528303003</v>
      </c>
    </row>
    <row r="2207" spans="39:81">
      <c r="AM2207" s="2"/>
      <c r="AN2207" s="2"/>
      <c r="AS2207">
        <v>11.1534428514551</v>
      </c>
      <c r="AT2207">
        <v>-16.152801974966</v>
      </c>
      <c r="CB2207">
        <v>11.1534428514551</v>
      </c>
      <c r="CC2207">
        <v>7.1382034249313202</v>
      </c>
    </row>
    <row r="2208" spans="39:81">
      <c r="AM2208" s="2"/>
      <c r="AN2208" s="2"/>
      <c r="AS2208">
        <v>11.065231318171399</v>
      </c>
      <c r="AT2208">
        <v>-17.220696774474899</v>
      </c>
      <c r="CB2208">
        <v>11.065231318171399</v>
      </c>
      <c r="CC2208">
        <v>7.0817480436297</v>
      </c>
    </row>
    <row r="2209" spans="39:81">
      <c r="AM2209" s="2"/>
      <c r="AN2209" s="2"/>
      <c r="AS2209">
        <v>10.9342342732545</v>
      </c>
      <c r="AT2209">
        <v>-18.2843259613079</v>
      </c>
      <c r="CB2209">
        <v>10.9342342732545</v>
      </c>
      <c r="CC2209">
        <v>6.9979099348828804</v>
      </c>
    </row>
    <row r="2210" spans="39:81">
      <c r="AM2210" s="2"/>
      <c r="AN2210" s="2"/>
      <c r="AS2210">
        <v>10.8280373020664</v>
      </c>
      <c r="AT2210">
        <v>-19.423208851080801</v>
      </c>
      <c r="CB2210">
        <v>10.8280373020664</v>
      </c>
      <c r="CC2210">
        <v>6.9299438733225198</v>
      </c>
    </row>
    <row r="2211" spans="39:81">
      <c r="AM2211" s="2"/>
      <c r="AN2211" s="2"/>
      <c r="AS2211">
        <v>10.744243469171099</v>
      </c>
      <c r="AT2211">
        <v>-20.7198764027431</v>
      </c>
      <c r="CB2211">
        <v>10.744243469171099</v>
      </c>
      <c r="CC2211">
        <v>6.87631582026955</v>
      </c>
    </row>
    <row r="2212" spans="39:81">
      <c r="AM2212" s="2"/>
      <c r="AN2212" s="2"/>
      <c r="AS2212">
        <v>10.6452068038846</v>
      </c>
      <c r="AT2212">
        <v>-21.9738469843576</v>
      </c>
      <c r="CB2212">
        <v>10.6452068038846</v>
      </c>
      <c r="CC2212">
        <v>6.8129323544861498</v>
      </c>
    </row>
    <row r="2213" spans="39:81">
      <c r="AM2213" s="2"/>
      <c r="AN2213" s="2"/>
      <c r="AS2213">
        <v>10.5735391023285</v>
      </c>
      <c r="AT2213">
        <v>-23.129628467270798</v>
      </c>
      <c r="CB2213">
        <v>10.5735391023285</v>
      </c>
      <c r="CC2213">
        <v>6.7670650254903002</v>
      </c>
    </row>
    <row r="2214" spans="39:81">
      <c r="AM2214" s="2"/>
      <c r="AN2214" s="2"/>
      <c r="AS2214">
        <v>10.4616873110953</v>
      </c>
      <c r="AT2214">
        <v>-24.206916927069901</v>
      </c>
      <c r="CB2214">
        <v>10.4616873110953</v>
      </c>
      <c r="CC2214">
        <v>6.6954798791010104</v>
      </c>
    </row>
    <row r="2215" spans="39:81">
      <c r="AM2215" s="2"/>
      <c r="AN2215" s="2"/>
      <c r="AS2215">
        <v>10.332392015467301</v>
      </c>
      <c r="AT2215">
        <v>-25.108549926932199</v>
      </c>
      <c r="CB2215">
        <v>10.332392015467301</v>
      </c>
      <c r="CC2215">
        <v>6.61273088989911</v>
      </c>
    </row>
    <row r="2216" spans="39:81">
      <c r="AM2216" s="2"/>
      <c r="AN2216" s="2"/>
      <c r="AS2216">
        <v>10.2162729502458</v>
      </c>
      <c r="AT2216">
        <v>-26.140528449720399</v>
      </c>
      <c r="CB2216">
        <v>10.2162729502458</v>
      </c>
      <c r="CC2216">
        <v>6.5384146881573297</v>
      </c>
    </row>
    <row r="2217" spans="39:81">
      <c r="AM2217" s="2"/>
      <c r="AN2217" s="2"/>
      <c r="AS2217">
        <v>10.055801819929901</v>
      </c>
      <c r="AT2217">
        <v>-27.344572423777699</v>
      </c>
      <c r="CB2217">
        <v>10.055801819929901</v>
      </c>
      <c r="CC2217">
        <v>6.4357131647551498</v>
      </c>
    </row>
    <row r="2218" spans="39:81">
      <c r="AM2218" s="2"/>
      <c r="AN2218" s="2"/>
      <c r="AS2218">
        <v>9.9069724256150593</v>
      </c>
      <c r="AT2218">
        <v>-28.512796294838601</v>
      </c>
      <c r="CB2218">
        <v>9.9069724256150593</v>
      </c>
      <c r="CC2218">
        <v>6.3404623523936401</v>
      </c>
    </row>
    <row r="2219" spans="39:81">
      <c r="AM2219" s="2"/>
      <c r="AN2219" s="2"/>
      <c r="AS2219">
        <v>9.7548568323660891</v>
      </c>
      <c r="AT2219">
        <v>-29.859396261586099</v>
      </c>
      <c r="CB2219">
        <v>9.7548568323660891</v>
      </c>
      <c r="CC2219">
        <v>6.24310837271429</v>
      </c>
    </row>
    <row r="2220" spans="39:81">
      <c r="AM2220" s="2"/>
      <c r="AN2220" s="2"/>
      <c r="AS2220">
        <v>9.5753345590431707</v>
      </c>
      <c r="AT2220">
        <v>-31.012992430985101</v>
      </c>
      <c r="CB2220">
        <v>9.5753345590431707</v>
      </c>
      <c r="CC2220">
        <v>6.1282141177876204</v>
      </c>
    </row>
    <row r="2221" spans="39:81">
      <c r="AM2221" s="2"/>
      <c r="AN2221" s="2"/>
      <c r="AS2221">
        <v>9.4123615689486098</v>
      </c>
      <c r="AT2221">
        <v>-32.043250388345598</v>
      </c>
      <c r="CB2221">
        <v>9.4123615689486098</v>
      </c>
      <c r="CC2221">
        <v>6.0239114041271096</v>
      </c>
    </row>
    <row r="2222" spans="39:81">
      <c r="AM2222" s="2"/>
      <c r="AN2222" s="2"/>
      <c r="AS2222">
        <v>9.2562722179710093</v>
      </c>
      <c r="AT2222">
        <v>-33.015577796210799</v>
      </c>
      <c r="CB2222">
        <v>9.2562722179710093</v>
      </c>
      <c r="CC2222">
        <v>5.9240142195014496</v>
      </c>
    </row>
    <row r="2223" spans="39:81">
      <c r="AM2223" s="2"/>
      <c r="AN2223" s="2"/>
      <c r="AS2223">
        <v>9.0739213197089406</v>
      </c>
      <c r="AT2223">
        <v>-33.898820953767398</v>
      </c>
      <c r="CB2223">
        <v>9.0739213197089406</v>
      </c>
      <c r="CC2223">
        <v>5.8073096446137198</v>
      </c>
    </row>
    <row r="2224" spans="39:81">
      <c r="AM2224" s="2"/>
      <c r="AN2224" s="2"/>
      <c r="AS2224">
        <v>8.9038384221799998</v>
      </c>
      <c r="AT2224">
        <v>-34.931247691833299</v>
      </c>
      <c r="CB2224">
        <v>8.9038384221799998</v>
      </c>
      <c r="CC2224">
        <v>5.6984565901951996</v>
      </c>
    </row>
    <row r="2225" spans="39:81">
      <c r="AM2225" s="2"/>
      <c r="AN2225" s="2"/>
      <c r="AS2225">
        <v>8.6980896060162696</v>
      </c>
      <c r="AT2225">
        <v>-35.879428743663397</v>
      </c>
      <c r="CB2225">
        <v>8.6980896060162696</v>
      </c>
      <c r="CC2225">
        <v>5.5667773478504099</v>
      </c>
    </row>
    <row r="2226" spans="39:81">
      <c r="AM2226" s="2"/>
      <c r="AN2226" s="2"/>
      <c r="AS2226">
        <v>8.4818260511099393</v>
      </c>
      <c r="AT2226">
        <v>-36.875219547445603</v>
      </c>
      <c r="CB2226">
        <v>8.4818260511099393</v>
      </c>
      <c r="CC2226">
        <v>5.4283686727103602</v>
      </c>
    </row>
    <row r="2227" spans="39:81">
      <c r="AM2227" s="2"/>
      <c r="AN2227" s="2"/>
      <c r="AS2227">
        <v>8.2883444169768303</v>
      </c>
      <c r="AT2227">
        <v>-37.978804892539102</v>
      </c>
      <c r="CB2227">
        <v>8.2883444169768303</v>
      </c>
      <c r="CC2227">
        <v>5.3045404268651701</v>
      </c>
    </row>
    <row r="2228" spans="39:81">
      <c r="AM2228" s="2"/>
      <c r="AN2228" s="2"/>
      <c r="AS2228">
        <v>8.0685790180650194</v>
      </c>
      <c r="AT2228">
        <v>-38.713013953548597</v>
      </c>
      <c r="CB2228">
        <v>8.0685790180650194</v>
      </c>
      <c r="CC2228">
        <v>5.1638905715616099</v>
      </c>
    </row>
    <row r="2229" spans="39:81">
      <c r="AM2229" s="2"/>
      <c r="AN2229" s="2"/>
      <c r="AS2229">
        <v>7.8516798161876702</v>
      </c>
      <c r="AT2229">
        <v>-39.640200207645996</v>
      </c>
      <c r="CB2229">
        <v>7.8516798161876702</v>
      </c>
      <c r="CC2229">
        <v>5.02507508236011</v>
      </c>
    </row>
    <row r="2230" spans="39:81">
      <c r="AM2230" s="2"/>
      <c r="AN2230" s="2"/>
      <c r="AS2230">
        <v>7.6410869876436198</v>
      </c>
      <c r="AT2230">
        <v>-40.180184174703697</v>
      </c>
      <c r="CB2230">
        <v>7.6410869876436198</v>
      </c>
      <c r="CC2230">
        <v>4.8902956720919102</v>
      </c>
    </row>
    <row r="2231" spans="39:81">
      <c r="AM2231" s="2"/>
      <c r="AN2231" s="2"/>
      <c r="AS2231">
        <v>7.4152316355980297</v>
      </c>
      <c r="AT2231">
        <v>-40.714853955141201</v>
      </c>
      <c r="CB2231">
        <v>7.4152316355980297</v>
      </c>
      <c r="CC2231">
        <v>4.7457482467827301</v>
      </c>
    </row>
    <row r="2232" spans="39:81">
      <c r="AM2232" s="2"/>
      <c r="AN2232" s="2"/>
      <c r="AS2232">
        <v>7.2195436810295002</v>
      </c>
      <c r="AT2232">
        <v>-41.475785481636102</v>
      </c>
      <c r="CB2232">
        <v>7.2195436810295002</v>
      </c>
      <c r="CC2232">
        <v>4.62050795585888</v>
      </c>
    </row>
    <row r="2233" spans="39:81">
      <c r="AM2233" s="2"/>
      <c r="AN2233" s="2"/>
      <c r="AS2233">
        <v>7.0229026128479903</v>
      </c>
      <c r="AT2233">
        <v>-42.095284572778802</v>
      </c>
      <c r="CB2233">
        <v>7.0229026128479903</v>
      </c>
      <c r="CC2233">
        <v>4.4946576722227096</v>
      </c>
    </row>
    <row r="2234" spans="39:81">
      <c r="AM2234" s="2"/>
      <c r="AN2234" s="2"/>
      <c r="AS2234">
        <v>6.8115956435980003</v>
      </c>
      <c r="AT2234">
        <v>-43.003110777302702</v>
      </c>
      <c r="CB2234">
        <v>6.8115956435980003</v>
      </c>
      <c r="CC2234">
        <v>4.3594212119027196</v>
      </c>
    </row>
    <row r="2235" spans="39:81">
      <c r="AM2235" s="2"/>
      <c r="AN2235" s="2"/>
      <c r="AS2235">
        <v>6.5967996311996204</v>
      </c>
      <c r="AT2235">
        <v>-43.814245203356997</v>
      </c>
      <c r="CB2235">
        <v>6.5967996311996204</v>
      </c>
      <c r="CC2235">
        <v>4.22195176396776</v>
      </c>
    </row>
    <row r="2236" spans="39:81">
      <c r="AM2236" s="2"/>
      <c r="AN2236" s="2"/>
      <c r="AS2236">
        <v>6.3455613632458299</v>
      </c>
      <c r="AT2236">
        <v>-44.427762290704202</v>
      </c>
      <c r="CB2236">
        <v>6.3455613632458299</v>
      </c>
      <c r="CC2236">
        <v>4.0611592724773304</v>
      </c>
    </row>
    <row r="2237" spans="39:81">
      <c r="AM2237" s="2"/>
      <c r="AN2237" s="2"/>
      <c r="AS2237">
        <v>6.1008080068984096</v>
      </c>
      <c r="AT2237">
        <v>-44.9104495839469</v>
      </c>
      <c r="CB2237">
        <v>6.1008080068984096</v>
      </c>
      <c r="CC2237">
        <v>3.9045171244149799</v>
      </c>
    </row>
    <row r="2238" spans="39:81">
      <c r="AM2238" s="2"/>
      <c r="AN2238" s="2"/>
      <c r="AS2238">
        <v>5.8644974320349199</v>
      </c>
      <c r="AT2238">
        <v>-45.282023272856698</v>
      </c>
      <c r="CB2238">
        <v>5.8644974320349199</v>
      </c>
      <c r="CC2238">
        <v>3.7532783565023502</v>
      </c>
    </row>
    <row r="2239" spans="39:81">
      <c r="AM2239" s="2"/>
      <c r="AN2239" s="2"/>
      <c r="AS2239">
        <v>5.6065894562005498</v>
      </c>
      <c r="AT2239">
        <v>-45.5745103925981</v>
      </c>
      <c r="CB2239">
        <v>5.6065894562005498</v>
      </c>
      <c r="CC2239">
        <v>3.58821725196835</v>
      </c>
    </row>
    <row r="2240" spans="39:81">
      <c r="AM2240" s="2"/>
      <c r="AN2240" s="2"/>
      <c r="AS2240">
        <v>5.3655572325457204</v>
      </c>
      <c r="AT2240">
        <v>-46.110465538978502</v>
      </c>
      <c r="CB2240">
        <v>5.3655572325457204</v>
      </c>
      <c r="CC2240">
        <v>3.43395662882926</v>
      </c>
    </row>
    <row r="2241" spans="39:81">
      <c r="AM2241" s="2"/>
      <c r="AN2241" s="2"/>
      <c r="AS2241">
        <v>5.0835170740523701</v>
      </c>
      <c r="AT2241">
        <v>-46.687827804978298</v>
      </c>
      <c r="CB2241">
        <v>5.0835170740523701</v>
      </c>
      <c r="CC2241">
        <v>3.2534509273935202</v>
      </c>
    </row>
    <row r="2242" spans="39:81">
      <c r="AM2242" s="2"/>
      <c r="AN2242" s="2"/>
      <c r="AS2242">
        <v>4.77748014340757</v>
      </c>
      <c r="AT2242">
        <v>-47.195021157579099</v>
      </c>
      <c r="CB2242">
        <v>4.77748014340757</v>
      </c>
      <c r="CC2242">
        <v>3.0575872917808402</v>
      </c>
    </row>
    <row r="2243" spans="39:81">
      <c r="AM2243" s="2"/>
      <c r="AN2243" s="2"/>
      <c r="AS2243">
        <v>4.4848913945990398</v>
      </c>
      <c r="AT2243">
        <v>-47.820822617970499</v>
      </c>
      <c r="CB2243">
        <v>4.4848913945990398</v>
      </c>
      <c r="CC2243">
        <v>2.8703304925433799</v>
      </c>
    </row>
    <row r="2244" spans="39:81">
      <c r="AM2244" s="2"/>
      <c r="AN2244" s="2"/>
      <c r="AS2244">
        <v>4.1601183708909097</v>
      </c>
      <c r="AT2244">
        <v>-47.9676430953891</v>
      </c>
      <c r="CB2244">
        <v>4.1601183708909097</v>
      </c>
      <c r="CC2244">
        <v>2.6624757573701801</v>
      </c>
    </row>
    <row r="2245" spans="39:81">
      <c r="AM2245" s="2"/>
      <c r="AN2245" s="2"/>
      <c r="AS2245">
        <v>3.86393474589048</v>
      </c>
      <c r="AT2245">
        <v>-48.279146068200099</v>
      </c>
      <c r="CB2245">
        <v>3.86393474589048</v>
      </c>
      <c r="CC2245">
        <v>2.4729182373699001</v>
      </c>
    </row>
    <row r="2246" spans="39:81">
      <c r="AM2246" s="2"/>
      <c r="AN2246" s="2"/>
      <c r="AS2246">
        <v>3.5666807692231299</v>
      </c>
      <c r="AT2246">
        <v>-48.541243172985297</v>
      </c>
      <c r="CB2246">
        <v>3.5666807692231299</v>
      </c>
      <c r="CC2246">
        <v>2.2826756923028002</v>
      </c>
    </row>
    <row r="2247" spans="39:81">
      <c r="AM2247" s="2"/>
      <c r="AN2247" s="2"/>
      <c r="AS2247">
        <v>3.2548625951662098</v>
      </c>
      <c r="AT2247">
        <v>-48.683083897392102</v>
      </c>
      <c r="CB2247">
        <v>3.2548625951662098</v>
      </c>
      <c r="CC2247">
        <v>2.08311206090637</v>
      </c>
    </row>
    <row r="2248" spans="39:81">
      <c r="AM2248" s="2"/>
      <c r="AN2248" s="2"/>
      <c r="AS2248">
        <v>2.9564327440278801</v>
      </c>
      <c r="AT2248">
        <v>-49.117245304893302</v>
      </c>
      <c r="CB2248">
        <v>2.9564327440278801</v>
      </c>
      <c r="CC2248">
        <v>1.8921169561778399</v>
      </c>
    </row>
    <row r="2249" spans="39:81">
      <c r="AM2249" s="2"/>
      <c r="AN2249" s="2"/>
      <c r="AS2249">
        <v>2.6260774535379401</v>
      </c>
      <c r="AT2249">
        <v>-49.365322769723498</v>
      </c>
      <c r="CB2249">
        <v>2.6260774535379401</v>
      </c>
      <c r="CC2249">
        <v>1.6806895702642799</v>
      </c>
    </row>
    <row r="2250" spans="39:81">
      <c r="AM2250" s="2"/>
      <c r="AN2250" s="2"/>
      <c r="AS2250">
        <v>2.31057378430555</v>
      </c>
      <c r="AT2250">
        <v>-49.8087371961009</v>
      </c>
      <c r="CB2250">
        <v>2.31057378430555</v>
      </c>
      <c r="CC2250">
        <v>1.4787672219555501</v>
      </c>
    </row>
    <row r="2251" spans="39:81">
      <c r="AM2251" s="2"/>
      <c r="AN2251" s="2"/>
      <c r="AS2251">
        <v>1.98552533749023</v>
      </c>
      <c r="AT2251">
        <v>-50.087676008485801</v>
      </c>
      <c r="CB2251">
        <v>1.98552533749023</v>
      </c>
      <c r="CC2251">
        <v>1.2707362159937401</v>
      </c>
    </row>
    <row r="2252" spans="39:81">
      <c r="AM2252" s="2"/>
      <c r="AN2252" s="2"/>
      <c r="AS2252">
        <v>1.6600072149040399</v>
      </c>
      <c r="AT2252">
        <v>-50.315768376918498</v>
      </c>
      <c r="CB2252">
        <v>1.6600072149040399</v>
      </c>
      <c r="CC2252">
        <v>1.06240461753858</v>
      </c>
    </row>
    <row r="2253" spans="39:81">
      <c r="AM2253" s="2"/>
      <c r="AN2253" s="2"/>
      <c r="AS2253">
        <v>1.3624265408604499</v>
      </c>
      <c r="AT2253">
        <v>-50.453224212628399</v>
      </c>
      <c r="CB2253">
        <v>1.3624265408604499</v>
      </c>
      <c r="CC2253">
        <v>0.87195298615069405</v>
      </c>
    </row>
    <row r="2254" spans="39:81">
      <c r="AM2254" s="2"/>
      <c r="AN2254" s="2"/>
      <c r="AS2254">
        <v>1.05937788490528</v>
      </c>
      <c r="AT2254">
        <v>-50.457989276540701</v>
      </c>
      <c r="CB2254">
        <v>1.05937788490528</v>
      </c>
      <c r="CC2254">
        <v>0.67800184633937899</v>
      </c>
    </row>
    <row r="2255" spans="39:81">
      <c r="AM2255" s="2"/>
      <c r="AN2255" s="2"/>
      <c r="AS2255">
        <v>0.78547960955602003</v>
      </c>
      <c r="AT2255">
        <v>-50.556046632691498</v>
      </c>
      <c r="CB2255">
        <v>0.78547960955602003</v>
      </c>
      <c r="CC2255">
        <v>0.50270695011585298</v>
      </c>
    </row>
    <row r="2256" spans="39:81">
      <c r="AM2256" s="2"/>
      <c r="AN2256" s="2"/>
      <c r="AS2256">
        <v>0.51769282349200096</v>
      </c>
      <c r="AT2256">
        <v>-50.685342850817101</v>
      </c>
      <c r="CB2256">
        <v>0.51769282349200096</v>
      </c>
      <c r="CC2256">
        <v>0.331323407034881</v>
      </c>
    </row>
    <row r="2257" spans="39:81">
      <c r="AM2257" s="2"/>
      <c r="AN2257" s="2"/>
      <c r="AS2257">
        <v>0.21161648355648799</v>
      </c>
      <c r="AT2257">
        <v>-50.853379832924702</v>
      </c>
      <c r="CB2257">
        <v>0.21161648355648799</v>
      </c>
      <c r="CC2257">
        <v>0.13543454947615199</v>
      </c>
    </row>
    <row r="2258" spans="39:81">
      <c r="AM2258" s="2"/>
      <c r="AN2258" s="2"/>
      <c r="AS2258">
        <v>-6.3755390403397103E-2</v>
      </c>
      <c r="AT2258">
        <v>-51.1037081094996</v>
      </c>
      <c r="CB2258">
        <v>-6.3755390403397103E-2</v>
      </c>
      <c r="CC2258">
        <v>-4.08034498581741E-2</v>
      </c>
    </row>
    <row r="2259" spans="39:81">
      <c r="AM2259" s="2"/>
      <c r="AN2259" s="2"/>
      <c r="AS2259">
        <v>-0.37425172816806002</v>
      </c>
      <c r="AT2259">
        <v>-51.097081483411003</v>
      </c>
      <c r="CB2259">
        <v>-0.37425172816806002</v>
      </c>
      <c r="CC2259">
        <v>-0.239521106027558</v>
      </c>
    </row>
    <row r="2260" spans="39:81">
      <c r="AM2260" s="2"/>
      <c r="AN2260" s="2"/>
      <c r="AS2260">
        <v>-0.67680456991433102</v>
      </c>
      <c r="AT2260">
        <v>-50.963978114730899</v>
      </c>
      <c r="CB2260">
        <v>-0.67680456991433102</v>
      </c>
      <c r="CC2260">
        <v>-0.43315492474517198</v>
      </c>
    </row>
    <row r="2261" spans="39:81">
      <c r="AM2261" s="2"/>
      <c r="AN2261" s="2"/>
      <c r="AS2261">
        <v>-0.95386013088198995</v>
      </c>
      <c r="AT2261">
        <v>-50.804669102848898</v>
      </c>
      <c r="CB2261">
        <v>-0.95386013088198995</v>
      </c>
      <c r="CC2261">
        <v>-0.61047048376447299</v>
      </c>
    </row>
    <row r="2262" spans="39:81">
      <c r="AM2262" s="2"/>
      <c r="AN2262" s="2"/>
      <c r="AS2262">
        <v>-1.27825810526803</v>
      </c>
      <c r="AT2262">
        <v>-50.390861164612502</v>
      </c>
      <c r="CB2262">
        <v>-1.27825810526803</v>
      </c>
      <c r="CC2262">
        <v>-0.81808518737154401</v>
      </c>
    </row>
    <row r="2263" spans="39:81">
      <c r="AM2263" s="2"/>
      <c r="AN2263" s="2"/>
      <c r="AS2263">
        <v>-1.5763163531742601</v>
      </c>
      <c r="AT2263">
        <v>-50.214262560837298</v>
      </c>
      <c r="CB2263">
        <v>-1.5763163531742601</v>
      </c>
      <c r="CC2263">
        <v>-1.00884246603153</v>
      </c>
    </row>
    <row r="2264" spans="39:81">
      <c r="AM2264" s="2"/>
      <c r="AN2264" s="2"/>
      <c r="AS2264">
        <v>-1.89558910303872</v>
      </c>
      <c r="AT2264">
        <v>-50.024922596619902</v>
      </c>
      <c r="CB2264">
        <v>-1.89558910303872</v>
      </c>
      <c r="CC2264">
        <v>-1.2131770259447801</v>
      </c>
    </row>
    <row r="2265" spans="39:81">
      <c r="AM2265" s="2"/>
      <c r="AN2265" s="2"/>
      <c r="AS2265">
        <v>-2.2238839507429899</v>
      </c>
      <c r="AT2265">
        <v>-49.866987580300197</v>
      </c>
      <c r="CB2265">
        <v>-2.2238839507429899</v>
      </c>
      <c r="CC2265">
        <v>-1.42328572847551</v>
      </c>
    </row>
    <row r="2266" spans="39:81">
      <c r="AM2266" s="2"/>
      <c r="AN2266" s="2"/>
      <c r="AS2266">
        <v>-2.540164703331</v>
      </c>
      <c r="AT2266">
        <v>-49.751785682571601</v>
      </c>
      <c r="CB2266">
        <v>-2.540164703331</v>
      </c>
      <c r="CC2266">
        <v>-1.62570541013184</v>
      </c>
    </row>
    <row r="2267" spans="39:81">
      <c r="AM2267" s="2"/>
      <c r="AN2267" s="2"/>
      <c r="AS2267">
        <v>-2.88239966423001</v>
      </c>
      <c r="AT2267">
        <v>-49.392940319229602</v>
      </c>
      <c r="CB2267">
        <v>-2.88239966423001</v>
      </c>
      <c r="CC2267">
        <v>-1.8447357851072099</v>
      </c>
    </row>
    <row r="2268" spans="39:81">
      <c r="AM2268" s="2"/>
      <c r="AN2268" s="2"/>
      <c r="AS2268">
        <v>-3.1949291798855199</v>
      </c>
      <c r="AT2268">
        <v>-49.175737492124597</v>
      </c>
      <c r="CB2268">
        <v>-3.1949291798855199</v>
      </c>
      <c r="CC2268">
        <v>-2.0447546751267298</v>
      </c>
    </row>
    <row r="2269" spans="39:81">
      <c r="AM2269" s="2"/>
      <c r="AN2269" s="2"/>
      <c r="AS2269">
        <v>-3.5098456978943098</v>
      </c>
      <c r="AT2269">
        <v>-48.595978474692799</v>
      </c>
      <c r="CB2269">
        <v>-3.5098456978943098</v>
      </c>
      <c r="CC2269">
        <v>-2.2463012466523602</v>
      </c>
    </row>
    <row r="2270" spans="39:81">
      <c r="AM2270" s="2"/>
      <c r="AN2270" s="2"/>
      <c r="AS2270">
        <v>-3.80488323112028</v>
      </c>
      <c r="AT2270">
        <v>-48.145613618780601</v>
      </c>
      <c r="CB2270">
        <v>-3.80488323112028</v>
      </c>
      <c r="CC2270">
        <v>-2.4351252679169799</v>
      </c>
    </row>
    <row r="2271" spans="39:81">
      <c r="AM2271" s="2"/>
      <c r="AN2271" s="2"/>
      <c r="AS2271">
        <v>-4.06319899162078</v>
      </c>
      <c r="AT2271">
        <v>-47.853031115223601</v>
      </c>
      <c r="CB2271">
        <v>-4.06319899162078</v>
      </c>
      <c r="CC2271">
        <v>-2.6004473546372999</v>
      </c>
    </row>
    <row r="2272" spans="39:81">
      <c r="AM2272" s="2"/>
      <c r="AN2272" s="2"/>
      <c r="AS2272">
        <v>-4.3490842643015801</v>
      </c>
      <c r="AT2272">
        <v>-47.411980924797497</v>
      </c>
      <c r="CB2272">
        <v>-4.3490842643015801</v>
      </c>
      <c r="CC2272">
        <v>-2.78341392915301</v>
      </c>
    </row>
    <row r="2273" spans="39:81">
      <c r="AM2273" s="2"/>
      <c r="AN2273" s="2"/>
      <c r="AS2273">
        <v>-4.6117301957855803</v>
      </c>
      <c r="AT2273">
        <v>-47.447795452141698</v>
      </c>
      <c r="CB2273">
        <v>-4.6117301957855803</v>
      </c>
      <c r="CC2273">
        <v>-2.9515073253027699</v>
      </c>
    </row>
    <row r="2274" spans="39:81">
      <c r="AM2274" s="2"/>
      <c r="AN2274" s="2"/>
      <c r="AS2274">
        <v>-4.8962827283660699</v>
      </c>
      <c r="AT2274">
        <v>-47.135176888866503</v>
      </c>
      <c r="CB2274">
        <v>-4.8962827283660699</v>
      </c>
      <c r="CC2274">
        <v>-3.1336209461542799</v>
      </c>
    </row>
    <row r="2275" spans="39:81">
      <c r="AM2275" s="2"/>
      <c r="AN2275" s="2"/>
      <c r="AS2275">
        <v>-5.1813365963677596</v>
      </c>
      <c r="AT2275">
        <v>-46.8094713411447</v>
      </c>
      <c r="CB2275">
        <v>-5.1813365963677596</v>
      </c>
      <c r="CC2275">
        <v>-3.3160554216753599</v>
      </c>
    </row>
    <row r="2276" spans="39:81">
      <c r="AM2276" s="2"/>
      <c r="AN2276" s="2"/>
      <c r="AS2276">
        <v>-5.4181472668956898</v>
      </c>
      <c r="AT2276">
        <v>-46.3762643194435</v>
      </c>
      <c r="CB2276">
        <v>-5.4181472668956898</v>
      </c>
      <c r="CC2276">
        <v>-3.4676142508132402</v>
      </c>
    </row>
    <row r="2277" spans="39:81">
      <c r="AM2277" s="2"/>
      <c r="AN2277" s="2"/>
      <c r="AS2277">
        <v>-5.6524339901352603</v>
      </c>
      <c r="AT2277">
        <v>-45.593763168566703</v>
      </c>
      <c r="CB2277">
        <v>-5.6524339901352603</v>
      </c>
      <c r="CC2277">
        <v>-3.61755775368656</v>
      </c>
    </row>
    <row r="2278" spans="39:81">
      <c r="AM2278" s="2"/>
      <c r="AN2278" s="2"/>
      <c r="AS2278">
        <v>-5.8520069748268799</v>
      </c>
      <c r="AT2278">
        <v>-45.010476196283697</v>
      </c>
      <c r="CB2278">
        <v>-5.8520069748268799</v>
      </c>
      <c r="CC2278">
        <v>-3.7452844638892002</v>
      </c>
    </row>
    <row r="2279" spans="39:81">
      <c r="AM2279" s="2"/>
      <c r="AN2279" s="2"/>
      <c r="AS2279">
        <v>-6.0406684800475903</v>
      </c>
      <c r="AT2279">
        <v>-44.5120961244276</v>
      </c>
      <c r="CB2279">
        <v>-6.0406684800475903</v>
      </c>
      <c r="CC2279">
        <v>-3.8660278272304498</v>
      </c>
    </row>
    <row r="2280" spans="39:81">
      <c r="AM2280" s="2"/>
      <c r="AN2280" s="2"/>
      <c r="AS2280">
        <v>-6.2594612449978602</v>
      </c>
      <c r="AT2280">
        <v>-44.117482337374803</v>
      </c>
      <c r="CB2280">
        <v>-6.2594612449978602</v>
      </c>
      <c r="CC2280">
        <v>-4.0060551967986298</v>
      </c>
    </row>
    <row r="2281" spans="39:81">
      <c r="AM2281" s="2"/>
      <c r="AN2281" s="2"/>
      <c r="AS2281">
        <v>-6.47618945413842</v>
      </c>
      <c r="AT2281">
        <v>-43.789398870268599</v>
      </c>
      <c r="CB2281">
        <v>-6.47618945413842</v>
      </c>
      <c r="CC2281">
        <v>-4.1447612506485898</v>
      </c>
    </row>
    <row r="2282" spans="39:81">
      <c r="AM2282" s="2"/>
      <c r="AN2282" s="2"/>
      <c r="AS2282">
        <v>-6.7003582654124996</v>
      </c>
      <c r="AT2282">
        <v>-43.388155199122302</v>
      </c>
      <c r="CB2282">
        <v>-6.7003582654124996</v>
      </c>
      <c r="CC2282">
        <v>-4.2882292898639998</v>
      </c>
    </row>
    <row r="2283" spans="39:81">
      <c r="AM2283" s="2"/>
      <c r="AN2283" s="2"/>
      <c r="AS2283">
        <v>-6.9187949113774696</v>
      </c>
      <c r="AT2283">
        <v>-42.687308738379102</v>
      </c>
      <c r="CB2283">
        <v>-6.9187949113774696</v>
      </c>
      <c r="CC2283">
        <v>-4.4280287432815797</v>
      </c>
    </row>
    <row r="2284" spans="39:81">
      <c r="AM2284" s="2"/>
      <c r="AN2284" s="2"/>
      <c r="AS2284">
        <v>-7.1077795979457203</v>
      </c>
      <c r="AT2284">
        <v>-41.978943212584703</v>
      </c>
      <c r="CB2284">
        <v>-7.1077795979457203</v>
      </c>
      <c r="CC2284">
        <v>-4.5489789426852596</v>
      </c>
    </row>
    <row r="2285" spans="39:81">
      <c r="AM2285" s="2"/>
      <c r="AN2285" s="2"/>
      <c r="AS2285">
        <v>-7.31236383877983</v>
      </c>
      <c r="AT2285">
        <v>-41.174002625902297</v>
      </c>
      <c r="CB2285">
        <v>-7.31236383877983</v>
      </c>
      <c r="CC2285">
        <v>-4.6799128568190902</v>
      </c>
    </row>
    <row r="2286" spans="39:81">
      <c r="AM2286" s="2"/>
      <c r="AN2286" s="2"/>
      <c r="AS2286">
        <v>-7.5267585164783704</v>
      </c>
      <c r="AT2286">
        <v>-40.3391621272172</v>
      </c>
      <c r="CB2286">
        <v>-7.5267585164783704</v>
      </c>
      <c r="CC2286">
        <v>-4.8171254505461496</v>
      </c>
    </row>
    <row r="2287" spans="39:81">
      <c r="AM2287" s="2"/>
      <c r="AN2287" s="2"/>
      <c r="AS2287">
        <v>-7.7365923531733403</v>
      </c>
      <c r="AT2287">
        <v>-39.777680629256302</v>
      </c>
      <c r="CB2287">
        <v>-7.7365923531733403</v>
      </c>
      <c r="CC2287">
        <v>-4.95141910603094</v>
      </c>
    </row>
    <row r="2288" spans="39:81">
      <c r="AM2288" s="2"/>
      <c r="AN2288" s="2"/>
      <c r="AS2288">
        <v>-7.9659165725566998</v>
      </c>
      <c r="AT2288">
        <v>-38.8927952825955</v>
      </c>
      <c r="CB2288">
        <v>-7.9659165725566998</v>
      </c>
      <c r="CC2288">
        <v>-5.09818660643628</v>
      </c>
    </row>
    <row r="2289" spans="39:81">
      <c r="AM2289" s="2"/>
      <c r="AN2289" s="2"/>
      <c r="AS2289">
        <v>-8.1668391830737406</v>
      </c>
      <c r="AT2289">
        <v>-38.227502450722397</v>
      </c>
      <c r="CB2289">
        <v>-8.1668391830737406</v>
      </c>
      <c r="CC2289">
        <v>-5.2267770771671902</v>
      </c>
    </row>
    <row r="2290" spans="39:81">
      <c r="AM2290" s="2"/>
      <c r="AN2290" s="2"/>
      <c r="AS2290">
        <v>-8.3673538335363595</v>
      </c>
      <c r="AT2290">
        <v>-37.472506342098498</v>
      </c>
      <c r="CB2290">
        <v>-8.3673538335363595</v>
      </c>
      <c r="CC2290">
        <v>-5.3551064534632697</v>
      </c>
    </row>
    <row r="2291" spans="39:81">
      <c r="AM2291" s="2"/>
      <c r="AN2291" s="2"/>
      <c r="AS2291">
        <v>-8.5809061104078594</v>
      </c>
      <c r="AT2291">
        <v>-36.5392482892929</v>
      </c>
      <c r="CB2291">
        <v>-8.5809061104078594</v>
      </c>
      <c r="CC2291">
        <v>-5.4917799106610303</v>
      </c>
    </row>
    <row r="2292" spans="39:81">
      <c r="AM2292" s="2"/>
      <c r="AN2292" s="2"/>
      <c r="AS2292">
        <v>-8.7603132975350793</v>
      </c>
      <c r="AT2292">
        <v>-35.630489789133001</v>
      </c>
      <c r="CB2292">
        <v>-8.7603132975350793</v>
      </c>
      <c r="CC2292">
        <v>-5.6066005104224503</v>
      </c>
    </row>
    <row r="2293" spans="39:81">
      <c r="AM2293" s="2"/>
      <c r="AN2293" s="2"/>
      <c r="AS2293">
        <v>-8.9640139912917807</v>
      </c>
      <c r="AT2293">
        <v>-34.510079692644098</v>
      </c>
      <c r="CB2293">
        <v>-8.9640139912917807</v>
      </c>
      <c r="CC2293">
        <v>-5.7369689544267404</v>
      </c>
    </row>
    <row r="2294" spans="39:81">
      <c r="AM2294" s="2"/>
      <c r="AN2294" s="2"/>
      <c r="AS2294">
        <v>-9.1538829632554908</v>
      </c>
      <c r="AT2294">
        <v>-33.458198489912697</v>
      </c>
      <c r="CB2294">
        <v>-9.1538829632554908</v>
      </c>
      <c r="CC2294">
        <v>-5.85848509648351</v>
      </c>
    </row>
    <row r="2295" spans="39:81">
      <c r="AM2295" s="2"/>
      <c r="AN2295" s="2"/>
      <c r="AS2295">
        <v>-9.3191764339649197</v>
      </c>
      <c r="AT2295">
        <v>-32.407252498165903</v>
      </c>
      <c r="CB2295">
        <v>-9.3191764339649197</v>
      </c>
      <c r="CC2295">
        <v>-5.9642729177375502</v>
      </c>
    </row>
    <row r="2296" spans="39:81">
      <c r="AM2296" s="2"/>
      <c r="AN2296" s="2"/>
      <c r="AS2296">
        <v>-9.5008968525136908</v>
      </c>
      <c r="AT2296">
        <v>-31.464355347191301</v>
      </c>
      <c r="CB2296">
        <v>-9.5008968525136908</v>
      </c>
      <c r="CC2296">
        <v>-6.0805739856087602</v>
      </c>
    </row>
    <row r="2297" spans="39:81">
      <c r="AM2297" s="2"/>
      <c r="AN2297" s="2"/>
      <c r="AS2297">
        <v>-9.6700068277977191</v>
      </c>
      <c r="AT2297">
        <v>-30.5493232375077</v>
      </c>
      <c r="CB2297">
        <v>-9.6700068277977191</v>
      </c>
      <c r="CC2297">
        <v>-6.1888043697905397</v>
      </c>
    </row>
    <row r="2298" spans="39:81">
      <c r="AM2298" s="2"/>
      <c r="AN2298" s="2"/>
      <c r="AS2298">
        <v>-9.8233982686988899</v>
      </c>
      <c r="AT2298">
        <v>-29.512759286644201</v>
      </c>
      <c r="CB2298">
        <v>-9.8233982686988899</v>
      </c>
      <c r="CC2298">
        <v>-6.2869748919672901</v>
      </c>
    </row>
    <row r="2299" spans="39:81">
      <c r="AM2299" s="2"/>
      <c r="AN2299" s="2"/>
      <c r="AS2299">
        <v>-9.9947804053254607</v>
      </c>
      <c r="AT2299">
        <v>-28.403157859535298</v>
      </c>
      <c r="CB2299">
        <v>-9.9947804053254607</v>
      </c>
      <c r="CC2299">
        <v>-6.3966594594083004</v>
      </c>
    </row>
    <row r="2300" spans="39:81">
      <c r="AM2300" s="2"/>
      <c r="AN2300" s="2"/>
      <c r="AS2300">
        <v>-10.137090453352499</v>
      </c>
      <c r="AT2300">
        <v>-27.123923454078199</v>
      </c>
      <c r="CB2300">
        <v>-10.137090453352499</v>
      </c>
      <c r="CC2300">
        <v>-6.4877378901456302</v>
      </c>
    </row>
    <row r="2301" spans="39:81">
      <c r="AM2301" s="2"/>
      <c r="AN2301" s="2"/>
      <c r="AS2301">
        <v>-10.281345270768499</v>
      </c>
      <c r="AT2301">
        <v>-25.856507112470599</v>
      </c>
      <c r="CB2301">
        <v>-10.281345270768499</v>
      </c>
      <c r="CC2301">
        <v>-6.5800609732918902</v>
      </c>
    </row>
    <row r="2302" spans="39:81">
      <c r="AM2302" s="2"/>
      <c r="AN2302" s="2"/>
      <c r="AS2302">
        <v>-10.4353097894321</v>
      </c>
      <c r="AT2302">
        <v>-24.773158688885999</v>
      </c>
      <c r="CB2302">
        <v>-10.4353097894321</v>
      </c>
      <c r="CC2302">
        <v>-6.6785982652365901</v>
      </c>
    </row>
    <row r="2303" spans="39:81">
      <c r="AM2303" s="2"/>
      <c r="AN2303" s="2"/>
      <c r="AS2303">
        <v>-10.5380453721683</v>
      </c>
      <c r="AT2303">
        <v>-23.7439012650966</v>
      </c>
      <c r="CB2303">
        <v>-10.5380453721683</v>
      </c>
      <c r="CC2303">
        <v>-6.7443490381877496</v>
      </c>
    </row>
    <row r="2304" spans="39:81">
      <c r="AM2304" s="2"/>
      <c r="AN2304" s="2"/>
      <c r="AS2304">
        <v>-10.664027402296</v>
      </c>
      <c r="AT2304">
        <v>-22.8090688666259</v>
      </c>
      <c r="CB2304">
        <v>-10.664027402296</v>
      </c>
      <c r="CC2304">
        <v>-6.8249775374694703</v>
      </c>
    </row>
    <row r="2305" spans="39:81">
      <c r="AM2305" s="2"/>
      <c r="AN2305" s="2"/>
      <c r="AS2305">
        <v>-10.782287550861</v>
      </c>
      <c r="AT2305">
        <v>-21.9022774034893</v>
      </c>
      <c r="CB2305">
        <v>-10.782287550861</v>
      </c>
      <c r="CC2305">
        <v>-6.9006640325511004</v>
      </c>
    </row>
    <row r="2306" spans="39:81">
      <c r="AM2306" s="2"/>
      <c r="AN2306" s="2"/>
      <c r="AS2306">
        <v>-10.8813111140565</v>
      </c>
      <c r="AT2306">
        <v>-20.741809810090501</v>
      </c>
      <c r="CB2306">
        <v>-10.8813111140565</v>
      </c>
      <c r="CC2306">
        <v>-6.9640391129961996</v>
      </c>
    </row>
    <row r="2307" spans="39:81">
      <c r="AM2307" s="2"/>
      <c r="AN2307" s="2"/>
      <c r="AS2307">
        <v>-11.034332030243901</v>
      </c>
      <c r="AT2307">
        <v>-19.549186429638599</v>
      </c>
      <c r="CB2307">
        <v>-11.034332030243901</v>
      </c>
      <c r="CC2307">
        <v>-7.0619724993561004</v>
      </c>
    </row>
    <row r="2308" spans="39:81">
      <c r="AM2308" s="2"/>
      <c r="AN2308" s="2"/>
      <c r="AS2308">
        <v>-11.1588358363874</v>
      </c>
      <c r="AT2308">
        <v>-18.289077645001498</v>
      </c>
      <c r="CB2308">
        <v>-11.1588358363874</v>
      </c>
      <c r="CC2308">
        <v>-7.1416549352879501</v>
      </c>
    </row>
    <row r="2309" spans="39:81">
      <c r="AM2309" s="2"/>
      <c r="AN2309" s="2"/>
      <c r="AS2309">
        <v>-11.3022666443366</v>
      </c>
      <c r="AT2309">
        <v>-17.0687345760882</v>
      </c>
      <c r="CB2309">
        <v>-11.3022666443366</v>
      </c>
      <c r="CC2309">
        <v>-7.23345065237545</v>
      </c>
    </row>
    <row r="2310" spans="39:81">
      <c r="AM2310" s="2"/>
      <c r="AN2310" s="2"/>
      <c r="AS2310">
        <v>-11.4435835529318</v>
      </c>
      <c r="AT2310">
        <v>-15.927765935147001</v>
      </c>
      <c r="CB2310">
        <v>-11.4435835529318</v>
      </c>
      <c r="CC2310">
        <v>-7.3238934738763497</v>
      </c>
    </row>
    <row r="2311" spans="39:81">
      <c r="AM2311" s="2"/>
      <c r="AN2311" s="2"/>
      <c r="AS2311">
        <v>-11.5130088982625</v>
      </c>
      <c r="AT2311">
        <v>-14.680288501966</v>
      </c>
      <c r="CB2311">
        <v>-11.5130088982625</v>
      </c>
      <c r="CC2311">
        <v>-7.3683256948880302</v>
      </c>
    </row>
    <row r="2312" spans="39:81">
      <c r="AM2312" s="2"/>
      <c r="AN2312" s="2"/>
      <c r="AS2312">
        <v>-11.615397027835099</v>
      </c>
      <c r="AT2312">
        <v>-13.7406195463373</v>
      </c>
      <c r="CB2312">
        <v>-11.615397027835099</v>
      </c>
      <c r="CC2312">
        <v>-7.4338540978144696</v>
      </c>
    </row>
    <row r="2313" spans="39:81">
      <c r="AM2313" s="2"/>
      <c r="AN2313" s="2"/>
      <c r="AS2313">
        <v>-11.6630113097146</v>
      </c>
      <c r="AT2313">
        <v>-12.4702411720932</v>
      </c>
      <c r="CB2313">
        <v>-11.6630113097146</v>
      </c>
      <c r="CC2313">
        <v>-7.4643272382173897</v>
      </c>
    </row>
    <row r="2314" spans="39:81">
      <c r="AM2314" s="2"/>
      <c r="AN2314" s="2"/>
      <c r="AS2314">
        <v>-11.6921049939711</v>
      </c>
      <c r="AT2314">
        <v>-11.2587475674729</v>
      </c>
      <c r="CB2314">
        <v>-11.6921049939711</v>
      </c>
      <c r="CC2314">
        <v>-7.4829471961415202</v>
      </c>
    </row>
    <row r="2315" spans="39:81">
      <c r="AM2315" s="2"/>
      <c r="AN2315" s="2"/>
      <c r="AS2315">
        <v>-11.7587313662839</v>
      </c>
      <c r="AT2315">
        <v>-9.92917789990031</v>
      </c>
      <c r="CB2315">
        <v>-11.7587313662839</v>
      </c>
      <c r="CC2315">
        <v>-7.5255880744217496</v>
      </c>
    </row>
    <row r="2316" spans="39:81">
      <c r="AM2316" s="2"/>
      <c r="AN2316" s="2"/>
      <c r="AS2316">
        <v>-11.7878512955605</v>
      </c>
      <c r="AT2316">
        <v>-8.3038757689788394</v>
      </c>
      <c r="CB2316">
        <v>-11.7878512955605</v>
      </c>
      <c r="CC2316">
        <v>-7.5442248291587299</v>
      </c>
    </row>
    <row r="2317" spans="39:81">
      <c r="AM2317" s="2"/>
      <c r="AN2317" s="2"/>
      <c r="AS2317">
        <v>-11.8672089256796</v>
      </c>
      <c r="AT2317">
        <v>-7.0037501078697701</v>
      </c>
      <c r="CB2317">
        <v>-11.8672089256796</v>
      </c>
      <c r="CC2317">
        <v>-7.5950137124349997</v>
      </c>
    </row>
    <row r="2318" spans="39:81">
      <c r="AM2318" s="2"/>
      <c r="AN2318" s="2"/>
      <c r="AS2318">
        <v>-11.938857524038401</v>
      </c>
      <c r="AT2318">
        <v>-5.553554620381</v>
      </c>
      <c r="CB2318">
        <v>-11.938857524038401</v>
      </c>
      <c r="CC2318">
        <v>-7.6408688153846001</v>
      </c>
    </row>
    <row r="2319" spans="39:81">
      <c r="AM2319" s="2"/>
      <c r="AN2319" s="2"/>
      <c r="AS2319">
        <v>-11.9593279719164</v>
      </c>
      <c r="AT2319">
        <v>-4.3836868945728398</v>
      </c>
      <c r="CB2319">
        <v>-11.9593279719164</v>
      </c>
      <c r="CC2319">
        <v>-7.6539699020265202</v>
      </c>
    </row>
    <row r="2320" spans="39:81">
      <c r="AM2320" s="2"/>
      <c r="AN2320" s="2"/>
      <c r="AS2320">
        <v>-11.9793357502499</v>
      </c>
      <c r="AT2320">
        <v>-3.33385391596223</v>
      </c>
      <c r="CB2320">
        <v>-11.9793357502499</v>
      </c>
      <c r="CC2320">
        <v>-7.6667748801599398</v>
      </c>
    </row>
    <row r="2321" spans="39:81">
      <c r="AM2321" s="2"/>
      <c r="AN2321" s="2"/>
      <c r="AS2321">
        <v>-11.932750085699301</v>
      </c>
      <c r="AT2321">
        <v>-2.1069956400541598</v>
      </c>
      <c r="CB2321">
        <v>-11.932750085699301</v>
      </c>
      <c r="CC2321">
        <v>-7.6369600548476004</v>
      </c>
    </row>
    <row r="2322" spans="39:81">
      <c r="AM2322" s="2"/>
      <c r="AN2322" s="2"/>
      <c r="AS2322">
        <v>-11.888977226462901</v>
      </c>
      <c r="AT2322">
        <v>-0.77384685690020605</v>
      </c>
      <c r="CB2322">
        <v>-11.888977226462901</v>
      </c>
      <c r="CC2322">
        <v>-7.60894542493625</v>
      </c>
    </row>
    <row r="2323" spans="39:81">
      <c r="AM2323" s="2"/>
      <c r="AN2323" s="2"/>
      <c r="AS2323">
        <v>-11.8912296316321</v>
      </c>
      <c r="AT2323">
        <v>0.715885988036291</v>
      </c>
      <c r="CB2323">
        <v>-11.8912296316321</v>
      </c>
      <c r="CC2323">
        <v>-7.6103869642445501</v>
      </c>
    </row>
    <row r="2324" spans="39:81">
      <c r="AM2324" s="2"/>
      <c r="AN2324" s="2"/>
      <c r="AS2324">
        <v>-11.868188114328399</v>
      </c>
      <c r="AT2324">
        <v>2.2979040227269798</v>
      </c>
      <c r="CB2324">
        <v>-11.868188114328399</v>
      </c>
      <c r="CC2324">
        <v>-7.5956403931701999</v>
      </c>
    </row>
    <row r="2325" spans="39:81">
      <c r="AM2325" s="2"/>
      <c r="AN2325" s="2"/>
      <c r="AS2325">
        <v>-11.872057958944801</v>
      </c>
      <c r="AT2325">
        <v>3.72462924686445</v>
      </c>
      <c r="CB2325">
        <v>-11.872057958944801</v>
      </c>
      <c r="CC2325">
        <v>-7.59811709372471</v>
      </c>
    </row>
    <row r="2326" spans="39:81">
      <c r="AM2326" s="2"/>
      <c r="AN2326" s="2"/>
      <c r="AS2326">
        <v>-11.8458044859598</v>
      </c>
      <c r="AT2326">
        <v>4.90964543118295</v>
      </c>
      <c r="CB2326">
        <v>-11.8458044859598</v>
      </c>
      <c r="CC2326">
        <v>-7.5813148710142801</v>
      </c>
    </row>
    <row r="2327" spans="39:81">
      <c r="AM2327" s="2"/>
      <c r="AN2327" s="2"/>
      <c r="AS2327">
        <v>-11.7561122901151</v>
      </c>
      <c r="AT2327">
        <v>6.1397569918394597</v>
      </c>
      <c r="CB2327">
        <v>-11.7561122901151</v>
      </c>
      <c r="CC2327">
        <v>-7.5239118656737203</v>
      </c>
    </row>
    <row r="2328" spans="39:81">
      <c r="AM2328" s="2"/>
      <c r="AN2328" s="2"/>
      <c r="AS2328">
        <v>-11.7019039119109</v>
      </c>
      <c r="AT2328">
        <v>7.2055298720258003</v>
      </c>
      <c r="CB2328">
        <v>-11.7019039119109</v>
      </c>
      <c r="CC2328">
        <v>-7.4892185036229897</v>
      </c>
    </row>
    <row r="2329" spans="39:81">
      <c r="AM2329" s="2"/>
      <c r="AN2329" s="2"/>
      <c r="AS2329">
        <v>-11.6195196058707</v>
      </c>
      <c r="AT2329">
        <v>8.5591562935192602</v>
      </c>
      <c r="CB2329">
        <v>-11.6195196058707</v>
      </c>
      <c r="CC2329">
        <v>-7.4364925477572497</v>
      </c>
    </row>
    <row r="2330" spans="39:81">
      <c r="AM2330" s="2"/>
      <c r="AN2330" s="2"/>
      <c r="AS2330">
        <v>-11.5513508027172</v>
      </c>
      <c r="AT2330">
        <v>9.92940750231738</v>
      </c>
      <c r="CB2330">
        <v>-11.5513508027172</v>
      </c>
      <c r="CC2330">
        <v>-7.3928645137390303</v>
      </c>
    </row>
    <row r="2331" spans="39:81">
      <c r="AM2331" s="2"/>
      <c r="AN2331" s="2"/>
      <c r="AS2331">
        <v>-11.5135102009588</v>
      </c>
      <c r="AT2331">
        <v>11.1555811021606</v>
      </c>
      <c r="CB2331">
        <v>-11.5135102009588</v>
      </c>
      <c r="CC2331">
        <v>-7.36864652861364</v>
      </c>
    </row>
    <row r="2332" spans="39:81">
      <c r="AM2332" s="2"/>
      <c r="AN2332" s="2"/>
      <c r="AS2332">
        <v>-11.420398385651</v>
      </c>
      <c r="AT2332">
        <v>12.605413339514</v>
      </c>
      <c r="CB2332">
        <v>-11.420398385651</v>
      </c>
      <c r="CC2332">
        <v>-7.3090549668166398</v>
      </c>
    </row>
    <row r="2333" spans="39:81">
      <c r="AM2333" s="2"/>
      <c r="AN2333" s="2"/>
      <c r="AS2333">
        <v>-11.361832650396799</v>
      </c>
      <c r="AT2333">
        <v>13.8102449550043</v>
      </c>
      <c r="CB2333">
        <v>-11.361832650396799</v>
      </c>
      <c r="CC2333">
        <v>-7.2715728962539599</v>
      </c>
    </row>
    <row r="2334" spans="39:81">
      <c r="AM2334" s="2"/>
      <c r="AN2334" s="2"/>
      <c r="AS2334">
        <v>-11.2699890669155</v>
      </c>
      <c r="AT2334">
        <v>15.0700848616729</v>
      </c>
      <c r="CB2334">
        <v>-11.2699890669155</v>
      </c>
      <c r="CC2334">
        <v>-7.2127930028259497</v>
      </c>
    </row>
    <row r="2335" spans="39:81">
      <c r="AM2335" s="2"/>
      <c r="AN2335" s="2"/>
      <c r="AS2335">
        <v>-11.1534428674083</v>
      </c>
      <c r="AT2335">
        <v>16.152804245221802</v>
      </c>
      <c r="CB2335">
        <v>-11.1534428674083</v>
      </c>
      <c r="CC2335">
        <v>-7.1382034351413299</v>
      </c>
    </row>
    <row r="2336" spans="39:81">
      <c r="AM2336" s="2"/>
      <c r="AN2336" s="2"/>
      <c r="AS2336">
        <v>-11.0652317484076</v>
      </c>
      <c r="AT2336">
        <v>17.220697682274199</v>
      </c>
      <c r="CB2336">
        <v>-11.0652317484076</v>
      </c>
      <c r="CC2336">
        <v>-7.0817483189808597</v>
      </c>
    </row>
    <row r="2337" spans="39:81">
      <c r="AM2337" s="2"/>
      <c r="AN2337" s="2"/>
      <c r="AS2337">
        <v>-10.9342342230723</v>
      </c>
      <c r="AT2337">
        <v>18.284326276486201</v>
      </c>
      <c r="CB2337">
        <v>-10.9342342230723</v>
      </c>
      <c r="CC2337">
        <v>-6.9979099027662901</v>
      </c>
    </row>
    <row r="2338" spans="39:81">
      <c r="AM2338" s="2"/>
      <c r="AN2338" s="2"/>
      <c r="AS2338">
        <v>-10.8280369711544</v>
      </c>
      <c r="AT2338">
        <v>19.4232072331789</v>
      </c>
      <c r="CB2338">
        <v>-10.8280369711544</v>
      </c>
      <c r="CC2338">
        <v>-6.9299436615388501</v>
      </c>
    </row>
    <row r="2339" spans="39:81">
      <c r="AM2339" s="2"/>
      <c r="AN2339" s="2"/>
      <c r="AS2339">
        <v>-10.744243149842401</v>
      </c>
      <c r="AT2339">
        <v>20.7198744493076</v>
      </c>
      <c r="CB2339">
        <v>-10.744243149842401</v>
      </c>
      <c r="CC2339">
        <v>-6.8763156158991396</v>
      </c>
    </row>
    <row r="2340" spans="39:81">
      <c r="AM2340" s="2"/>
      <c r="AN2340" s="2"/>
      <c r="AS2340">
        <v>-10.6452065343697</v>
      </c>
      <c r="AT2340">
        <v>21.9738463498384</v>
      </c>
      <c r="CB2340">
        <v>-10.6452065343697</v>
      </c>
      <c r="CC2340">
        <v>-6.81293218199664</v>
      </c>
    </row>
    <row r="2341" spans="39:81">
      <c r="AM2341" s="2"/>
      <c r="AN2341" s="2"/>
      <c r="AS2341">
        <v>-10.5735389930739</v>
      </c>
      <c r="AT2341">
        <v>23.129628227361099</v>
      </c>
      <c r="CB2341">
        <v>-10.5735389930739</v>
      </c>
      <c r="CC2341">
        <v>-6.7670649555673004</v>
      </c>
    </row>
    <row r="2342" spans="39:81">
      <c r="AM2342" s="2"/>
      <c r="AN2342" s="2"/>
      <c r="AS2342">
        <v>-10.461687036197</v>
      </c>
      <c r="AT2342">
        <v>24.2069187939694</v>
      </c>
      <c r="CB2342">
        <v>-10.461687036197</v>
      </c>
      <c r="CC2342">
        <v>-6.6954797031660904</v>
      </c>
    </row>
    <row r="2343" spans="39:81">
      <c r="AM2343" s="2"/>
      <c r="AN2343" s="2"/>
      <c r="AS2343">
        <v>-10.332391644507901</v>
      </c>
      <c r="AT2343">
        <v>25.1085520852264</v>
      </c>
      <c r="CB2343">
        <v>-10.332391644507901</v>
      </c>
      <c r="CC2343">
        <v>-6.61273065248505</v>
      </c>
    </row>
    <row r="2344" spans="39:81">
      <c r="AM2344" s="2"/>
      <c r="AN2344" s="2"/>
      <c r="AS2344">
        <v>-10.216273098117799</v>
      </c>
      <c r="AT2344">
        <v>26.140527950554901</v>
      </c>
      <c r="CB2344">
        <v>-10.216273098117799</v>
      </c>
      <c r="CC2344">
        <v>-6.5384147827954404</v>
      </c>
    </row>
    <row r="2345" spans="39:81">
      <c r="AM2345" s="2"/>
      <c r="AN2345" s="2"/>
      <c r="AS2345">
        <v>-10.0558019936399</v>
      </c>
      <c r="AT2345">
        <v>27.344571526677001</v>
      </c>
      <c r="CB2345">
        <v>-10.0558019936399</v>
      </c>
      <c r="CC2345">
        <v>-6.4357132759295697</v>
      </c>
    </row>
    <row r="2346" spans="39:81">
      <c r="AM2346" s="2"/>
      <c r="AN2346" s="2"/>
      <c r="AS2346">
        <v>-9.9069722948454295</v>
      </c>
      <c r="AT2346">
        <v>28.512795892704901</v>
      </c>
      <c r="CB2346">
        <v>-9.9069722948454295</v>
      </c>
      <c r="CC2346">
        <v>-6.3404622687010699</v>
      </c>
    </row>
    <row r="2347" spans="39:81">
      <c r="AM2347" s="2"/>
      <c r="AN2347" s="2"/>
      <c r="AS2347">
        <v>-9.7548563210579697</v>
      </c>
      <c r="AT2347">
        <v>29.8593930147319</v>
      </c>
      <c r="CB2347">
        <v>-9.7548563210579697</v>
      </c>
      <c r="CC2347">
        <v>-6.2431080454770997</v>
      </c>
    </row>
    <row r="2348" spans="39:81">
      <c r="AM2348" s="2"/>
      <c r="AN2348" s="2"/>
      <c r="AS2348">
        <v>-9.5753344155953801</v>
      </c>
      <c r="AT2348">
        <v>31.012992909099701</v>
      </c>
      <c r="CB2348">
        <v>-9.5753344155953801</v>
      </c>
      <c r="CC2348">
        <v>-6.1282140259810403</v>
      </c>
    </row>
    <row r="2349" spans="39:81">
      <c r="AM2349" s="2"/>
      <c r="AN2349" s="2"/>
      <c r="AS2349">
        <v>-9.4123612295064998</v>
      </c>
      <c r="AT2349">
        <v>32.0432514717563</v>
      </c>
      <c r="CB2349">
        <v>-9.4123612295064998</v>
      </c>
      <c r="CC2349">
        <v>-6.0239111868841597</v>
      </c>
    </row>
    <row r="2350" spans="39:81">
      <c r="AM2350" s="2"/>
      <c r="AN2350" s="2"/>
      <c r="AS2350">
        <v>-9.2562719557726201</v>
      </c>
      <c r="AT2350">
        <v>33.015578898538301</v>
      </c>
      <c r="CB2350">
        <v>-9.2562719557726201</v>
      </c>
      <c r="CC2350">
        <v>-5.9240140516944697</v>
      </c>
    </row>
    <row r="2351" spans="39:81">
      <c r="AM2351" s="2"/>
      <c r="AN2351" s="2"/>
      <c r="AS2351">
        <v>-9.0739213141863395</v>
      </c>
      <c r="AT2351">
        <v>33.898822508469202</v>
      </c>
      <c r="CB2351">
        <v>-9.0739213141863395</v>
      </c>
      <c r="CC2351">
        <v>-5.80730964107926</v>
      </c>
    </row>
    <row r="2352" spans="39:81">
      <c r="AM2352" s="2"/>
      <c r="AN2352" s="2"/>
      <c r="AS2352">
        <v>-8.9038385932632007</v>
      </c>
      <c r="AT2352">
        <v>34.931247175960998</v>
      </c>
      <c r="CB2352">
        <v>-8.9038385932632007</v>
      </c>
      <c r="CC2352">
        <v>-5.6984566996884496</v>
      </c>
    </row>
    <row r="2353" spans="39:81">
      <c r="AM2353" s="2"/>
      <c r="AN2353" s="2"/>
      <c r="AS2353">
        <v>-8.6980895498154798</v>
      </c>
      <c r="AT2353">
        <v>35.879429283072099</v>
      </c>
      <c r="CB2353">
        <v>-8.6980895498154798</v>
      </c>
      <c r="CC2353">
        <v>-5.5667773118819097</v>
      </c>
    </row>
    <row r="2354" spans="39:81">
      <c r="AM2354" s="2"/>
      <c r="AN2354" s="2"/>
      <c r="AS2354">
        <v>-8.4818258735926797</v>
      </c>
      <c r="AT2354">
        <v>36.875215180605103</v>
      </c>
      <c r="CB2354">
        <v>-8.4818258735926797</v>
      </c>
      <c r="CC2354">
        <v>-5.4283685590993098</v>
      </c>
    </row>
    <row r="2355" spans="39:81">
      <c r="AM2355" s="2"/>
      <c r="AN2355" s="2"/>
      <c r="AS2355">
        <v>-8.2883440795437302</v>
      </c>
      <c r="AT2355">
        <v>37.978805011922297</v>
      </c>
      <c r="CB2355">
        <v>-8.2883440795437302</v>
      </c>
      <c r="CC2355">
        <v>-5.3045402109079802</v>
      </c>
    </row>
    <row r="2356" spans="39:81">
      <c r="AM2356" s="2"/>
      <c r="AN2356" s="2"/>
      <c r="AS2356">
        <v>-8.0685792107806993</v>
      </c>
      <c r="AT2356">
        <v>38.713014350268601</v>
      </c>
      <c r="CB2356">
        <v>-8.0685792107806993</v>
      </c>
      <c r="CC2356">
        <v>-5.1638906948996501</v>
      </c>
    </row>
    <row r="2357" spans="39:81">
      <c r="AM2357" s="2"/>
      <c r="AN2357" s="2"/>
      <c r="AS2357">
        <v>-7.8516797895637902</v>
      </c>
      <c r="AT2357">
        <v>39.640199643946303</v>
      </c>
      <c r="CB2357">
        <v>-7.8516797895637902</v>
      </c>
      <c r="CC2357">
        <v>-5.02507506532082</v>
      </c>
    </row>
    <row r="2358" spans="39:81">
      <c r="AM2358" s="2"/>
      <c r="AN2358" s="2"/>
      <c r="AS2358">
        <v>-7.6410865615065999</v>
      </c>
      <c r="AT2358">
        <v>40.180189049086202</v>
      </c>
      <c r="CB2358">
        <v>-7.6410865615065999</v>
      </c>
      <c r="CC2358">
        <v>-4.8902953993642297</v>
      </c>
    </row>
    <row r="2359" spans="39:81">
      <c r="AM2359" s="2"/>
      <c r="AN2359" s="2"/>
      <c r="AS2359">
        <v>-7.4152313763541997</v>
      </c>
      <c r="AT2359">
        <v>40.714852926272698</v>
      </c>
      <c r="CB2359">
        <v>-7.4152313763541997</v>
      </c>
      <c r="CC2359">
        <v>-4.7457480808666901</v>
      </c>
    </row>
    <row r="2360" spans="39:81">
      <c r="AM2360" s="2"/>
      <c r="AN2360" s="2"/>
      <c r="AS2360">
        <v>-7.21954336861402</v>
      </c>
      <c r="AT2360">
        <v>41.475785864908197</v>
      </c>
      <c r="CB2360">
        <v>-7.21954336861402</v>
      </c>
      <c r="CC2360">
        <v>-4.6205077559129704</v>
      </c>
    </row>
    <row r="2361" spans="39:81">
      <c r="AM2361" s="2"/>
      <c r="AN2361" s="2"/>
      <c r="AS2361">
        <v>-7.0229024470960404</v>
      </c>
      <c r="AT2361">
        <v>42.095283310479999</v>
      </c>
      <c r="CB2361">
        <v>-7.0229024470960404</v>
      </c>
      <c r="CC2361">
        <v>-4.4946575661414601</v>
      </c>
    </row>
    <row r="2362" spans="39:81">
      <c r="AM2362" s="2"/>
      <c r="AN2362" s="2"/>
      <c r="AS2362">
        <v>-6.81159564783069</v>
      </c>
      <c r="AT2362">
        <v>43.003107379888299</v>
      </c>
      <c r="CB2362">
        <v>-6.81159564783069</v>
      </c>
      <c r="CC2362">
        <v>-4.3594212146116398</v>
      </c>
    </row>
    <row r="2363" spans="39:81">
      <c r="AM2363" s="2"/>
      <c r="AN2363" s="2"/>
      <c r="AS2363">
        <v>-6.5967993410914998</v>
      </c>
      <c r="AT2363">
        <v>43.814244514261802</v>
      </c>
      <c r="CB2363">
        <v>-6.5967993410914998</v>
      </c>
      <c r="CC2363">
        <v>-4.2219515782985599</v>
      </c>
    </row>
    <row r="2364" spans="39:81">
      <c r="AM2364" s="2"/>
      <c r="AN2364" s="2"/>
      <c r="AS2364">
        <v>-6.3455615958390696</v>
      </c>
      <c r="AT2364">
        <v>44.4277626000898</v>
      </c>
      <c r="CB2364">
        <v>-6.3455615958390696</v>
      </c>
      <c r="CC2364">
        <v>-4.0611594213369999</v>
      </c>
    </row>
    <row r="2365" spans="39:81">
      <c r="AM2365" s="2"/>
      <c r="AN2365" s="2"/>
      <c r="AS2365">
        <v>-6.1008078529662697</v>
      </c>
      <c r="AT2365">
        <v>44.910450694599199</v>
      </c>
      <c r="CB2365">
        <v>-6.1008078529662697</v>
      </c>
      <c r="CC2365">
        <v>-3.9045170258984099</v>
      </c>
    </row>
    <row r="2366" spans="39:81">
      <c r="AM2366" s="2"/>
      <c r="AN2366" s="2"/>
      <c r="AS2366">
        <v>-5.8644973426330003</v>
      </c>
      <c r="AT2366">
        <v>45.282026263176597</v>
      </c>
      <c r="CB2366">
        <v>-5.8644973426330003</v>
      </c>
      <c r="CC2366">
        <v>-3.7532782992851201</v>
      </c>
    </row>
    <row r="2367" spans="39:81">
      <c r="AM2367" s="2"/>
      <c r="AN2367" s="2"/>
      <c r="AS2367">
        <v>-5.6065893022252</v>
      </c>
      <c r="AT2367">
        <v>45.574511752188499</v>
      </c>
      <c r="CB2367">
        <v>-5.6065893022252</v>
      </c>
      <c r="CC2367">
        <v>-3.5882171534241198</v>
      </c>
    </row>
    <row r="2368" spans="39:81">
      <c r="AM2368" s="2"/>
      <c r="AN2368" s="2"/>
      <c r="AS2368">
        <v>-5.3655569581664002</v>
      </c>
      <c r="AT2368">
        <v>46.110462809339801</v>
      </c>
      <c r="CB2368">
        <v>-5.3655569581664002</v>
      </c>
      <c r="CC2368">
        <v>-3.4339564532264899</v>
      </c>
    </row>
    <row r="2369" spans="39:81">
      <c r="AM2369" s="2"/>
      <c r="AN2369" s="2"/>
      <c r="AS2369">
        <v>-5.0835171279691398</v>
      </c>
      <c r="AT2369">
        <v>46.687827658137898</v>
      </c>
      <c r="CB2369">
        <v>-5.0835171279691398</v>
      </c>
      <c r="CC2369">
        <v>-3.2534509619002501</v>
      </c>
    </row>
    <row r="2370" spans="39:81">
      <c r="AM2370" s="2"/>
      <c r="AN2370" s="2"/>
      <c r="AS2370">
        <v>-4.7774800331627301</v>
      </c>
      <c r="AT2370">
        <v>47.195018414504901</v>
      </c>
      <c r="CB2370">
        <v>-4.7774800331627301</v>
      </c>
      <c r="CC2370">
        <v>-3.0575872212241499</v>
      </c>
    </row>
    <row r="2371" spans="39:81">
      <c r="AM2371" s="2"/>
      <c r="AN2371" s="2"/>
      <c r="AS2371">
        <v>-4.4848913569312803</v>
      </c>
      <c r="AT2371">
        <v>47.820821960552301</v>
      </c>
      <c r="CB2371">
        <v>-4.4848913569312803</v>
      </c>
      <c r="CC2371">
        <v>-2.87033046843601</v>
      </c>
    </row>
    <row r="2372" spans="39:81">
      <c r="AM2372" s="2"/>
      <c r="AN2372" s="2"/>
      <c r="AS2372">
        <v>-4.1601184177484303</v>
      </c>
      <c r="AT2372">
        <v>47.967645582289897</v>
      </c>
      <c r="CB2372">
        <v>-4.1601184177484303</v>
      </c>
      <c r="CC2372">
        <v>-2.6624757873589902</v>
      </c>
    </row>
    <row r="2373" spans="39:81">
      <c r="AM2373" s="2"/>
      <c r="AN2373" s="2"/>
      <c r="AS2373">
        <v>-3.8639344535304798</v>
      </c>
      <c r="AT2373">
        <v>48.279144482046704</v>
      </c>
      <c r="CB2373">
        <v>-3.8639344535304798</v>
      </c>
      <c r="CC2373">
        <v>-2.4729180502595001</v>
      </c>
    </row>
    <row r="2374" spans="39:81">
      <c r="AM2374" s="2"/>
      <c r="AN2374" s="2"/>
      <c r="AS2374">
        <v>-3.5666806173852801</v>
      </c>
      <c r="AT2374">
        <v>48.541246497731102</v>
      </c>
      <c r="CB2374">
        <v>-3.5666806173852801</v>
      </c>
      <c r="CC2374">
        <v>-2.2826755951265798</v>
      </c>
    </row>
    <row r="2375" spans="39:81">
      <c r="AM2375" s="2"/>
      <c r="AN2375" s="2"/>
      <c r="AS2375">
        <v>-3.2548622786128298</v>
      </c>
      <c r="AT2375">
        <v>48.6830831696345</v>
      </c>
      <c r="CB2375">
        <v>-3.2548622786128298</v>
      </c>
      <c r="CC2375">
        <v>-2.0831118583122099</v>
      </c>
    </row>
    <row r="2376" spans="39:81">
      <c r="AM2376" s="2"/>
      <c r="AN2376" s="2"/>
      <c r="AS2376">
        <v>-2.9564327639041701</v>
      </c>
      <c r="AT2376">
        <v>49.117245024656697</v>
      </c>
      <c r="CB2376">
        <v>-2.9564327639041701</v>
      </c>
      <c r="CC2376">
        <v>-1.8921169688986701</v>
      </c>
    </row>
    <row r="2377" spans="39:81">
      <c r="AM2377" s="2"/>
      <c r="AN2377" s="2"/>
      <c r="AS2377">
        <v>-2.6260775204518501</v>
      </c>
      <c r="AT2377">
        <v>49.365322362101203</v>
      </c>
      <c r="CB2377">
        <v>-2.6260775204518501</v>
      </c>
      <c r="CC2377">
        <v>-1.68068961308918</v>
      </c>
    </row>
    <row r="2378" spans="39:81">
      <c r="AM2378" s="2"/>
      <c r="AN2378" s="2"/>
      <c r="AS2378">
        <v>-2.31057375782895</v>
      </c>
      <c r="AT2378">
        <v>49.808734676413998</v>
      </c>
      <c r="CB2378">
        <v>-2.31057375782895</v>
      </c>
      <c r="CC2378">
        <v>-1.4787672050105301</v>
      </c>
    </row>
    <row r="2379" spans="39:81">
      <c r="AM2379" s="2"/>
      <c r="AN2379" s="2"/>
      <c r="AS2379">
        <v>-1.98552547294538</v>
      </c>
      <c r="AT2379">
        <v>50.087676235367702</v>
      </c>
      <c r="CB2379">
        <v>-1.98552547294538</v>
      </c>
      <c r="CC2379">
        <v>-1.27073630268504</v>
      </c>
    </row>
    <row r="2380" spans="39:81">
      <c r="AM2380" s="2"/>
      <c r="AN2380" s="2"/>
      <c r="AS2380">
        <v>-1.66000727384251</v>
      </c>
      <c r="AT2380">
        <v>50.315769040108698</v>
      </c>
      <c r="CB2380">
        <v>-1.66000727384251</v>
      </c>
      <c r="CC2380">
        <v>-1.0624046552592099</v>
      </c>
    </row>
    <row r="2381" spans="39:81">
      <c r="AM2381" s="2"/>
      <c r="AN2381" s="2"/>
      <c r="AS2381">
        <v>-1.36242649596839</v>
      </c>
      <c r="AT2381">
        <v>50.453226518150402</v>
      </c>
      <c r="CB2381">
        <v>-1.36242649596839</v>
      </c>
      <c r="CC2381">
        <v>-0.87195295741976997</v>
      </c>
    </row>
    <row r="2382" spans="39:81">
      <c r="AM2382" s="2"/>
      <c r="AN2382" s="2"/>
      <c r="AS2382">
        <v>-1.0593778915557299</v>
      </c>
      <c r="AT2382">
        <v>50.457990378133502</v>
      </c>
      <c r="CB2382">
        <v>-1.0593778915557299</v>
      </c>
      <c r="CC2382">
        <v>-0.67800185059566898</v>
      </c>
    </row>
    <row r="2383" spans="39:81">
      <c r="AM2383" s="2"/>
      <c r="AN2383" s="2"/>
      <c r="AS2383">
        <v>-0.785479121652919</v>
      </c>
      <c r="AT2383">
        <v>50.556046365509303</v>
      </c>
      <c r="CB2383">
        <v>-0.785479121652919</v>
      </c>
      <c r="CC2383">
        <v>-0.50270663785786796</v>
      </c>
    </row>
    <row r="2384" spans="39:81">
      <c r="AM2384" s="2"/>
      <c r="AN2384" s="2"/>
      <c r="AS2384">
        <v>-0.51769300479440405</v>
      </c>
      <c r="AT2384">
        <v>50.685342970564598</v>
      </c>
      <c r="CB2384">
        <v>-0.51769300479440405</v>
      </c>
      <c r="CC2384">
        <v>-0.331323523068418</v>
      </c>
    </row>
    <row r="2385" spans="39:81">
      <c r="AM2385" s="2"/>
      <c r="AN2385" s="2"/>
      <c r="AS2385">
        <v>-0.21161652544495901</v>
      </c>
      <c r="AT2385">
        <v>50.853376818426902</v>
      </c>
      <c r="CB2385">
        <v>-0.21161652544495901</v>
      </c>
      <c r="CC2385">
        <v>-0.13543457628477401</v>
      </c>
    </row>
    <row r="2386" spans="39:81">
      <c r="AM2386" s="2"/>
      <c r="AN2386" s="2"/>
      <c r="AS2386">
        <v>6.3755502133968606E-2</v>
      </c>
      <c r="AT2386">
        <v>51.103706565053898</v>
      </c>
      <c r="CB2386">
        <v>6.3755502133968606E-2</v>
      </c>
      <c r="CC2386">
        <v>4.0803521365739899E-2</v>
      </c>
    </row>
    <row r="2387" spans="39:81">
      <c r="AM2387" s="2"/>
      <c r="AN2387" s="2"/>
      <c r="AS2387">
        <v>0.37425125648593699</v>
      </c>
      <c r="AT2387">
        <v>51.097083095573502</v>
      </c>
      <c r="CB2387">
        <v>0.37425125648593699</v>
      </c>
      <c r="CC2387">
        <v>0.23952080415099899</v>
      </c>
    </row>
    <row r="2388" spans="39:81">
      <c r="AM2388" s="2"/>
      <c r="AN2388" s="2"/>
      <c r="AS2388">
        <v>0.67680500236527696</v>
      </c>
      <c r="AT2388">
        <v>50.963977328710101</v>
      </c>
      <c r="CB2388">
        <v>0.67680500236527696</v>
      </c>
      <c r="CC2388">
        <v>0.43315520151377701</v>
      </c>
    </row>
    <row r="2389" spans="39:81">
      <c r="AM2389" s="2"/>
      <c r="AN2389" s="2"/>
      <c r="AS2389">
        <v>0.95386020419620299</v>
      </c>
      <c r="AT2389">
        <v>50.804671483700297</v>
      </c>
      <c r="CB2389">
        <v>0.95386020419620299</v>
      </c>
      <c r="CC2389">
        <v>0.61047053068557</v>
      </c>
    </row>
    <row r="2390" spans="39:81">
      <c r="AM2390" s="2"/>
      <c r="AN2390" s="2"/>
      <c r="AS2390">
        <v>1.27825805241309</v>
      </c>
      <c r="AT2390">
        <v>50.390863281364702</v>
      </c>
      <c r="CB2390">
        <v>1.27825805241309</v>
      </c>
      <c r="CC2390">
        <v>0.81808515354437705</v>
      </c>
    </row>
    <row r="2391" spans="39:81">
      <c r="AM2391" s="2"/>
      <c r="AN2391" s="2"/>
      <c r="AS2391">
        <v>1.57631669229511</v>
      </c>
      <c r="AT2391">
        <v>50.2142609559071</v>
      </c>
      <c r="CB2391">
        <v>1.57631669229511</v>
      </c>
      <c r="CC2391">
        <v>1.0088426830688699</v>
      </c>
    </row>
    <row r="2392" spans="39:81">
      <c r="AM2392" s="2"/>
      <c r="AN2392" s="2"/>
      <c r="AS2392">
        <v>1.89558912362696</v>
      </c>
      <c r="AT2392">
        <v>50.024921948094203</v>
      </c>
      <c r="CB2392">
        <v>1.89558912362696</v>
      </c>
      <c r="CC2392">
        <v>1.21317703912125</v>
      </c>
    </row>
    <row r="2393" spans="39:81">
      <c r="AM2393" s="2"/>
      <c r="AN2393" s="2"/>
      <c r="AS2393">
        <v>2.2238841489519099</v>
      </c>
      <c r="AT2393">
        <v>49.866985287530902</v>
      </c>
      <c r="CB2393">
        <v>2.2238841489519099</v>
      </c>
      <c r="CC2393">
        <v>1.42328585532922</v>
      </c>
    </row>
    <row r="2394" spans="39:81">
      <c r="AM2394" s="2"/>
      <c r="AN2394" s="2"/>
      <c r="AS2394">
        <v>2.5401647504435299</v>
      </c>
      <c r="AT2394">
        <v>49.751784294818599</v>
      </c>
      <c r="CB2394">
        <v>2.5401647504435299</v>
      </c>
      <c r="CC2394">
        <v>1.62570544028386</v>
      </c>
    </row>
    <row r="2395" spans="39:81">
      <c r="AM2395" s="2"/>
      <c r="AN2395" s="2"/>
      <c r="AS2395">
        <v>2.88239932461628</v>
      </c>
      <c r="AT2395">
        <v>49.3929405601151</v>
      </c>
      <c r="CB2395">
        <v>2.88239932461628</v>
      </c>
      <c r="CC2395">
        <v>1.8447355677544199</v>
      </c>
    </row>
    <row r="2396" spans="39:81">
      <c r="AM2396" s="2"/>
      <c r="AN2396" s="2"/>
      <c r="AS2396">
        <v>3.1949293551910301</v>
      </c>
      <c r="AT2396">
        <v>49.1757371908134</v>
      </c>
      <c r="CB2396">
        <v>3.1949293551910301</v>
      </c>
      <c r="CC2396">
        <v>2.04475478732226</v>
      </c>
    </row>
    <row r="2397" spans="39:81">
      <c r="AM2397" s="2"/>
      <c r="AN2397" s="2"/>
      <c r="AS2397">
        <v>3.5098456133077098</v>
      </c>
      <c r="AT2397">
        <v>48.595983273981098</v>
      </c>
      <c r="CB2397">
        <v>3.5098456133077098</v>
      </c>
      <c r="CC2397">
        <v>2.2463011925169298</v>
      </c>
    </row>
    <row r="2398" spans="39:81">
      <c r="AM2398" s="2"/>
      <c r="AN2398" s="2"/>
      <c r="AS2398">
        <v>3.8048836619008801</v>
      </c>
      <c r="AT2398">
        <v>48.1456124700304</v>
      </c>
      <c r="CB2398">
        <v>3.8048836619008801</v>
      </c>
      <c r="CC2398">
        <v>2.43512554361656</v>
      </c>
    </row>
    <row r="2399" spans="39:81">
      <c r="AM2399" s="2"/>
      <c r="AN2399" s="2"/>
      <c r="AS2399">
        <v>4.06319925939634</v>
      </c>
      <c r="AT2399">
        <v>47.853033246391</v>
      </c>
      <c r="CB2399">
        <v>4.06319925939634</v>
      </c>
      <c r="CC2399">
        <v>2.6004475260136499</v>
      </c>
    </row>
    <row r="2400" spans="39:81">
      <c r="AM2400" s="2"/>
      <c r="AN2400" s="2"/>
      <c r="AS2400">
        <v>4.3490844270036799</v>
      </c>
      <c r="AT2400">
        <v>47.411978510193002</v>
      </c>
      <c r="CB2400">
        <v>4.3490844270036799</v>
      </c>
      <c r="CC2400">
        <v>2.7834140332823498</v>
      </c>
    </row>
    <row r="2401" spans="39:81">
      <c r="AM2401" s="2"/>
      <c r="AN2401" s="2"/>
      <c r="AS2401">
        <v>4.6117301404485902</v>
      </c>
      <c r="AT2401">
        <v>47.447791101914603</v>
      </c>
      <c r="CB2401">
        <v>4.6117301404485902</v>
      </c>
      <c r="CC2401">
        <v>2.9515072898871</v>
      </c>
    </row>
    <row r="2402" spans="39:81">
      <c r="AM2402" s="2"/>
      <c r="AN2402" s="2"/>
      <c r="AS2402">
        <v>4.8962822830749602</v>
      </c>
      <c r="AT2402">
        <v>47.135178322507699</v>
      </c>
      <c r="CB2402">
        <v>4.8962822830749602</v>
      </c>
      <c r="CC2402">
        <v>3.1336206611679698</v>
      </c>
    </row>
    <row r="2403" spans="39:81">
      <c r="AM2403" s="2"/>
      <c r="AN2403" s="2"/>
      <c r="AS2403">
        <v>5.1813364736047003</v>
      </c>
      <c r="AT2403">
        <v>46.809469508932999</v>
      </c>
      <c r="CB2403">
        <v>5.1813364736047003</v>
      </c>
      <c r="CC2403">
        <v>3.3160553431070099</v>
      </c>
    </row>
    <row r="2404" spans="39:81">
      <c r="AM2404" s="2"/>
      <c r="AN2404" s="2"/>
      <c r="AS2404">
        <v>5.4181474744329696</v>
      </c>
      <c r="AT2404">
        <v>46.376267330513301</v>
      </c>
      <c r="CB2404">
        <v>5.4181474744329696</v>
      </c>
      <c r="CC2404">
        <v>3.4676143836371001</v>
      </c>
    </row>
    <row r="2405" spans="39:81">
      <c r="AM2405" s="2"/>
      <c r="AN2405" s="2"/>
      <c r="AS2405">
        <v>5.6524342616762899</v>
      </c>
      <c r="AT2405">
        <v>45.593766319449799</v>
      </c>
      <c r="CB2405">
        <v>5.6524342616762899</v>
      </c>
      <c r="CC2405">
        <v>3.6175579274728298</v>
      </c>
    </row>
    <row r="2406" spans="39:81">
      <c r="AM2406" s="2"/>
      <c r="AN2406" s="2"/>
      <c r="AS2406">
        <v>5.8520073343233401</v>
      </c>
      <c r="AT2406">
        <v>45.010475987441097</v>
      </c>
      <c r="CB2406">
        <v>5.8520073343233401</v>
      </c>
      <c r="CC2406">
        <v>3.74528469396693</v>
      </c>
    </row>
    <row r="2407" spans="39:81">
      <c r="AM2407" s="2"/>
      <c r="AN2407" s="2"/>
      <c r="AS2407">
        <v>6.0406685517229697</v>
      </c>
      <c r="AT2407">
        <v>44.512095955080703</v>
      </c>
      <c r="CB2407">
        <v>6.0406685517229697</v>
      </c>
      <c r="CC2407">
        <v>3.8660278731026998</v>
      </c>
    </row>
    <row r="2408" spans="39:81">
      <c r="AM2408" s="2"/>
      <c r="AN2408" s="2"/>
      <c r="AS2408">
        <v>6.2594612282187096</v>
      </c>
      <c r="AT2408">
        <v>44.117480401377598</v>
      </c>
      <c r="CB2408">
        <v>6.2594612282187096</v>
      </c>
      <c r="CC2408">
        <v>4.00605518605997</v>
      </c>
    </row>
    <row r="2409" spans="39:81">
      <c r="AM2409" s="2"/>
      <c r="AN2409" s="2"/>
      <c r="AS2409">
        <v>6.4761892167262003</v>
      </c>
      <c r="AT2409">
        <v>43.789395877283198</v>
      </c>
      <c r="CB2409">
        <v>6.4761892167262003</v>
      </c>
      <c r="CC2409">
        <v>4.1447610987047598</v>
      </c>
    </row>
    <row r="2410" spans="39:81">
      <c r="AM2410" s="2"/>
      <c r="AN2410" s="2"/>
      <c r="AS2410">
        <v>6.7003580084527403</v>
      </c>
      <c r="AT2410">
        <v>43.388155057674602</v>
      </c>
      <c r="CB2410">
        <v>6.7003580084527403</v>
      </c>
      <c r="CC2410">
        <v>4.2882291254097504</v>
      </c>
    </row>
    <row r="2411" spans="39:81">
      <c r="AM2411" s="2"/>
      <c r="AN2411" s="2"/>
      <c r="AS2411">
        <v>6.9187945758861602</v>
      </c>
      <c r="AT2411">
        <v>42.687310468099099</v>
      </c>
      <c r="CB2411">
        <v>6.9187945758861602</v>
      </c>
      <c r="CC2411">
        <v>4.4280285285671397</v>
      </c>
    </row>
    <row r="2412" spans="39:81">
      <c r="AM2412" s="2"/>
      <c r="AN2412" s="2"/>
      <c r="AS2412">
        <v>7.1077796831488698</v>
      </c>
      <c r="AT2412">
        <v>41.978943446572998</v>
      </c>
      <c r="CB2412">
        <v>7.1077796831488698</v>
      </c>
      <c r="CC2412">
        <v>4.5489789972152703</v>
      </c>
    </row>
    <row r="2413" spans="39:81">
      <c r="AM2413" s="2"/>
      <c r="AN2413" s="2"/>
      <c r="AS2413">
        <v>7.3123639201171002</v>
      </c>
      <c r="AT2413">
        <v>41.174006154033499</v>
      </c>
      <c r="CB2413">
        <v>7.3123639201171002</v>
      </c>
      <c r="CC2413">
        <v>4.6799129088749396</v>
      </c>
    </row>
    <row r="2414" spans="39:81">
      <c r="AM2414" s="2"/>
      <c r="AN2414" s="2"/>
      <c r="AS2414">
        <v>7.5267586981196999</v>
      </c>
      <c r="AT2414">
        <v>40.3391607079365</v>
      </c>
      <c r="CB2414">
        <v>7.5267586981196999</v>
      </c>
      <c r="CC2414">
        <v>4.8171255667966104</v>
      </c>
    </row>
    <row r="2415" spans="39:81">
      <c r="AM2415" s="2"/>
      <c r="AN2415" s="2"/>
      <c r="AS2415">
        <v>7.7365925643713398</v>
      </c>
      <c r="AT2415">
        <v>39.7776797212356</v>
      </c>
      <c r="CB2415">
        <v>7.7365925643713398</v>
      </c>
      <c r="CC2415">
        <v>4.9514192411976596</v>
      </c>
    </row>
    <row r="2416" spans="39:81">
      <c r="AM2416" s="2"/>
      <c r="AN2416" s="2"/>
      <c r="AS2416">
        <v>7.9659168964359797</v>
      </c>
      <c r="AT2416">
        <v>38.892795978768198</v>
      </c>
      <c r="CB2416">
        <v>7.9659168964359797</v>
      </c>
      <c r="CC2416">
        <v>5.09818681371903</v>
      </c>
    </row>
    <row r="2417" spans="39:81">
      <c r="AM2417" s="2"/>
      <c r="AN2417" s="2"/>
      <c r="AS2417">
        <v>8.16683923063019</v>
      </c>
      <c r="AT2417">
        <v>38.227499728406897</v>
      </c>
      <c r="CB2417">
        <v>8.16683923063019</v>
      </c>
      <c r="CC2417">
        <v>5.2267771076033203</v>
      </c>
    </row>
    <row r="2418" spans="39:81">
      <c r="AM2418" s="2"/>
      <c r="AN2418" s="2"/>
      <c r="AS2418">
        <v>8.3673536419903503</v>
      </c>
      <c r="AT2418">
        <v>37.472506984806401</v>
      </c>
      <c r="CB2418">
        <v>8.3673536419903503</v>
      </c>
      <c r="CC2418">
        <v>5.35510633087382</v>
      </c>
    </row>
    <row r="2419" spans="39:81">
      <c r="AM2419" s="2"/>
      <c r="AN2419" s="2"/>
      <c r="AS2419">
        <v>8.5809059408805304</v>
      </c>
      <c r="AT2419">
        <v>36.539248107713298</v>
      </c>
      <c r="CB2419">
        <v>8.5809059408805304</v>
      </c>
      <c r="CC2419">
        <v>5.4917798021635402</v>
      </c>
    </row>
    <row r="2420" spans="39:81">
      <c r="AM2420" s="2"/>
      <c r="AN2420" s="2"/>
      <c r="AS2420">
        <v>8.7603135367760192</v>
      </c>
      <c r="AT2420">
        <v>35.630491146417398</v>
      </c>
      <c r="CB2420">
        <v>8.7603135367760192</v>
      </c>
      <c r="CC2420">
        <v>5.6066006635366499</v>
      </c>
    </row>
    <row r="2421" spans="39:81">
      <c r="AM2421" s="2"/>
      <c r="AN2421" s="2"/>
      <c r="AS2421">
        <v>8.96401400819766</v>
      </c>
      <c r="AT2421">
        <v>34.510080530610303</v>
      </c>
      <c r="CB2421">
        <v>8.96401400819766</v>
      </c>
      <c r="CC2421">
        <v>5.7369689652464997</v>
      </c>
    </row>
    <row r="2422" spans="39:81">
      <c r="AM2422" s="2"/>
      <c r="AN2422" s="2"/>
      <c r="AS2422">
        <v>9.1538828615946404</v>
      </c>
      <c r="AT2422">
        <v>33.458200152584098</v>
      </c>
      <c r="CB2422">
        <v>9.1538828615946404</v>
      </c>
      <c r="CC2422">
        <v>5.8584850314205701</v>
      </c>
    </row>
    <row r="2423" spans="39:81">
      <c r="AM2423" s="2"/>
      <c r="AN2423" s="2"/>
      <c r="AS2423">
        <v>9.3191764418714396</v>
      </c>
      <c r="AT2423">
        <v>32.407251624247699</v>
      </c>
      <c r="CB2423">
        <v>9.3191764418714396</v>
      </c>
      <c r="CC2423">
        <v>5.9642729227977203</v>
      </c>
    </row>
    <row r="2424" spans="39:81">
      <c r="AM2424" s="2"/>
      <c r="AN2424" s="2"/>
      <c r="AS2424">
        <v>9.5008970378695903</v>
      </c>
      <c r="AT2424">
        <v>31.4643526654148</v>
      </c>
      <c r="CB2424">
        <v>9.5008970378695903</v>
      </c>
      <c r="CC2424">
        <v>6.08057410423653</v>
      </c>
    </row>
    <row r="2425" spans="39:81">
      <c r="AM2425" s="2"/>
      <c r="AN2425" s="2"/>
      <c r="AS2425">
        <v>9.6700070499084507</v>
      </c>
      <c r="AT2425">
        <v>30.5493221127875</v>
      </c>
      <c r="CB2425">
        <v>9.6700070499084507</v>
      </c>
      <c r="CC2425">
        <v>6.1888045119414103</v>
      </c>
    </row>
    <row r="2426" spans="39:81">
      <c r="AM2426" s="2"/>
      <c r="AN2426" s="2"/>
      <c r="AS2426">
        <v>9.8233985198863198</v>
      </c>
      <c r="AT2426">
        <v>29.5127586049922</v>
      </c>
      <c r="CB2426">
        <v>9.8233985198863198</v>
      </c>
      <c r="CC2426">
        <v>6.2869750527272403</v>
      </c>
    </row>
    <row r="2427" spans="39:81">
      <c r="AM2427" s="2"/>
      <c r="AN2427" s="2"/>
      <c r="AS2427">
        <v>9.9947798374051704</v>
      </c>
      <c r="AT2427">
        <v>28.403159392985302</v>
      </c>
      <c r="CB2427">
        <v>9.9947798374051704</v>
      </c>
      <c r="CC2427">
        <v>6.3966590959393104</v>
      </c>
    </row>
    <row r="2428" spans="39:81">
      <c r="AM2428" s="2"/>
      <c r="AN2428" s="2"/>
      <c r="AS2428">
        <v>10.137090489760499</v>
      </c>
      <c r="AT2428">
        <v>27.1239260994153</v>
      </c>
      <c r="CB2428">
        <v>10.137090489760499</v>
      </c>
      <c r="CC2428">
        <v>6.4877379134467503</v>
      </c>
    </row>
    <row r="2429" spans="39:81">
      <c r="AM2429" s="2"/>
      <c r="AN2429" s="2"/>
      <c r="AS2429">
        <v>10.2813450572494</v>
      </c>
      <c r="AT2429">
        <v>25.856507617370202</v>
      </c>
      <c r="CB2429">
        <v>10.2813450572494</v>
      </c>
      <c r="CC2429">
        <v>6.5800608366396096</v>
      </c>
    </row>
    <row r="2430" spans="39:81">
      <c r="AM2430" s="2"/>
      <c r="AN2430" s="2"/>
      <c r="AS2430">
        <v>10.4353097674138</v>
      </c>
      <c r="AT2430">
        <v>24.7731575965506</v>
      </c>
      <c r="CB2430">
        <v>10.4353097674138</v>
      </c>
      <c r="CC2430">
        <v>6.67859825114488</v>
      </c>
    </row>
    <row r="2431" spans="39:81">
      <c r="AM2431" s="2"/>
      <c r="AN2431" s="2"/>
      <c r="AS2431">
        <v>10.5380459400468</v>
      </c>
      <c r="AT2431">
        <v>23.743901052846802</v>
      </c>
      <c r="CB2431">
        <v>10.5380459400468</v>
      </c>
      <c r="CC2431">
        <v>6.7443494016300001</v>
      </c>
    </row>
    <row r="2432" spans="39:81">
      <c r="AM2432" s="2"/>
      <c r="AN2432" s="2"/>
      <c r="AS2432">
        <v>10.664027673562099</v>
      </c>
      <c r="AT2432">
        <v>22.809065570256202</v>
      </c>
      <c r="CB2432">
        <v>10.664027673562099</v>
      </c>
      <c r="CC2432">
        <v>6.8249777110798</v>
      </c>
    </row>
    <row r="2433" spans="39:81">
      <c r="AM2433" s="2"/>
      <c r="AN2433" s="2"/>
      <c r="AS2433">
        <v>10.7822876121935</v>
      </c>
      <c r="AT2433">
        <v>21.902276727525901</v>
      </c>
      <c r="CB2433">
        <v>10.7822876121935</v>
      </c>
      <c r="CC2433">
        <v>6.9006640718038801</v>
      </c>
    </row>
    <row r="2434" spans="39:81">
      <c r="AM2434" s="2"/>
      <c r="AN2434" s="2"/>
      <c r="AS2434">
        <v>10.8813110439336</v>
      </c>
      <c r="AT2434">
        <v>20.741810959952598</v>
      </c>
      <c r="CB2434">
        <v>10.8813110439336</v>
      </c>
      <c r="CC2434">
        <v>6.9640390681174997</v>
      </c>
    </row>
    <row r="2435" spans="39:81">
      <c r="AM2435" s="2"/>
      <c r="AN2435" s="2"/>
      <c r="AS2435">
        <v>11.0343314859121</v>
      </c>
      <c r="AT2435">
        <v>19.549187786736798</v>
      </c>
      <c r="CB2435">
        <v>11.0343314859121</v>
      </c>
      <c r="CC2435">
        <v>7.0619721509837596</v>
      </c>
    </row>
    <row r="2436" spans="39:81">
      <c r="AM2436" s="2"/>
      <c r="AN2436" s="2"/>
      <c r="AS2436">
        <v>11.158836133545201</v>
      </c>
      <c r="AT2436">
        <v>18.289079934868301</v>
      </c>
      <c r="CB2436">
        <v>11.158836133545201</v>
      </c>
      <c r="CC2436">
        <v>7.1416551254689598</v>
      </c>
    </row>
    <row r="2437" spans="39:81">
      <c r="AM2437" s="2"/>
      <c r="AN2437" s="2"/>
      <c r="AS2437">
        <v>11.3022664959697</v>
      </c>
      <c r="AT2437">
        <v>17.068733660726199</v>
      </c>
      <c r="CB2437">
        <v>11.3022664959697</v>
      </c>
      <c r="CC2437">
        <v>7.23345055742063</v>
      </c>
    </row>
    <row r="2438" spans="39:81">
      <c r="AM2438" s="2"/>
      <c r="AN2438" s="2"/>
      <c r="AS2438">
        <v>11.4435832771057</v>
      </c>
      <c r="AT2438">
        <v>15.9277673321817</v>
      </c>
      <c r="CB2438">
        <v>11.4435832771057</v>
      </c>
      <c r="CC2438">
        <v>7.3238932973476603</v>
      </c>
    </row>
    <row r="2439" spans="39:81">
      <c r="AM2439" s="2"/>
      <c r="AN2439" s="2"/>
      <c r="AS2439">
        <v>11.5130089932321</v>
      </c>
      <c r="AT2439">
        <v>14.680286341754099</v>
      </c>
      <c r="CB2439">
        <v>11.5130089932321</v>
      </c>
      <c r="CC2439">
        <v>7.36832575566857</v>
      </c>
    </row>
    <row r="2440" spans="39:81">
      <c r="AM2440" s="2"/>
      <c r="AN2440" s="2"/>
      <c r="AS2440">
        <v>11.615397153357099</v>
      </c>
      <c r="AT2440">
        <v>13.7406166548363</v>
      </c>
      <c r="CB2440">
        <v>11.615397153357099</v>
      </c>
      <c r="CC2440">
        <v>7.4338541781486001</v>
      </c>
    </row>
    <row r="2441" spans="39:81">
      <c r="AM2441" s="2"/>
      <c r="AN2441" s="2"/>
      <c r="AS2441">
        <v>11.6630120880546</v>
      </c>
      <c r="AT2441">
        <v>12.4702432206262</v>
      </c>
      <c r="CB2441">
        <v>11.6630120880546</v>
      </c>
      <c r="CC2441">
        <v>7.464327736355</v>
      </c>
    </row>
    <row r="2442" spans="39:81">
      <c r="AM2442" s="2"/>
      <c r="AN2442" s="2"/>
      <c r="AS2442">
        <v>11.692105229643801</v>
      </c>
      <c r="AT2442">
        <v>11.2587450237878</v>
      </c>
      <c r="CB2442">
        <v>11.692105229643801</v>
      </c>
      <c r="CC2442">
        <v>7.48294734697203</v>
      </c>
    </row>
    <row r="2443" spans="39:81">
      <c r="AM2443" s="2"/>
      <c r="AN2443" s="2"/>
      <c r="AS2443">
        <v>11.7587307657527</v>
      </c>
      <c r="AT2443">
        <v>9.9291820065960898</v>
      </c>
      <c r="CB2443">
        <v>11.7587307657527</v>
      </c>
      <c r="CC2443">
        <v>7.5255876900817196</v>
      </c>
    </row>
    <row r="2444" spans="39:81">
      <c r="AM2444" s="2"/>
      <c r="AN2444" s="2"/>
      <c r="AS2444">
        <v>11.7878510164917</v>
      </c>
      <c r="AT2444">
        <v>8.3038775821115909</v>
      </c>
      <c r="CB2444">
        <v>11.7878510164917</v>
      </c>
      <c r="CC2444">
        <v>7.5442246505546899</v>
      </c>
    </row>
    <row r="2445" spans="39:81">
      <c r="AM2445" s="2"/>
      <c r="AN2445" s="2"/>
      <c r="AS2445">
        <v>11.867208357480299</v>
      </c>
      <c r="AT2445">
        <v>7.0037502119021102</v>
      </c>
      <c r="CB2445">
        <v>11.867208357480299</v>
      </c>
      <c r="CC2445">
        <v>7.5950133487874298</v>
      </c>
    </row>
    <row r="2446" spans="39:81">
      <c r="AM2446" s="2"/>
      <c r="AN2446" s="2"/>
      <c r="AS2446">
        <v>11.9388575171093</v>
      </c>
      <c r="AT2446">
        <v>5.5535555276136899</v>
      </c>
      <c r="CB2446">
        <v>11.9388575171093</v>
      </c>
      <c r="CC2446">
        <v>7.6408688109499998</v>
      </c>
    </row>
    <row r="2447" spans="39:81">
      <c r="AM2447" s="2"/>
      <c r="AN2447" s="2"/>
      <c r="AS2447">
        <v>11.9593283207538</v>
      </c>
      <c r="AT2447">
        <v>4.3836823864545202</v>
      </c>
      <c r="CB2447">
        <v>11.9593283207538</v>
      </c>
      <c r="CC2447">
        <v>7.6539701252824299</v>
      </c>
    </row>
    <row r="2448" spans="39:81">
      <c r="AM2448" s="2"/>
      <c r="AN2448" s="2"/>
      <c r="AS2448">
        <v>11.979336579390701</v>
      </c>
      <c r="AT2448">
        <v>3.3338512606654498</v>
      </c>
      <c r="CB2448">
        <v>11.979336579390701</v>
      </c>
      <c r="CC2448">
        <v>7.6667754108100903</v>
      </c>
    </row>
    <row r="2449" spans="39:81">
      <c r="AM2449" s="2"/>
      <c r="AN2449" s="2"/>
      <c r="AS2449">
        <v>11.932750570096699</v>
      </c>
      <c r="AT2449">
        <v>2.1069961148988599</v>
      </c>
      <c r="CB2449">
        <v>11.932750570096699</v>
      </c>
      <c r="CC2449">
        <v>7.6369603648619204</v>
      </c>
    </row>
    <row r="2450" spans="39:81">
      <c r="AM2450" s="2"/>
      <c r="AN2450" s="2"/>
      <c r="AS2450">
        <v>11.8889771624053</v>
      </c>
      <c r="AT2450">
        <v>0.77384725514377795</v>
      </c>
      <c r="CB2450">
        <v>11.8889771624053</v>
      </c>
      <c r="CC2450">
        <v>7.6089453839394103</v>
      </c>
    </row>
    <row r="2451" spans="39:81">
      <c r="AM2451" s="2"/>
      <c r="AN2451" s="2"/>
      <c r="AS2451">
        <v>11.891229155651001</v>
      </c>
      <c r="AT2451">
        <v>-0.71588312476649196</v>
      </c>
      <c r="CB2451">
        <v>11.891229155651001</v>
      </c>
      <c r="CC2451">
        <v>7.6103866596166396</v>
      </c>
    </row>
    <row r="2452" spans="39:81">
      <c r="AM2452" s="2"/>
      <c r="AN2452" s="2"/>
      <c r="AS2452">
        <v>11.868187994769601</v>
      </c>
      <c r="AT2452">
        <v>-2.2979013812488298</v>
      </c>
      <c r="CB2452">
        <v>11.868187994769601</v>
      </c>
      <c r="CC2452">
        <v>7.5956403166525996</v>
      </c>
    </row>
    <row r="2453" spans="39:81">
      <c r="AM2453" s="2"/>
      <c r="AN2453" s="2"/>
      <c r="AS2453">
        <v>11.8720576669902</v>
      </c>
      <c r="AT2453">
        <v>-3.7246305421000101</v>
      </c>
      <c r="CB2453">
        <v>11.8720576669902</v>
      </c>
      <c r="CC2453">
        <v>7.5981169068737797</v>
      </c>
    </row>
    <row r="2454" spans="39:81">
      <c r="AM2454" s="2"/>
      <c r="AN2454" s="2"/>
      <c r="AS2454">
        <v>11.8458042892298</v>
      </c>
      <c r="AT2454">
        <v>-4.9096455641066603</v>
      </c>
      <c r="CB2454">
        <v>11.8458042892298</v>
      </c>
      <c r="CC2454">
        <v>7.5813147451070897</v>
      </c>
    </row>
    <row r="2455" spans="39:81">
      <c r="AM2455" s="2"/>
      <c r="AN2455" s="2"/>
      <c r="AS2455">
        <v>11.756112405610599</v>
      </c>
      <c r="AT2455">
        <v>-6.1397589572553803</v>
      </c>
      <c r="CB2455">
        <v>11.756112405610599</v>
      </c>
      <c r="CC2455">
        <v>7.5239119395907901</v>
      </c>
    </row>
    <row r="2456" spans="39:81">
      <c r="AM2456" s="2"/>
      <c r="AN2456" s="2"/>
      <c r="AS2456">
        <v>11.7019041805207</v>
      </c>
      <c r="AT2456">
        <v>-7.2055324135707304</v>
      </c>
      <c r="CB2456">
        <v>11.7019041805207</v>
      </c>
      <c r="CC2456">
        <v>7.4892186755332997</v>
      </c>
    </row>
    <row r="2457" spans="39:81">
      <c r="AM2457" s="2"/>
      <c r="AN2457" s="2"/>
      <c r="AS2457">
        <v>11.619520156590699</v>
      </c>
      <c r="AT2457">
        <v>-8.5591539597260091</v>
      </c>
      <c r="CB2457">
        <v>11.619520156590699</v>
      </c>
      <c r="CC2457">
        <v>7.4364929002180897</v>
      </c>
    </row>
    <row r="2458" spans="39:81">
      <c r="AM2458" s="2"/>
      <c r="AN2458" s="2"/>
      <c r="AS2458">
        <v>11.5513507958267</v>
      </c>
      <c r="AT2458">
        <v>-9.9294093094858393</v>
      </c>
      <c r="CB2458">
        <v>11.5513507958267</v>
      </c>
      <c r="CC2458">
        <v>7.3928645093291401</v>
      </c>
    </row>
    <row r="2459" spans="39:81">
      <c r="AM2459" s="2"/>
      <c r="AN2459" s="2"/>
      <c r="AS2459">
        <v>11.5135096947003</v>
      </c>
      <c r="AT2459">
        <v>-11.155578760621401</v>
      </c>
      <c r="CB2459">
        <v>11.5135096947003</v>
      </c>
      <c r="CC2459">
        <v>7.3686462046082104</v>
      </c>
    </row>
    <row r="2460" spans="39:81">
      <c r="AM2460" s="2"/>
      <c r="AN2460" s="2"/>
      <c r="AS2460">
        <v>11.420398301215901</v>
      </c>
      <c r="AT2460">
        <v>-12.605411405671701</v>
      </c>
      <c r="CB2460">
        <v>11.420398301215901</v>
      </c>
      <c r="CC2460">
        <v>7.3090549127781896</v>
      </c>
    </row>
    <row r="2461" spans="39:81">
      <c r="AM2461" s="2"/>
      <c r="AN2461" s="2"/>
      <c r="AS2461">
        <v>11.361832356049099</v>
      </c>
      <c r="AT2461">
        <v>-13.810245873448601</v>
      </c>
      <c r="CB2461">
        <v>11.361832356049099</v>
      </c>
      <c r="CC2461">
        <v>7.2715727078714698</v>
      </c>
    </row>
    <row r="2462" spans="39:81">
      <c r="AM2462" s="2"/>
      <c r="AN2462" s="2"/>
      <c r="AS2462">
        <v>11.269989332578399</v>
      </c>
      <c r="AT2462">
        <v>-15.0700842039896</v>
      </c>
      <c r="CB2462">
        <v>11.269989332578399</v>
      </c>
      <c r="CC2462">
        <v>7.2127931728501897</v>
      </c>
    </row>
    <row r="2463" spans="39:81">
      <c r="AM2463" s="2"/>
      <c r="AN2463" s="2"/>
      <c r="AS2463">
        <v>11.1534430658969</v>
      </c>
      <c r="AT2463">
        <v>-16.1528066342572</v>
      </c>
      <c r="CB2463">
        <v>11.1534430658969</v>
      </c>
      <c r="CC2463">
        <v>7.1382035621740503</v>
      </c>
    </row>
    <row r="2464" spans="39:81">
      <c r="AM2464" s="2"/>
      <c r="AN2464" s="2"/>
      <c r="AS2464">
        <v>11.0652323637888</v>
      </c>
      <c r="AT2464">
        <v>-17.220698808926802</v>
      </c>
      <c r="CB2464">
        <v>11.0652323637888</v>
      </c>
      <c r="CC2464">
        <v>7.0817487128248704</v>
      </c>
    </row>
    <row r="2465" spans="39:81">
      <c r="AM2465" s="2"/>
      <c r="AN2465" s="2"/>
      <c r="AS2465">
        <v>10.934234354051201</v>
      </c>
      <c r="AT2465">
        <v>-18.284326759691499</v>
      </c>
      <c r="CB2465">
        <v>10.934234354051201</v>
      </c>
      <c r="CC2465">
        <v>6.9979099865927701</v>
      </c>
    </row>
    <row r="2466" spans="39:81">
      <c r="AM2466" s="2"/>
      <c r="AN2466" s="2"/>
      <c r="AS2466">
        <v>10.828036797760401</v>
      </c>
      <c r="AT2466">
        <v>-19.423205764715899</v>
      </c>
      <c r="CB2466">
        <v>10.828036797760401</v>
      </c>
      <c r="CC2466">
        <v>6.9299435505666702</v>
      </c>
    </row>
    <row r="2467" spans="39:81">
      <c r="AM2467" s="2"/>
      <c r="AN2467" s="2"/>
      <c r="AS2467">
        <v>10.744243007172701</v>
      </c>
      <c r="AT2467">
        <v>-20.719872674021602</v>
      </c>
      <c r="CB2467">
        <v>10.744243007172701</v>
      </c>
      <c r="CC2467">
        <v>6.8763155245905301</v>
      </c>
    </row>
    <row r="2468" spans="39:81">
      <c r="AM2468" s="2"/>
      <c r="AN2468" s="2"/>
      <c r="AS2468">
        <v>10.6452064403117</v>
      </c>
      <c r="AT2468">
        <v>-21.9738458607487</v>
      </c>
      <c r="CB2468">
        <v>10.6452064403117</v>
      </c>
      <c r="CC2468">
        <v>6.8129321217995198</v>
      </c>
    </row>
    <row r="2469" spans="39:81">
      <c r="AM2469" s="2"/>
      <c r="AN2469" s="2"/>
      <c r="AS2469">
        <v>10.5735390594671</v>
      </c>
      <c r="AT2469">
        <v>-23.129628122774498</v>
      </c>
      <c r="CB2469">
        <v>10.5735390594671</v>
      </c>
      <c r="CC2469">
        <v>6.7670649980589799</v>
      </c>
    </row>
    <row r="2470" spans="39:81">
      <c r="AM2470" s="2"/>
      <c r="AN2470" s="2"/>
      <c r="AS2470">
        <v>10.461686935218401</v>
      </c>
      <c r="AT2470">
        <v>-24.206920801544999</v>
      </c>
      <c r="CB2470">
        <v>10.461686935218401</v>
      </c>
      <c r="CC2470">
        <v>6.6954796385398003</v>
      </c>
    </row>
    <row r="2471" spans="39:81">
      <c r="AM2471" s="2"/>
      <c r="AN2471" s="2"/>
      <c r="AS2471">
        <v>10.3323914455425</v>
      </c>
      <c r="AT2471">
        <v>-25.108554364201201</v>
      </c>
      <c r="CB2471">
        <v>10.3323914455425</v>
      </c>
      <c r="CC2471">
        <v>6.6127305251472501</v>
      </c>
    </row>
    <row r="2472" spans="39:81">
      <c r="AM2472" s="2"/>
      <c r="AN2472" s="2"/>
      <c r="AS2472">
        <v>10.216273416138799</v>
      </c>
      <c r="AT2472">
        <v>-26.140527569625501</v>
      </c>
      <c r="CB2472">
        <v>10.216273416138799</v>
      </c>
      <c r="CC2472">
        <v>6.5384149863288803</v>
      </c>
    </row>
    <row r="2473" spans="39:81">
      <c r="AM2473" s="2"/>
      <c r="AN2473" s="2"/>
      <c r="AS2473">
        <v>10.055802333928099</v>
      </c>
      <c r="AT2473">
        <v>-27.344570734805899</v>
      </c>
      <c r="CB2473">
        <v>10.055802333928099</v>
      </c>
      <c r="CC2473">
        <v>6.4357134937140001</v>
      </c>
    </row>
    <row r="2474" spans="39:81">
      <c r="AM2474" s="2"/>
      <c r="AN2474" s="2"/>
      <c r="AS2474">
        <v>9.9069723367332791</v>
      </c>
      <c r="AT2474">
        <v>-28.512795578282901</v>
      </c>
      <c r="CB2474">
        <v>9.9069723367332791</v>
      </c>
      <c r="CC2474">
        <v>6.3404622955093002</v>
      </c>
    </row>
    <row r="2475" spans="39:81">
      <c r="AM2475" s="2"/>
      <c r="AN2475" s="2"/>
      <c r="AS2475">
        <v>9.75485598296215</v>
      </c>
      <c r="AT2475">
        <v>-29.859389857269001</v>
      </c>
      <c r="CB2475">
        <v>9.75485598296215</v>
      </c>
      <c r="CC2475">
        <v>6.24310782909577</v>
      </c>
    </row>
    <row r="2476" spans="39:81">
      <c r="AM2476" s="2"/>
      <c r="AN2476" s="2"/>
      <c r="AS2476">
        <v>9.5753344466314907</v>
      </c>
      <c r="AT2476">
        <v>-31.012993483973201</v>
      </c>
      <c r="CB2476">
        <v>9.5753344466314907</v>
      </c>
      <c r="CC2476">
        <v>6.1282140458441496</v>
      </c>
    </row>
    <row r="2477" spans="39:81">
      <c r="AM2477" s="2"/>
      <c r="AN2477" s="2"/>
      <c r="AS2477">
        <v>9.4123610665383204</v>
      </c>
      <c r="AT2477">
        <v>-32.0432526399631</v>
      </c>
      <c r="CB2477">
        <v>9.4123610665383204</v>
      </c>
      <c r="CC2477">
        <v>6.0239110825845197</v>
      </c>
    </row>
    <row r="2478" spans="39:81">
      <c r="AM2478" s="2"/>
      <c r="AN2478" s="2"/>
      <c r="AS2478">
        <v>9.2562718714482592</v>
      </c>
      <c r="AT2478">
        <v>-33.015580092184003</v>
      </c>
      <c r="CB2478">
        <v>9.2562718714482592</v>
      </c>
      <c r="CC2478">
        <v>5.92401399772689</v>
      </c>
    </row>
    <row r="2479" spans="39:81">
      <c r="AM2479" s="2"/>
      <c r="AN2479" s="2"/>
      <c r="AS2479">
        <v>9.0739214884460004</v>
      </c>
      <c r="AT2479">
        <v>-33.898824165705499</v>
      </c>
      <c r="CB2479">
        <v>9.0739214884460004</v>
      </c>
      <c r="CC2479">
        <v>5.8073097526054402</v>
      </c>
    </row>
    <row r="2480" spans="39:81">
      <c r="AM2480" s="2"/>
      <c r="AN2480" s="2"/>
      <c r="AS2480">
        <v>8.9038389451246491</v>
      </c>
      <c r="AT2480">
        <v>-34.9312467458359</v>
      </c>
      <c r="CB2480">
        <v>8.9038389451246491</v>
      </c>
      <c r="CC2480">
        <v>5.6984569248797801</v>
      </c>
    </row>
    <row r="2481" spans="39:81">
      <c r="AM2481" s="2"/>
      <c r="AN2481" s="2"/>
      <c r="AS2481">
        <v>8.6980896727823804</v>
      </c>
      <c r="AT2481">
        <v>-35.879429941425101</v>
      </c>
      <c r="CB2481">
        <v>8.6980896727823804</v>
      </c>
      <c r="CC2481">
        <v>5.5667773905807199</v>
      </c>
    </row>
    <row r="2482" spans="39:81">
      <c r="AM2482" s="2"/>
      <c r="AN2482" s="2"/>
      <c r="AS2482">
        <v>8.4818258747100792</v>
      </c>
      <c r="AT2482">
        <v>-36.875210906275903</v>
      </c>
      <c r="CB2482">
        <v>8.4818258747100792</v>
      </c>
      <c r="CC2482">
        <v>5.4283685598144498</v>
      </c>
    </row>
    <row r="2483" spans="39:81">
      <c r="AM2483" s="2"/>
      <c r="AN2483" s="2"/>
      <c r="AS2483">
        <v>8.2883439198583595</v>
      </c>
      <c r="AT2483">
        <v>-37.978805235261603</v>
      </c>
      <c r="CB2483">
        <v>8.2883439198583595</v>
      </c>
      <c r="CC2483">
        <v>5.3045401087093502</v>
      </c>
    </row>
    <row r="2484" spans="39:81">
      <c r="AM2484" s="2"/>
      <c r="AN2484" s="2"/>
      <c r="AS2484">
        <v>8.0685795772459308</v>
      </c>
      <c r="AT2484">
        <v>-38.713014760974197</v>
      </c>
      <c r="CB2484">
        <v>8.0685795772459308</v>
      </c>
      <c r="CC2484">
        <v>5.1638909294373896</v>
      </c>
    </row>
    <row r="2485" spans="39:81">
      <c r="AM2485" s="2"/>
      <c r="AN2485" s="2"/>
      <c r="AS2485">
        <v>7.85167993984936</v>
      </c>
      <c r="AT2485">
        <v>-39.640199283332201</v>
      </c>
      <c r="CB2485">
        <v>7.85167993984936</v>
      </c>
      <c r="CC2485">
        <v>5.0250751615035902</v>
      </c>
    </row>
    <row r="2486" spans="39:81">
      <c r="AM2486" s="2"/>
      <c r="AN2486" s="2"/>
      <c r="AS2486">
        <v>7.6410863091771803</v>
      </c>
      <c r="AT2486">
        <v>-40.180194046992597</v>
      </c>
      <c r="CB2486">
        <v>7.6410863091771803</v>
      </c>
      <c r="CC2486">
        <v>4.8902952378733904</v>
      </c>
    </row>
    <row r="2487" spans="39:81">
      <c r="AM2487" s="2"/>
      <c r="AN2487" s="2"/>
      <c r="AS2487">
        <v>7.4152312866955397</v>
      </c>
      <c r="AT2487">
        <v>-40.714851996192102</v>
      </c>
      <c r="CB2487">
        <v>7.4152312866955397</v>
      </c>
      <c r="CC2487">
        <v>4.7457480234851399</v>
      </c>
    </row>
    <row r="2488" spans="39:81">
      <c r="AM2488" s="2"/>
      <c r="AN2488" s="2"/>
      <c r="AS2488">
        <v>7.2195432250343901</v>
      </c>
      <c r="AT2488">
        <v>-41.475786350929702</v>
      </c>
      <c r="CB2488">
        <v>7.2195432250343901</v>
      </c>
      <c r="CC2488">
        <v>4.6205076640220097</v>
      </c>
    </row>
    <row r="2489" spans="39:81">
      <c r="AM2489" s="2"/>
      <c r="AN2489" s="2"/>
      <c r="AS2489">
        <v>7.0229024487265699</v>
      </c>
      <c r="AT2489">
        <v>-42.095282168476899</v>
      </c>
      <c r="CB2489">
        <v>7.0229024487265699</v>
      </c>
      <c r="CC2489">
        <v>4.4946575671850004</v>
      </c>
    </row>
    <row r="2490" spans="39:81">
      <c r="AM2490" s="2"/>
      <c r="AN2490" s="2"/>
      <c r="AS2490">
        <v>6.8115958160578103</v>
      </c>
      <c r="AT2490">
        <v>-43.003104088290698</v>
      </c>
      <c r="CB2490">
        <v>6.8115958160578103</v>
      </c>
      <c r="CC2490">
        <v>4.359421322277</v>
      </c>
    </row>
    <row r="2491" spans="39:81">
      <c r="AM2491" s="2"/>
      <c r="AN2491" s="2"/>
      <c r="AS2491">
        <v>6.5967992145638901</v>
      </c>
      <c r="AT2491">
        <v>-43.8142439285661</v>
      </c>
      <c r="CB2491">
        <v>6.5967992145638901</v>
      </c>
      <c r="CC2491">
        <v>4.22195149732089</v>
      </c>
    </row>
    <row r="2492" spans="39:81">
      <c r="AM2492" s="2"/>
      <c r="AN2492" s="2"/>
      <c r="AS2492">
        <v>6.3455619904258098</v>
      </c>
      <c r="AT2492">
        <v>-44.427762998599697</v>
      </c>
      <c r="CB2492">
        <v>6.3455619904258098</v>
      </c>
      <c r="CC2492">
        <v>4.0611596738725204</v>
      </c>
    </row>
    <row r="2493" spans="39:81">
      <c r="AM2493" s="2"/>
      <c r="AN2493" s="2"/>
      <c r="AS2493">
        <v>6.1008078580968901</v>
      </c>
      <c r="AT2493">
        <v>-44.910451894783499</v>
      </c>
      <c r="CB2493">
        <v>6.1008078580968901</v>
      </c>
      <c r="CC2493">
        <v>3.9045170291820099</v>
      </c>
    </row>
    <row r="2494" spans="39:81">
      <c r="AM2494" s="2"/>
      <c r="AN2494" s="2"/>
      <c r="AS2494">
        <v>5.8644974083972201</v>
      </c>
      <c r="AT2494">
        <v>-45.282029334317599</v>
      </c>
      <c r="CB2494">
        <v>5.8644974083972201</v>
      </c>
      <c r="CC2494">
        <v>3.7532783413742199</v>
      </c>
    </row>
    <row r="2495" spans="39:81">
      <c r="AM2495" s="2"/>
      <c r="AN2495" s="2"/>
      <c r="AS2495">
        <v>5.6065892995497597</v>
      </c>
      <c r="AT2495">
        <v>-45.574513200671497</v>
      </c>
      <c r="CB2495">
        <v>5.6065892995497597</v>
      </c>
      <c r="CC2495">
        <v>3.5882171517118402</v>
      </c>
    </row>
    <row r="2496" spans="39:81">
      <c r="AM2496" s="2"/>
      <c r="AN2496" s="2"/>
      <c r="AS2496">
        <v>5.3655568302470096</v>
      </c>
      <c r="AT2496">
        <v>-46.110460167363897</v>
      </c>
      <c r="CB2496">
        <v>5.3655568302470096</v>
      </c>
      <c r="CC2496">
        <v>3.4339563713580801</v>
      </c>
    </row>
    <row r="2497" spans="39:81">
      <c r="AM2497" s="2"/>
      <c r="AN2497" s="2"/>
      <c r="AS2497">
        <v>5.0835173243492804</v>
      </c>
      <c r="AT2497">
        <v>-46.687827589817303</v>
      </c>
      <c r="CB2497">
        <v>5.0835173243492804</v>
      </c>
      <c r="CC2497">
        <v>3.2534510875835401</v>
      </c>
    </row>
    <row r="2498" spans="39:81">
      <c r="AM2498" s="2"/>
      <c r="AN2498" s="2"/>
      <c r="AS2498">
        <v>4.7774800607967602</v>
      </c>
      <c r="AT2498">
        <v>-47.1950157373171</v>
      </c>
      <c r="CB2498">
        <v>4.7774800607967602</v>
      </c>
      <c r="CC2498">
        <v>3.0575872389099299</v>
      </c>
    </row>
    <row r="2499" spans="39:81">
      <c r="AM2499" s="2"/>
      <c r="AN2499" s="2"/>
      <c r="AS2499">
        <v>4.4848914539335203</v>
      </c>
      <c r="AT2499">
        <v>-47.820821367960797</v>
      </c>
      <c r="CB2499">
        <v>4.4848914539335203</v>
      </c>
      <c r="CC2499">
        <v>2.87033053051745</v>
      </c>
    </row>
    <row r="2500" spans="39:81">
      <c r="AM2500" s="2"/>
      <c r="AN2500" s="2"/>
      <c r="AS2500">
        <v>4.16011859376228</v>
      </c>
      <c r="AT2500">
        <v>-47.9676481263798</v>
      </c>
      <c r="CB2500">
        <v>4.16011859376228</v>
      </c>
      <c r="CC2500">
        <v>2.6624759000078599</v>
      </c>
    </row>
    <row r="2501" spans="39:81">
      <c r="AM2501" s="2"/>
      <c r="AN2501" s="2"/>
      <c r="AS2501">
        <v>3.8639342856846102</v>
      </c>
      <c r="AT2501">
        <v>-48.279142947786802</v>
      </c>
      <c r="CB2501">
        <v>3.8639342856846102</v>
      </c>
      <c r="CC2501">
        <v>2.47291794283815</v>
      </c>
    </row>
    <row r="2502" spans="39:81">
      <c r="AM2502" s="2"/>
      <c r="AN2502" s="2"/>
      <c r="AS2502">
        <v>3.5666805867783702</v>
      </c>
      <c r="AT2502">
        <v>-48.541249883989899</v>
      </c>
      <c r="CB2502">
        <v>3.5666805867783702</v>
      </c>
      <c r="CC2502">
        <v>2.2826755755381498</v>
      </c>
    </row>
    <row r="2503" spans="39:81">
      <c r="AM2503" s="2"/>
      <c r="AN2503" s="2"/>
      <c r="AS2503">
        <v>3.2548620752407</v>
      </c>
      <c r="AT2503">
        <v>-48.683082482421597</v>
      </c>
      <c r="CB2503">
        <v>3.2548620752407</v>
      </c>
      <c r="CC2503">
        <v>2.0831117281540501</v>
      </c>
    </row>
    <row r="2504" spans="39:81">
      <c r="AM2504" s="2"/>
      <c r="AN2504" s="2"/>
      <c r="AS2504">
        <v>2.9564328930753798</v>
      </c>
      <c r="AT2504">
        <v>-49.117244803137197</v>
      </c>
      <c r="CB2504">
        <v>2.9564328930753798</v>
      </c>
      <c r="CC2504">
        <v>1.8921170515682399</v>
      </c>
    </row>
    <row r="2505" spans="39:81">
      <c r="AM2505" s="2"/>
      <c r="AN2505" s="2"/>
      <c r="AS2505">
        <v>2.6260776913774899</v>
      </c>
      <c r="AT2505">
        <v>-49.365321998640198</v>
      </c>
      <c r="CB2505">
        <v>2.6260776913774899</v>
      </c>
      <c r="CC2505">
        <v>1.68068972248159</v>
      </c>
    </row>
    <row r="2506" spans="39:81">
      <c r="AM2506" s="2"/>
      <c r="AN2506" s="2"/>
      <c r="AS2506">
        <v>2.3105738302644201</v>
      </c>
      <c r="AT2506">
        <v>-49.8087321929113</v>
      </c>
      <c r="CB2506">
        <v>2.3105738302644201</v>
      </c>
      <c r="CC2506">
        <v>1.47876725136922</v>
      </c>
    </row>
    <row r="2507" spans="39:81">
      <c r="AM2507" s="2"/>
      <c r="AN2507" s="2"/>
      <c r="AS2507">
        <v>1.9855257017186201</v>
      </c>
      <c r="AT2507">
        <v>-50.087676495866397</v>
      </c>
      <c r="CB2507">
        <v>1.9855257017186201</v>
      </c>
      <c r="CC2507">
        <v>1.27073644909991</v>
      </c>
    </row>
    <row r="2508" spans="39:81">
      <c r="AM2508" s="2"/>
      <c r="AN2508" s="2"/>
      <c r="AS2508">
        <v>1.6600074210278399</v>
      </c>
      <c r="AT2508">
        <v>-50.315769726276201</v>
      </c>
      <c r="CB2508">
        <v>1.6600074210278399</v>
      </c>
      <c r="CC2508">
        <v>1.0624047494578199</v>
      </c>
    </row>
    <row r="2509" spans="39:81">
      <c r="AM2509" s="2"/>
      <c r="AN2509" s="2"/>
      <c r="AS2509">
        <v>1.3624265347719</v>
      </c>
      <c r="AT2509">
        <v>-50.453228851568497</v>
      </c>
      <c r="CB2509">
        <v>1.3624265347719</v>
      </c>
      <c r="CC2509">
        <v>0.87195298225402196</v>
      </c>
    </row>
    <row r="2510" spans="39:81">
      <c r="AM2510" s="2"/>
      <c r="AN2510" s="2"/>
      <c r="AS2510">
        <v>1.0593779781720301</v>
      </c>
      <c r="AT2510">
        <v>-50.457991514788297</v>
      </c>
      <c r="CB2510">
        <v>1.0593779781720301</v>
      </c>
      <c r="CC2510">
        <v>0.67800190603010202</v>
      </c>
    </row>
    <row r="2511" spans="39:81">
      <c r="AM2511" s="2"/>
      <c r="AN2511" s="2"/>
      <c r="AS2511">
        <v>0.785478710344227</v>
      </c>
      <c r="AT2511">
        <v>-50.556046124618902</v>
      </c>
      <c r="CB2511">
        <v>0.785478710344227</v>
      </c>
      <c r="CC2511">
        <v>0.50270637462030499</v>
      </c>
    </row>
    <row r="2512" spans="39:81">
      <c r="AM2512" s="2"/>
      <c r="AN2512" s="2"/>
      <c r="AS2512">
        <v>0.51769325989590798</v>
      </c>
      <c r="AT2512">
        <v>-50.685343122369702</v>
      </c>
      <c r="CB2512">
        <v>0.51769325989590798</v>
      </c>
      <c r="CC2512">
        <v>0.331323686333381</v>
      </c>
    </row>
    <row r="2513" spans="39:81">
      <c r="AM2513" s="2"/>
      <c r="AN2513" s="2"/>
      <c r="AS2513">
        <v>0.211616638341867</v>
      </c>
      <c r="AT2513">
        <v>-50.853373844459298</v>
      </c>
      <c r="CB2513">
        <v>0.211616638341867</v>
      </c>
      <c r="CC2513">
        <v>0.135434648538795</v>
      </c>
    </row>
    <row r="2514" spans="39:81">
      <c r="AM2514" s="2"/>
      <c r="AN2514" s="2"/>
      <c r="AS2514">
        <v>-6.3755543732844006E-2</v>
      </c>
      <c r="AT2514">
        <v>-51.103705053771101</v>
      </c>
      <c r="CB2514">
        <v>-6.3755543732844006E-2</v>
      </c>
      <c r="CC2514">
        <v>-4.0803547989020202E-2</v>
      </c>
    </row>
    <row r="2515" spans="39:81">
      <c r="AM2515" s="2"/>
      <c r="AN2515" s="2"/>
      <c r="AS2515">
        <v>-0.37425071454229702</v>
      </c>
      <c r="AT2515">
        <v>-51.097084755491601</v>
      </c>
      <c r="CB2515">
        <v>-0.37425071454229702</v>
      </c>
      <c r="CC2515">
        <v>-0.23952045730707</v>
      </c>
    </row>
    <row r="2516" spans="39:81">
      <c r="AM2516" s="2"/>
      <c r="AN2516" s="2"/>
      <c r="AS2516">
        <v>-0.67680536494726495</v>
      </c>
      <c r="AT2516">
        <v>-50.963976594532603</v>
      </c>
      <c r="CB2516">
        <v>-0.67680536494726495</v>
      </c>
      <c r="CC2516">
        <v>-0.43315543356624903</v>
      </c>
    </row>
    <row r="2517" spans="39:81">
      <c r="AM2517" s="2"/>
      <c r="AN2517" s="2"/>
      <c r="AS2517">
        <v>-0.95386020504989499</v>
      </c>
      <c r="AT2517">
        <v>-50.8046739308448</v>
      </c>
      <c r="CB2517">
        <v>-0.95386020504989499</v>
      </c>
      <c r="CC2517">
        <v>-0.61047053123193296</v>
      </c>
    </row>
    <row r="2518" spans="39:81">
      <c r="AM2518" s="2"/>
      <c r="AN2518" s="2"/>
      <c r="AS2518">
        <v>-1.27825792808915</v>
      </c>
      <c r="AT2518">
        <v>-50.390865461973398</v>
      </c>
      <c r="CB2518">
        <v>-1.27825792808915</v>
      </c>
      <c r="CC2518">
        <v>-0.81808507397705599</v>
      </c>
    </row>
    <row r="2519" spans="39:81">
      <c r="AM2519" s="2"/>
      <c r="AN2519" s="2"/>
      <c r="AS2519">
        <v>-1.57631695772748</v>
      </c>
      <c r="AT2519">
        <v>-50.214259406256097</v>
      </c>
      <c r="CB2519">
        <v>-1.57631695772748</v>
      </c>
      <c r="CC2519">
        <v>-1.00884285294559</v>
      </c>
    </row>
    <row r="2520" spans="39:81">
      <c r="AM2520" s="2"/>
      <c r="AN2520" s="2"/>
      <c r="AS2520">
        <v>-1.89558906867574</v>
      </c>
      <c r="AT2520">
        <v>-50.024921368454599</v>
      </c>
      <c r="CB2520">
        <v>-1.89558906867574</v>
      </c>
      <c r="CC2520">
        <v>-1.2131770039524701</v>
      </c>
    </row>
    <row r="2521" spans="39:81">
      <c r="AM2521" s="2"/>
      <c r="AN2521" s="2"/>
      <c r="AS2521">
        <v>-2.2238842698841101</v>
      </c>
      <c r="AT2521">
        <v>-49.866983059491297</v>
      </c>
      <c r="CB2521">
        <v>-2.2238842698841101</v>
      </c>
      <c r="CC2521">
        <v>-1.42328593272583</v>
      </c>
    </row>
    <row r="2522" spans="39:81">
      <c r="AM2522" s="2"/>
      <c r="AN2522" s="2"/>
      <c r="AS2522">
        <v>-2.54016472098085</v>
      </c>
      <c r="AT2522">
        <v>-49.751782961939803</v>
      </c>
      <c r="CB2522">
        <v>-2.54016472098085</v>
      </c>
      <c r="CC2522">
        <v>-1.62570542142774</v>
      </c>
    </row>
    <row r="2523" spans="39:81">
      <c r="AM2523" s="2"/>
      <c r="AN2523" s="2"/>
      <c r="AS2523">
        <v>-2.88239890881878</v>
      </c>
      <c r="AT2523">
        <v>-49.392940868373501</v>
      </c>
      <c r="CB2523">
        <v>-2.88239890881878</v>
      </c>
      <c r="CC2523">
        <v>-1.84473530164402</v>
      </c>
    </row>
    <row r="2524" spans="39:81">
      <c r="AM2524" s="2"/>
      <c r="AN2524" s="2"/>
      <c r="AS2524">
        <v>-3.1949294543539399</v>
      </c>
      <c r="AT2524">
        <v>-49.1757369357681</v>
      </c>
      <c r="CB2524">
        <v>-3.1949294543539399</v>
      </c>
      <c r="CC2524">
        <v>-2.0447548507865201</v>
      </c>
    </row>
    <row r="2525" spans="39:81">
      <c r="AM2525" s="2"/>
      <c r="AN2525" s="2"/>
      <c r="AS2525">
        <v>-3.5098455073321602</v>
      </c>
      <c r="AT2525">
        <v>-48.595988353548798</v>
      </c>
      <c r="CB2525">
        <v>-3.5098455073321602</v>
      </c>
      <c r="CC2525">
        <v>-2.2463011246925801</v>
      </c>
    </row>
    <row r="2526" spans="39:81">
      <c r="AM2526" s="2"/>
      <c r="AN2526" s="2"/>
      <c r="AS2526">
        <v>-3.80488401815925</v>
      </c>
      <c r="AT2526">
        <v>-48.145611145803002</v>
      </c>
      <c r="CB2526">
        <v>-3.80488401815925</v>
      </c>
      <c r="CC2526">
        <v>-2.4351257716219199</v>
      </c>
    </row>
    <row r="2527" spans="39:81">
      <c r="AM2527" s="2"/>
      <c r="AN2527" s="2"/>
      <c r="AS2527">
        <v>-4.0631994500157598</v>
      </c>
      <c r="AT2527">
        <v>-47.853035438761196</v>
      </c>
      <c r="CB2527">
        <v>-4.0631994500157598</v>
      </c>
      <c r="CC2527">
        <v>-2.6004476480100802</v>
      </c>
    </row>
    <row r="2528" spans="39:81">
      <c r="AM2528" s="2"/>
      <c r="AN2528" s="2"/>
      <c r="AS2528">
        <v>-4.3490845156831597</v>
      </c>
      <c r="AT2528">
        <v>-47.411976142050797</v>
      </c>
      <c r="CB2528">
        <v>-4.3490845156831597</v>
      </c>
      <c r="CC2528">
        <v>-2.78341409003722</v>
      </c>
    </row>
    <row r="2529" spans="39:81">
      <c r="AM2529" s="2"/>
      <c r="AN2529" s="2"/>
      <c r="AS2529">
        <v>-4.6117300155808501</v>
      </c>
      <c r="AT2529">
        <v>-47.447786796957999</v>
      </c>
      <c r="CB2529">
        <v>-4.6117300155808501</v>
      </c>
      <c r="CC2529">
        <v>-2.9515072099717399</v>
      </c>
    </row>
    <row r="2530" spans="39:81">
      <c r="AM2530" s="2"/>
      <c r="AN2530" s="2"/>
      <c r="AS2530">
        <v>-4.8962817692302796</v>
      </c>
      <c r="AT2530">
        <v>-47.135179799895297</v>
      </c>
      <c r="CB2530">
        <v>-4.8962817692302796</v>
      </c>
      <c r="CC2530">
        <v>-3.1336203323073799</v>
      </c>
    </row>
    <row r="2531" spans="39:81">
      <c r="AM2531" s="2"/>
      <c r="AN2531" s="2"/>
      <c r="AS2531">
        <v>-5.1813362833673704</v>
      </c>
      <c r="AT2531">
        <v>-46.809467709359303</v>
      </c>
      <c r="CB2531">
        <v>-5.1813362833673704</v>
      </c>
      <c r="CC2531">
        <v>-3.3160552213551102</v>
      </c>
    </row>
    <row r="2532" spans="39:81">
      <c r="AM2532" s="2"/>
      <c r="AN2532" s="2"/>
      <c r="AS2532">
        <v>-5.4181476158193398</v>
      </c>
      <c r="AT2532">
        <v>-46.376270384657303</v>
      </c>
      <c r="CB2532">
        <v>-5.4181476158193398</v>
      </c>
      <c r="CC2532">
        <v>-3.46761447412438</v>
      </c>
    </row>
    <row r="2533" spans="39:81">
      <c r="AM2533" s="2"/>
      <c r="AN2533" s="2"/>
      <c r="AS2533">
        <v>-5.6524344697090996</v>
      </c>
      <c r="AT2533">
        <v>-45.5937695085223</v>
      </c>
      <c r="CB2533">
        <v>-5.6524344697090996</v>
      </c>
      <c r="CC2533">
        <v>-3.61755806061382</v>
      </c>
    </row>
    <row r="2534" spans="39:81">
      <c r="AM2534" s="2"/>
      <c r="AN2534" s="2"/>
      <c r="AS2534">
        <v>-5.8520076308704798</v>
      </c>
      <c r="AT2534">
        <v>-45.010475822764199</v>
      </c>
      <c r="CB2534">
        <v>-5.8520076308704798</v>
      </c>
      <c r="CC2534">
        <v>-3.7452848837570998</v>
      </c>
    </row>
    <row r="2535" spans="39:81">
      <c r="AM2535" s="2"/>
      <c r="AN2535" s="2"/>
      <c r="AS2535">
        <v>-6.0406685629129102</v>
      </c>
      <c r="AT2535">
        <v>-44.512095827028297</v>
      </c>
      <c r="CB2535">
        <v>-6.0406685629129102</v>
      </c>
      <c r="CC2535">
        <v>-3.86602788026426</v>
      </c>
    </row>
    <row r="2536" spans="39:81">
      <c r="AM2536" s="2"/>
      <c r="AN2536" s="2"/>
      <c r="AS2536">
        <v>-6.2594611523498296</v>
      </c>
      <c r="AT2536">
        <v>-44.1174785041974</v>
      </c>
      <c r="CB2536">
        <v>-6.2594611523498296</v>
      </c>
      <c r="CC2536">
        <v>-4.00605513750389</v>
      </c>
    </row>
    <row r="2537" spans="39:81">
      <c r="AM2537" s="2"/>
      <c r="AN2537" s="2"/>
      <c r="AS2537">
        <v>-6.4761889211892303</v>
      </c>
      <c r="AT2537">
        <v>-43.789392926443803</v>
      </c>
      <c r="CB2537">
        <v>-6.4761889211892303</v>
      </c>
      <c r="CC2537">
        <v>-4.1447609095611098</v>
      </c>
    </row>
    <row r="2538" spans="39:81">
      <c r="AM2538" s="2"/>
      <c r="AN2538" s="2"/>
      <c r="AS2538">
        <v>-6.7003576959376998</v>
      </c>
      <c r="AT2538">
        <v>-43.388154948245301</v>
      </c>
      <c r="CB2538">
        <v>-6.7003576959376998</v>
      </c>
      <c r="CC2538">
        <v>-4.28822892540013</v>
      </c>
    </row>
    <row r="2539" spans="39:81">
      <c r="AM2539" s="2"/>
      <c r="AN2539" s="2"/>
      <c r="AS2539">
        <v>-6.9187941853665897</v>
      </c>
      <c r="AT2539">
        <v>-42.687312231729102</v>
      </c>
      <c r="CB2539">
        <v>-6.9187941853665897</v>
      </c>
      <c r="CC2539">
        <v>-4.4280282786346197</v>
      </c>
    </row>
    <row r="2540" spans="39:81">
      <c r="AM2540" s="2"/>
      <c r="AN2540" s="2"/>
      <c r="AS2540">
        <v>-7.1077797145061998</v>
      </c>
      <c r="AT2540">
        <v>-41.978943720802199</v>
      </c>
      <c r="CB2540">
        <v>-7.1077797145061998</v>
      </c>
      <c r="CC2540">
        <v>-4.5489790172839699</v>
      </c>
    </row>
    <row r="2541" spans="39:81">
      <c r="AM2541" s="2"/>
      <c r="AN2541" s="2"/>
      <c r="AS2541">
        <v>-7.3123639487632799</v>
      </c>
      <c r="AT2541">
        <v>-41.174009725449601</v>
      </c>
      <c r="CB2541">
        <v>-7.3123639487632799</v>
      </c>
      <c r="CC2541">
        <v>-4.6799129272085001</v>
      </c>
    </row>
    <row r="2542" spans="39:81">
      <c r="AM2542" s="2"/>
      <c r="AN2542" s="2"/>
      <c r="AS2542">
        <v>-7.5267588279748301</v>
      </c>
      <c r="AT2542">
        <v>-40.339159330923998</v>
      </c>
      <c r="CB2542">
        <v>-7.5267588279748301</v>
      </c>
      <c r="CC2542">
        <v>-4.8171256499038897</v>
      </c>
    </row>
    <row r="2543" spans="39:81">
      <c r="AM2543" s="2"/>
      <c r="AN2543" s="2"/>
      <c r="AS2543">
        <v>-7.7365927242951402</v>
      </c>
      <c r="AT2543">
        <v>-39.77767885283</v>
      </c>
      <c r="CB2543">
        <v>-7.7365927242951402</v>
      </c>
      <c r="CC2543">
        <v>-4.9514193435488902</v>
      </c>
    </row>
    <row r="2544" spans="39:81">
      <c r="AM2544" s="2"/>
      <c r="AN2544" s="2"/>
      <c r="AS2544">
        <v>-7.9659171705078604</v>
      </c>
      <c r="AT2544">
        <v>-38.892796715408302</v>
      </c>
      <c r="CB2544">
        <v>-7.9659171705078604</v>
      </c>
      <c r="CC2544">
        <v>-5.09818698912503</v>
      </c>
    </row>
    <row r="2545" spans="39:81">
      <c r="AM2545" s="2"/>
      <c r="AN2545" s="2"/>
      <c r="AS2545">
        <v>-8.1668392303576898</v>
      </c>
      <c r="AT2545">
        <v>-38.227497047891497</v>
      </c>
      <c r="CB2545">
        <v>-8.1668392303576898</v>
      </c>
      <c r="CC2545">
        <v>-5.2267771074289202</v>
      </c>
    </row>
    <row r="2546" spans="39:81">
      <c r="AM2546" s="2"/>
      <c r="AN2546" s="2"/>
      <c r="AS2546">
        <v>-8.3673534040199993</v>
      </c>
      <c r="AT2546">
        <v>-37.472507663693399</v>
      </c>
      <c r="CB2546">
        <v>-8.3673534040199993</v>
      </c>
      <c r="CC2546">
        <v>-5.3551061785728002</v>
      </c>
    </row>
    <row r="2547" spans="39:81">
      <c r="AM2547" s="2"/>
      <c r="AN2547" s="2"/>
      <c r="AS2547">
        <v>-8.58090572375853</v>
      </c>
      <c r="AT2547">
        <v>-36.539247941260903</v>
      </c>
      <c r="CB2547">
        <v>-8.58090572375853</v>
      </c>
      <c r="CC2547">
        <v>-5.4917796632054596</v>
      </c>
    </row>
    <row r="2548" spans="39:81">
      <c r="AM2548" s="2"/>
      <c r="AN2548" s="2"/>
      <c r="AS2548">
        <v>-8.7603137316367796</v>
      </c>
      <c r="AT2548">
        <v>-35.630492562357297</v>
      </c>
      <c r="CB2548">
        <v>-8.7603137316367796</v>
      </c>
      <c r="CC2548">
        <v>-5.6066007882475404</v>
      </c>
    </row>
    <row r="2549" spans="39:81">
      <c r="AM2549" s="2"/>
      <c r="AN2549" s="2"/>
      <c r="AS2549">
        <v>-8.96401398170768</v>
      </c>
      <c r="AT2549">
        <v>-34.510081400007401</v>
      </c>
      <c r="CB2549">
        <v>-8.96401398170768</v>
      </c>
      <c r="CC2549">
        <v>-5.73696894829291</v>
      </c>
    </row>
    <row r="2550" spans="39:81">
      <c r="AM2550" s="2"/>
      <c r="AN2550" s="2"/>
      <c r="AS2550">
        <v>-9.1538827151854392</v>
      </c>
      <c r="AT2550">
        <v>-33.458201862919097</v>
      </c>
      <c r="CB2550">
        <v>-9.1538827151854392</v>
      </c>
      <c r="CC2550">
        <v>-5.8584849377186803</v>
      </c>
    </row>
    <row r="2551" spans="39:81">
      <c r="AM2551" s="2"/>
      <c r="AN2551" s="2"/>
      <c r="AS2551">
        <v>-9.3191764084492608</v>
      </c>
      <c r="AT2551">
        <v>-32.407250784516897</v>
      </c>
      <c r="CB2551">
        <v>-9.3191764084492608</v>
      </c>
      <c r="CC2551">
        <v>-5.9642729014075204</v>
      </c>
    </row>
    <row r="2552" spans="39:81">
      <c r="AM2552" s="2"/>
      <c r="AN2552" s="2"/>
      <c r="AS2552">
        <v>-9.5008971829048701</v>
      </c>
      <c r="AT2552">
        <v>-31.464350020494699</v>
      </c>
      <c r="CB2552">
        <v>-9.5008971829048701</v>
      </c>
      <c r="CC2552">
        <v>-6.0805741970591098</v>
      </c>
    </row>
    <row r="2553" spans="39:81">
      <c r="AM2553" s="2"/>
      <c r="AN2553" s="2"/>
      <c r="AS2553">
        <v>-9.6700072319914003</v>
      </c>
      <c r="AT2553">
        <v>-30.549321022828401</v>
      </c>
      <c r="CB2553">
        <v>-9.6700072319914003</v>
      </c>
      <c r="CC2553">
        <v>-6.1888046284744904</v>
      </c>
    </row>
    <row r="2554" spans="39:81">
      <c r="AM2554" s="2"/>
      <c r="AN2554" s="2"/>
      <c r="AS2554">
        <v>-9.8233987324440104</v>
      </c>
      <c r="AT2554">
        <v>-29.512757955127299</v>
      </c>
      <c r="CB2554">
        <v>-9.8233987324440104</v>
      </c>
      <c r="CC2554">
        <v>-6.2869751887641696</v>
      </c>
    </row>
    <row r="2555" spans="39:81">
      <c r="AM2555" s="2"/>
      <c r="AN2555" s="2"/>
      <c r="AS2555">
        <v>-9.9947792314058006</v>
      </c>
      <c r="AT2555">
        <v>-28.403160957264699</v>
      </c>
      <c r="CB2555">
        <v>-9.9947792314058006</v>
      </c>
      <c r="CC2555">
        <v>-6.3966587080997099</v>
      </c>
    </row>
    <row r="2556" spans="39:81">
      <c r="AM2556" s="2"/>
      <c r="AN2556" s="2"/>
      <c r="AS2556">
        <v>-10.1370904886329</v>
      </c>
      <c r="AT2556">
        <v>-27.123928773128299</v>
      </c>
      <c r="CB2556">
        <v>-10.1370904886329</v>
      </c>
      <c r="CC2556">
        <v>-6.4877379127250601</v>
      </c>
    </row>
    <row r="2557" spans="39:81">
      <c r="AM2557" s="2"/>
      <c r="AN2557" s="2"/>
      <c r="AS2557">
        <v>-10.2813448058626</v>
      </c>
      <c r="AT2557">
        <v>-25.856508147100101</v>
      </c>
      <c r="CB2557">
        <v>-10.2813448058626</v>
      </c>
      <c r="CC2557">
        <v>-6.5800606757520699</v>
      </c>
    </row>
    <row r="2558" spans="39:81">
      <c r="AM2558" s="2"/>
      <c r="AN2558" s="2"/>
      <c r="AS2558">
        <v>-10.435309707256399</v>
      </c>
      <c r="AT2558">
        <v>-24.7731565289175</v>
      </c>
      <c r="CB2558">
        <v>-10.435309707256399</v>
      </c>
      <c r="CC2558">
        <v>-6.6785982126441104</v>
      </c>
    </row>
    <row r="2559" spans="39:81">
      <c r="AM2559" s="2"/>
      <c r="AN2559" s="2"/>
      <c r="AS2559">
        <v>-10.538046474384201</v>
      </c>
      <c r="AT2559">
        <v>-23.743900866549598</v>
      </c>
      <c r="CB2559">
        <v>-10.538046474384201</v>
      </c>
      <c r="CC2559">
        <v>-6.7443497436058903</v>
      </c>
    </row>
    <row r="2560" spans="39:81">
      <c r="AM2560" s="2"/>
      <c r="AN2560" s="2"/>
      <c r="AS2560">
        <v>-10.664027905286799</v>
      </c>
      <c r="AT2560">
        <v>-22.809062270842499</v>
      </c>
      <c r="CB2560">
        <v>-10.664027905286799</v>
      </c>
      <c r="CC2560">
        <v>-6.8249778593836004</v>
      </c>
    </row>
    <row r="2561" spans="39:81">
      <c r="AM2561" s="2"/>
      <c r="AN2561" s="2"/>
      <c r="AS2561">
        <v>-10.782287632751601</v>
      </c>
      <c r="AT2561">
        <v>-21.902276079201801</v>
      </c>
      <c r="CB2561">
        <v>-10.782287632751601</v>
      </c>
      <c r="CC2561">
        <v>-6.9006640849610399</v>
      </c>
    </row>
    <row r="2562" spans="39:81">
      <c r="AM2562" s="2"/>
      <c r="AN2562" s="2"/>
      <c r="AS2562">
        <v>-10.8813109377488</v>
      </c>
      <c r="AT2562">
        <v>-20.741812126859202</v>
      </c>
      <c r="CB2562">
        <v>-10.8813109377488</v>
      </c>
      <c r="CC2562">
        <v>-6.9640390001592403</v>
      </c>
    </row>
    <row r="2563" spans="39:81">
      <c r="AM2563" s="2"/>
      <c r="AN2563" s="2"/>
      <c r="AS2563">
        <v>-11.034330900083599</v>
      </c>
      <c r="AT2563">
        <v>-19.549189158493899</v>
      </c>
      <c r="CB2563">
        <v>-11.034330900083599</v>
      </c>
      <c r="CC2563">
        <v>-7.0619717760535199</v>
      </c>
    </row>
  </sheetData>
  <mergeCells count="1">
    <mergeCell ref="G9:J9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29F9-1499-47D5-A953-48B84B0C8A2A}">
  <dimension ref="A1:CC2563"/>
  <sheetViews>
    <sheetView tabSelected="1" zoomScale="85" zoomScaleNormal="85" workbookViewId="0">
      <selection activeCell="L17" sqref="L17"/>
    </sheetView>
  </sheetViews>
  <sheetFormatPr defaultRowHeight="18.75"/>
  <cols>
    <col min="2" max="2" width="10.25" bestFit="1" customWidth="1"/>
    <col min="4" max="4" width="10.25" bestFit="1" customWidth="1"/>
    <col min="39" max="39" width="10.375" bestFit="1" customWidth="1"/>
  </cols>
  <sheetData>
    <row r="1" spans="1:60">
      <c r="A1" t="s">
        <v>0</v>
      </c>
      <c r="B1" t="s">
        <v>7</v>
      </c>
      <c r="D1" t="s">
        <v>8</v>
      </c>
      <c r="E1" t="s">
        <v>9</v>
      </c>
      <c r="L1" t="s">
        <v>10</v>
      </c>
      <c r="M1">
        <v>10</v>
      </c>
      <c r="P1">
        <v>30</v>
      </c>
      <c r="S1">
        <v>45</v>
      </c>
      <c r="V1">
        <v>50</v>
      </c>
      <c r="Y1">
        <v>55</v>
      </c>
      <c r="AB1">
        <v>60</v>
      </c>
      <c r="AE1">
        <v>65</v>
      </c>
      <c r="AH1">
        <v>67.5</v>
      </c>
      <c r="AK1">
        <v>100</v>
      </c>
      <c r="AN1">
        <v>120</v>
      </c>
      <c r="AQ1">
        <v>140</v>
      </c>
      <c r="AT1">
        <v>160</v>
      </c>
      <c r="AW1">
        <v>180</v>
      </c>
      <c r="AZ1">
        <v>200</v>
      </c>
      <c r="BC1">
        <v>220</v>
      </c>
      <c r="BF1">
        <v>230</v>
      </c>
    </row>
    <row r="2" spans="1:60">
      <c r="A2">
        <v>10</v>
      </c>
      <c r="B2">
        <f>SQRT(SUMSQ($M$1283:$M$1538)/256)+SQRT(SUMSQ($AV$1283:$AV$1538)/256)</f>
        <v>0</v>
      </c>
      <c r="D2">
        <f>SQRT(SUMSQ($N$1283:$N$1538)/256)+SQRT(SUMSQ($AW$1283:$AW$1538)/256)</f>
        <v>0</v>
      </c>
      <c r="E2">
        <f>D2*SQRT(3)</f>
        <v>0</v>
      </c>
      <c r="M2" t="s">
        <v>11</v>
      </c>
      <c r="N2" t="s">
        <v>16</v>
      </c>
      <c r="O2" t="s">
        <v>17</v>
      </c>
      <c r="P2" t="s">
        <v>11</v>
      </c>
      <c r="Q2" t="s">
        <v>16</v>
      </c>
      <c r="R2" t="s">
        <v>17</v>
      </c>
      <c r="S2" t="s">
        <v>11</v>
      </c>
      <c r="T2" t="s">
        <v>16</v>
      </c>
      <c r="U2" t="s">
        <v>17</v>
      </c>
      <c r="V2" t="s">
        <v>11</v>
      </c>
      <c r="W2" t="s">
        <v>16</v>
      </c>
      <c r="X2" t="s">
        <v>17</v>
      </c>
      <c r="Y2" t="s">
        <v>11</v>
      </c>
      <c r="Z2" t="s">
        <v>16</v>
      </c>
      <c r="AA2" t="s">
        <v>17</v>
      </c>
      <c r="AB2" t="s">
        <v>11</v>
      </c>
      <c r="AC2" t="s">
        <v>16</v>
      </c>
      <c r="AD2" t="s">
        <v>17</v>
      </c>
      <c r="AE2" t="s">
        <v>11</v>
      </c>
      <c r="AF2" t="s">
        <v>16</v>
      </c>
      <c r="AG2" t="s">
        <v>17</v>
      </c>
      <c r="AH2" t="s">
        <v>11</v>
      </c>
      <c r="AI2" t="s">
        <v>16</v>
      </c>
      <c r="AJ2" t="s">
        <v>17</v>
      </c>
      <c r="AK2" t="s">
        <v>11</v>
      </c>
      <c r="AL2" t="s">
        <v>16</v>
      </c>
      <c r="AM2" t="s">
        <v>17</v>
      </c>
      <c r="AN2" t="s">
        <v>11</v>
      </c>
      <c r="AO2" t="s">
        <v>16</v>
      </c>
      <c r="AP2" t="s">
        <v>17</v>
      </c>
      <c r="AQ2" t="s">
        <v>11</v>
      </c>
      <c r="AR2" t="s">
        <v>16</v>
      </c>
      <c r="AS2" t="s">
        <v>17</v>
      </c>
      <c r="AT2" t="s">
        <v>11</v>
      </c>
      <c r="AU2" t="s">
        <v>16</v>
      </c>
      <c r="AV2" t="s">
        <v>17</v>
      </c>
      <c r="AW2" t="s">
        <v>11</v>
      </c>
      <c r="AX2" t="s">
        <v>16</v>
      </c>
      <c r="AY2" t="s">
        <v>17</v>
      </c>
      <c r="AZ2" t="s">
        <v>11</v>
      </c>
      <c r="BA2" t="s">
        <v>16</v>
      </c>
      <c r="BB2" t="s">
        <v>17</v>
      </c>
      <c r="BC2" t="s">
        <v>11</v>
      </c>
      <c r="BD2" t="s">
        <v>16</v>
      </c>
      <c r="BE2" t="s">
        <v>17</v>
      </c>
      <c r="BF2" t="s">
        <v>11</v>
      </c>
      <c r="BG2" t="s">
        <v>16</v>
      </c>
      <c r="BH2" t="s">
        <v>17</v>
      </c>
    </row>
    <row r="3" spans="1:60">
      <c r="A3">
        <v>30</v>
      </c>
      <c r="B3" s="3">
        <f>SQRT(SUMSQ($O$1283:$O$1538)/256)+SQRT(SUMSQ($AX$1283:$AX$1538)/256)</f>
        <v>0</v>
      </c>
      <c r="D3">
        <f>SQRT(SUMSQ($P$1283:$P$1538)/256)+SQRT(SUMSQ($AY$1283:$AY$1538)/256)</f>
        <v>0</v>
      </c>
      <c r="E3">
        <f>D3*SQRT(3)</f>
        <v>0</v>
      </c>
      <c r="L3" t="s">
        <v>12</v>
      </c>
      <c r="M3" s="3"/>
      <c r="N3" s="3"/>
      <c r="O3" s="3"/>
      <c r="P3" s="3"/>
      <c r="S3" s="3"/>
      <c r="T3" s="3"/>
      <c r="AN3" s="1"/>
      <c r="BG3" s="1"/>
    </row>
    <row r="4" spans="1:60">
      <c r="A4">
        <v>45</v>
      </c>
      <c r="B4">
        <f>SQRT(SUMSQ($Q$1283:$Q$1538)/256)+SQRT(SUMSQ($AZ$1283:$AZ$1538)/256)</f>
        <v>0</v>
      </c>
      <c r="D4">
        <f>SQRT(SUMSQ($R$1283:$R$1538)/256)+SQRT(SUMSQ($BA$1283:$BA$1538)/256)</f>
        <v>0</v>
      </c>
      <c r="E4">
        <f t="shared" ref="E4:E17" si="0">D4*SQRT(3)</f>
        <v>0</v>
      </c>
      <c r="L4">
        <v>1</v>
      </c>
      <c r="M4" s="1"/>
      <c r="N4" s="1"/>
      <c r="O4" s="1"/>
      <c r="P4" s="1"/>
      <c r="S4" s="2"/>
      <c r="T4" s="2"/>
      <c r="AA4" s="1"/>
      <c r="AB4" s="1"/>
      <c r="AF4" s="2"/>
      <c r="AG4" s="1"/>
      <c r="AH4" s="1"/>
      <c r="AK4" s="1"/>
      <c r="AL4" s="1"/>
      <c r="AM4" s="2"/>
      <c r="AN4" s="2"/>
      <c r="AQ4" s="1"/>
      <c r="AS4" s="2"/>
      <c r="AT4" s="2"/>
      <c r="BG4" s="1"/>
    </row>
    <row r="5" spans="1:60">
      <c r="A5">
        <v>50</v>
      </c>
      <c r="B5">
        <f>SQRT(SUMSQ($S$1283:$S$1538)/256)+SQRT(SUMSQ($BB$1283:$BB$1538)/256)</f>
        <v>0</v>
      </c>
      <c r="D5">
        <f>SQRT(SUMSQ($T$1283:$T$1538)/256)+SQRT(SUMSQ($BC$1283:$BC$1538)/256)</f>
        <v>0</v>
      </c>
      <c r="E5">
        <f t="shared" si="0"/>
        <v>0</v>
      </c>
      <c r="L5">
        <v>2</v>
      </c>
      <c r="M5" s="1"/>
      <c r="N5" s="1"/>
      <c r="O5" s="1"/>
      <c r="P5" s="1"/>
      <c r="S5" s="2"/>
      <c r="T5" s="2"/>
      <c r="AA5" s="1"/>
      <c r="AB5" s="1"/>
      <c r="AE5" s="2"/>
      <c r="AF5" s="2"/>
      <c r="AG5" s="1"/>
      <c r="AH5" s="1"/>
      <c r="AK5" s="1"/>
      <c r="AL5" s="1"/>
      <c r="AM5" s="2"/>
      <c r="AN5" s="2"/>
      <c r="AQ5" s="1"/>
      <c r="AS5" s="2"/>
      <c r="AT5" s="2"/>
      <c r="BG5" s="1"/>
    </row>
    <row r="6" spans="1:60">
      <c r="A6">
        <v>55</v>
      </c>
      <c r="B6">
        <f>SQRT(SUMSQ($U$1283:$U$1538)/256)+SQRT(SUMSQ($BD$1283:$BD$1538)/256)</f>
        <v>0</v>
      </c>
      <c r="D6">
        <f>SQRT(SUMSQ($V$1283:$V$1538)/256)+SQRT(SUMSQ($BE$1283:$BE$1538)/256)</f>
        <v>0</v>
      </c>
      <c r="E6">
        <f t="shared" si="0"/>
        <v>0</v>
      </c>
      <c r="M6" s="1"/>
      <c r="N6" s="1"/>
      <c r="O6" s="1"/>
      <c r="P6" s="1"/>
      <c r="S6" s="2"/>
      <c r="T6" s="2"/>
      <c r="AA6" s="1"/>
      <c r="AB6" s="1"/>
      <c r="AE6" s="2"/>
      <c r="AF6" s="2"/>
      <c r="AG6" s="1"/>
      <c r="AH6" s="1"/>
      <c r="AK6" s="1"/>
      <c r="AL6" s="1"/>
      <c r="AM6" s="2"/>
      <c r="AN6" s="2"/>
      <c r="AQ6" s="1"/>
      <c r="AS6" s="2"/>
      <c r="AT6" s="2"/>
      <c r="BG6" s="1"/>
    </row>
    <row r="7" spans="1:60">
      <c r="A7">
        <v>60</v>
      </c>
      <c r="B7">
        <f>SQRT(SUMSQ($W$1283:$W$1538)/256)+SQRT(SUMSQ($BF$1283:$BF$1538)/256)</f>
        <v>0</v>
      </c>
      <c r="D7">
        <f>SQRT(SUMSQ($X$1283:$X$1538)/256)+SQRT(SUMSQ($BG$1283:$BG$1538)/256)</f>
        <v>0</v>
      </c>
      <c r="E7">
        <f t="shared" si="0"/>
        <v>0</v>
      </c>
      <c r="M7" s="1"/>
      <c r="N7" s="1"/>
      <c r="O7" s="1"/>
      <c r="P7" s="1"/>
      <c r="S7" s="2"/>
      <c r="T7" s="2"/>
      <c r="AA7" s="1"/>
      <c r="AB7" s="1"/>
      <c r="AE7" s="2"/>
      <c r="AF7" s="2"/>
      <c r="AG7" s="1"/>
      <c r="AH7" s="1"/>
      <c r="AK7" s="1"/>
      <c r="AL7" s="1"/>
      <c r="AM7" s="2"/>
      <c r="AN7" s="2"/>
      <c r="AQ7" s="1"/>
      <c r="AS7" s="2"/>
      <c r="AT7" s="2"/>
      <c r="BG7" s="1"/>
    </row>
    <row r="8" spans="1:60" ht="19.5" thickBot="1">
      <c r="A8">
        <v>65</v>
      </c>
      <c r="B8">
        <f>SQRT(SUMSQ($Y$1283:$Y$1538)/256)+SQRT(SUMSQ($BH$1283:$BH$1538)/256)</f>
        <v>0</v>
      </c>
      <c r="D8">
        <f>SQRT(SUMSQ($Z$1283:$Z$1538)/256)+SQRT(SUMSQ($BI$1283:$BI$1538)/256)</f>
        <v>0</v>
      </c>
      <c r="E8">
        <f>D8*SQRT(3)</f>
        <v>0</v>
      </c>
      <c r="M8" s="1"/>
      <c r="N8" s="1"/>
      <c r="O8" s="1"/>
      <c r="P8" s="1"/>
      <c r="S8" s="2"/>
      <c r="T8" s="2"/>
      <c r="AA8" s="1"/>
      <c r="AB8" s="1"/>
      <c r="AE8" s="2"/>
      <c r="AF8" s="2"/>
      <c r="AG8" s="1"/>
      <c r="AH8" s="1"/>
      <c r="AK8" s="1"/>
      <c r="AL8" s="1"/>
      <c r="AM8" s="2"/>
      <c r="AN8" s="2"/>
      <c r="AQ8" s="1"/>
      <c r="AS8" s="2"/>
      <c r="AT8" s="2"/>
      <c r="BG8" s="1"/>
    </row>
    <row r="9" spans="1:60" ht="19.5" thickBot="1">
      <c r="A9">
        <v>67.5</v>
      </c>
      <c r="B9" s="3">
        <f>SQRT(SUMSQ($AA$1283:$AA$1538)/256)+SQRT(SUMSQ($BJ$1283:$BJ$1538)/256)</f>
        <v>0</v>
      </c>
      <c r="D9">
        <f>SQRT(SUMSQ($AB$1283:$AB$1538)/256)+SQRT(SUMSQ($BK$1283:$BK$1538)/256)</f>
        <v>0</v>
      </c>
      <c r="E9">
        <f t="shared" si="0"/>
        <v>0</v>
      </c>
      <c r="G9" s="4" t="s">
        <v>14</v>
      </c>
      <c r="H9" s="5"/>
      <c r="I9" s="5"/>
      <c r="J9" s="6"/>
      <c r="M9" s="1"/>
      <c r="N9" s="1"/>
      <c r="O9" s="1"/>
      <c r="P9" s="1"/>
      <c r="S9" s="2"/>
      <c r="T9" s="2"/>
      <c r="AA9" s="1"/>
      <c r="AB9" s="1"/>
      <c r="AE9" s="2"/>
      <c r="AF9" s="2"/>
      <c r="AG9" s="1"/>
      <c r="AH9" s="1"/>
      <c r="AK9" s="1"/>
      <c r="AL9" s="1"/>
      <c r="AM9" s="2"/>
      <c r="AN9" s="2"/>
      <c r="AQ9" s="1"/>
      <c r="AS9" s="2"/>
      <c r="AT9" s="2"/>
      <c r="BG9" s="1"/>
    </row>
    <row r="10" spans="1:60">
      <c r="A10">
        <v>100</v>
      </c>
      <c r="B10">
        <f>SQRT(SUMSQ($AC$1283:$AC$1538)/256)</f>
        <v>0</v>
      </c>
      <c r="D10">
        <f>SQRT(SUMSQ($AD$1283:$AD$1538)/256)+SQRT(SUMSQ($BM$1283:$BM$1538)/256)</f>
        <v>0</v>
      </c>
      <c r="E10">
        <f t="shared" si="0"/>
        <v>0</v>
      </c>
      <c r="M10" s="1"/>
      <c r="N10" s="1"/>
      <c r="O10" s="1"/>
      <c r="P10" s="1"/>
      <c r="S10" s="2"/>
      <c r="T10" s="2"/>
      <c r="AA10" s="1"/>
      <c r="AB10" s="1"/>
      <c r="AE10" s="2"/>
      <c r="AF10" s="2"/>
      <c r="AG10" s="1"/>
      <c r="AH10" s="1"/>
      <c r="AK10" s="1"/>
      <c r="AL10" s="1"/>
      <c r="AM10" s="2"/>
      <c r="AN10" s="2"/>
      <c r="AQ10" s="1"/>
      <c r="AS10" s="2"/>
      <c r="AT10" s="2"/>
      <c r="BG10" s="1"/>
    </row>
    <row r="11" spans="1:60">
      <c r="A11">
        <v>120</v>
      </c>
      <c r="B11">
        <f>SQRT(SUMSQ($AE$1283:$AE$1538)/256)</f>
        <v>0</v>
      </c>
      <c r="D11">
        <f>SQRT(SUMSQ($AF1283:$AF$1538)/256)+SQRT(SUMSQ($BO$1283:$BO$1538)/256)</f>
        <v>0</v>
      </c>
      <c r="E11">
        <f t="shared" si="0"/>
        <v>0</v>
      </c>
      <c r="M11" s="1"/>
      <c r="N11" s="1"/>
      <c r="O11" s="1"/>
      <c r="P11" s="1"/>
      <c r="S11" s="2"/>
      <c r="T11" s="2"/>
      <c r="AA11" s="1"/>
      <c r="AB11" s="1"/>
      <c r="AE11" s="2"/>
      <c r="AF11" s="2"/>
      <c r="AG11" s="1"/>
      <c r="AH11" s="1"/>
      <c r="AK11" s="1"/>
      <c r="AL11" s="1"/>
      <c r="AM11" s="2"/>
      <c r="AN11" s="2"/>
      <c r="AQ11" s="1"/>
      <c r="AS11" s="2"/>
      <c r="AT11" s="2"/>
      <c r="BG11" s="1"/>
    </row>
    <row r="12" spans="1:60">
      <c r="A12">
        <v>140</v>
      </c>
      <c r="B12" s="3">
        <f>SQRT(SUMSQ($AG$1283:$AG$1538)/256)</f>
        <v>0</v>
      </c>
      <c r="D12">
        <f>SQRT(SUMSQ($AH$1283:$AH$1538)/256)+SQRT(SUMSQ($BQ$1283:$BQ$1538)/256)</f>
        <v>0</v>
      </c>
      <c r="E12">
        <f t="shared" si="0"/>
        <v>0</v>
      </c>
      <c r="M12" s="1"/>
      <c r="N12" s="1"/>
      <c r="O12" s="1"/>
      <c r="P12" s="1"/>
      <c r="S12" s="2"/>
      <c r="T12" s="2"/>
      <c r="AA12" s="1"/>
      <c r="AB12" s="1"/>
      <c r="AE12" s="2"/>
      <c r="AF12" s="2"/>
      <c r="AG12" s="1"/>
      <c r="AH12" s="1"/>
      <c r="AK12" s="1"/>
      <c r="AL12" s="1"/>
      <c r="AM12" s="2"/>
      <c r="AN12" s="2"/>
      <c r="AQ12" s="1"/>
      <c r="AS12" s="2"/>
      <c r="AT12" s="2"/>
      <c r="BG12" s="1"/>
    </row>
    <row r="13" spans="1:60">
      <c r="A13">
        <v>160</v>
      </c>
      <c r="B13">
        <f>SQRT(SUMSQ($AI$1283:$AI$1538)/256)+SQRT(SUMSQ($BR$1283:$BR$1538)/256)</f>
        <v>0</v>
      </c>
      <c r="D13">
        <f>SQRT(SUMSQ($AJ$1283:$AJ$1538)/256)+SQRT(SUMSQ($BS$1283:$BS$1538)/256)</f>
        <v>0</v>
      </c>
      <c r="E13">
        <f t="shared" si="0"/>
        <v>0</v>
      </c>
      <c r="O13" s="1"/>
      <c r="P13" s="1"/>
      <c r="AA13" s="1"/>
      <c r="AB13" s="1"/>
      <c r="AG13" s="1"/>
      <c r="AH13" s="1"/>
      <c r="AK13" s="1"/>
      <c r="AL13" s="1"/>
      <c r="AM13" s="2"/>
      <c r="AN13" s="2"/>
      <c r="AQ13" s="1"/>
      <c r="BG13" s="1"/>
    </row>
    <row r="14" spans="1:60">
      <c r="A14">
        <v>180</v>
      </c>
      <c r="B14" s="3">
        <f>SQRT(SUMSQ($AK$1283:$AK$1538)/256)+SQRT(SUMSQ($BT$1283:$BT$1538)/256)</f>
        <v>0</v>
      </c>
      <c r="D14">
        <f>SQRT(SUMSQ($AL$1283:$AL$1538)/256)+SQRT(SUMSQ($BU$1283:$BU$1538)/256)</f>
        <v>0</v>
      </c>
      <c r="E14">
        <f t="shared" si="0"/>
        <v>0</v>
      </c>
      <c r="O14" s="1"/>
      <c r="P14" s="1"/>
      <c r="AA14" s="1"/>
      <c r="AB14" s="1"/>
      <c r="AG14" s="1"/>
      <c r="AH14" s="1"/>
      <c r="AK14" s="1"/>
      <c r="AL14" s="1"/>
      <c r="AM14" s="2"/>
      <c r="AN14" s="2"/>
      <c r="AQ14" s="1"/>
      <c r="BG14" s="1"/>
    </row>
    <row r="15" spans="1:60">
      <c r="A15">
        <v>200</v>
      </c>
      <c r="B15">
        <f>SQRT(SUMSQ($AM$1283:$AM$1538)/256)+SQRT(SUMSQ($BV$1283:$BV$1538)/256)</f>
        <v>0</v>
      </c>
      <c r="D15">
        <f>SQRT(SUMSQ($AN$1283:$AN$1538)/256)+SQRT(SUMSQ($BW$1283:$BW$1538)/256)</f>
        <v>0</v>
      </c>
      <c r="E15">
        <f t="shared" si="0"/>
        <v>0</v>
      </c>
      <c r="O15" s="1"/>
      <c r="P15" s="1"/>
      <c r="AA15" s="1"/>
      <c r="AB15" s="1"/>
      <c r="AG15" s="1"/>
      <c r="AH15" s="1"/>
      <c r="AK15" s="1"/>
      <c r="AL15" s="1"/>
      <c r="AM15" s="2"/>
      <c r="AN15" s="2"/>
      <c r="AQ15" s="1"/>
      <c r="BG15" s="1"/>
    </row>
    <row r="16" spans="1:60">
      <c r="A16">
        <v>220</v>
      </c>
      <c r="B16">
        <f>SQRT(SUMSQ($AO$1283:$AO$1538)/256)+SQRT(SUMSQ($BX$1283:$BX$1538)/256)</f>
        <v>0</v>
      </c>
      <c r="D16">
        <f>SQRT(SUMSQ($AP$1283:$AP$1538)/256)+SQRT(SUMSQ($BY$1283:$BY$1538)/256)</f>
        <v>0</v>
      </c>
      <c r="E16">
        <f t="shared" si="0"/>
        <v>0</v>
      </c>
      <c r="O16" s="1"/>
      <c r="P16" s="1"/>
      <c r="AA16" s="1"/>
      <c r="AB16" s="1"/>
      <c r="AG16" s="1"/>
      <c r="AH16" s="1"/>
      <c r="AK16" s="1"/>
      <c r="AL16" s="1"/>
      <c r="AM16" s="2"/>
      <c r="AN16" s="2"/>
      <c r="AQ16" s="1"/>
      <c r="BG16" s="1"/>
    </row>
    <row r="17" spans="1:59">
      <c r="A17">
        <v>230</v>
      </c>
      <c r="B17">
        <f>SQRT(SUMSQ($AQ$1283:$AQ$1538)/256)</f>
        <v>0</v>
      </c>
      <c r="D17">
        <f>SQRT(SUMSQ($AR$1283:$AR$1538)/256)+SQRT(SUMSQ($CA$1283:$CA$1538)/256)</f>
        <v>0</v>
      </c>
      <c r="E17">
        <f t="shared" si="0"/>
        <v>0</v>
      </c>
      <c r="O17" s="1"/>
      <c r="P17" s="1"/>
      <c r="AA17" s="1"/>
      <c r="AB17" s="1"/>
      <c r="AG17" s="1"/>
      <c r="AH17" s="1"/>
      <c r="AK17" s="1"/>
      <c r="AL17" s="1"/>
      <c r="AM17" s="2"/>
      <c r="AN17" s="2"/>
      <c r="AQ17" s="1"/>
      <c r="BG17" s="1"/>
    </row>
    <row r="18" spans="1:59">
      <c r="O18" s="1"/>
      <c r="P18" s="1"/>
      <c r="AA18" s="1"/>
      <c r="AB18" s="1"/>
      <c r="AG18" s="1"/>
      <c r="AH18" s="1"/>
      <c r="AK18" s="1"/>
      <c r="AL18" s="1"/>
      <c r="AM18" s="2"/>
      <c r="AN18" s="2"/>
      <c r="AQ18" s="1"/>
      <c r="BG18" s="1"/>
    </row>
    <row r="19" spans="1:59">
      <c r="O19" s="1"/>
      <c r="P19" s="1"/>
      <c r="AA19" s="1"/>
      <c r="AB19" s="1"/>
      <c r="AG19" s="1"/>
      <c r="AH19" s="1"/>
      <c r="AK19" s="1"/>
      <c r="AL19" s="1"/>
      <c r="AM19" s="2"/>
      <c r="AN19" s="2"/>
      <c r="AQ19" s="1"/>
      <c r="BG19" s="1"/>
    </row>
    <row r="20" spans="1:59">
      <c r="O20" s="1"/>
      <c r="P20" s="1"/>
      <c r="AA20" s="1"/>
      <c r="AB20" s="1"/>
      <c r="AG20" s="1"/>
      <c r="AH20" s="1"/>
      <c r="AK20" s="1"/>
      <c r="AL20" s="1"/>
      <c r="AM20" s="2"/>
      <c r="AN20" s="2"/>
      <c r="AQ20" s="1"/>
      <c r="BG20" s="1"/>
    </row>
    <row r="21" spans="1:59">
      <c r="O21" s="1"/>
      <c r="P21" s="1"/>
      <c r="AA21" s="1"/>
      <c r="AB21" s="1"/>
      <c r="AG21" s="1"/>
      <c r="AH21" s="1"/>
      <c r="AK21" s="1"/>
      <c r="AL21" s="1"/>
      <c r="AM21" s="2"/>
      <c r="AN21" s="2"/>
      <c r="AQ21" s="1"/>
      <c r="BG21" s="1"/>
    </row>
    <row r="22" spans="1:59">
      <c r="O22" s="1"/>
      <c r="P22" s="1"/>
      <c r="AA22" s="1"/>
      <c r="AB22" s="1"/>
      <c r="AG22" s="1"/>
      <c r="AH22" s="1"/>
      <c r="AK22" s="1"/>
      <c r="AL22" s="1"/>
      <c r="AM22" s="2"/>
      <c r="AN22" s="2"/>
      <c r="AQ22" s="1"/>
      <c r="BG22" s="1"/>
    </row>
    <row r="23" spans="1:59">
      <c r="O23" s="1"/>
      <c r="P23" s="1"/>
      <c r="AA23" s="1"/>
      <c r="AB23" s="1"/>
      <c r="AG23" s="1"/>
      <c r="AH23" s="1"/>
      <c r="AK23" s="1"/>
      <c r="AL23" s="1"/>
      <c r="AM23" s="2"/>
      <c r="AN23" s="2"/>
      <c r="AQ23" s="1"/>
      <c r="BG23" s="1"/>
    </row>
    <row r="24" spans="1:59">
      <c r="B24" s="3"/>
      <c r="D24" s="3"/>
      <c r="O24" s="1"/>
      <c r="P24" s="1"/>
      <c r="AA24" s="1"/>
      <c r="AB24" s="1"/>
      <c r="AG24" s="1"/>
      <c r="AH24" s="1"/>
      <c r="AK24" s="1"/>
      <c r="AL24" s="1"/>
      <c r="AM24" s="2"/>
      <c r="AN24" s="2"/>
      <c r="AQ24" s="1"/>
      <c r="BG24" s="1"/>
    </row>
    <row r="25" spans="1:59">
      <c r="O25" s="1"/>
      <c r="P25" s="1"/>
      <c r="AA25" s="1"/>
      <c r="AB25" s="1"/>
      <c r="AG25" s="1"/>
      <c r="AH25" s="1"/>
      <c r="AK25" s="1"/>
      <c r="AL25" s="1"/>
      <c r="AM25" s="2"/>
      <c r="AN25" s="2"/>
      <c r="AQ25" s="1"/>
      <c r="BG25" s="1"/>
    </row>
    <row r="26" spans="1:59">
      <c r="O26" s="1"/>
      <c r="P26" s="1"/>
      <c r="AA26" s="1"/>
      <c r="AB26" s="1"/>
      <c r="AG26" s="1"/>
      <c r="AH26" s="1"/>
      <c r="AK26" s="1"/>
      <c r="AL26" s="1"/>
      <c r="AM26" s="2"/>
      <c r="AN26" s="2"/>
      <c r="AQ26" s="1"/>
      <c r="BG26" s="1"/>
    </row>
    <row r="27" spans="1:59">
      <c r="O27" s="1"/>
      <c r="P27" s="1"/>
      <c r="AA27" s="1"/>
      <c r="AB27" s="1"/>
      <c r="AG27" s="1"/>
      <c r="AH27" s="1"/>
      <c r="AK27" s="1"/>
      <c r="AL27" s="1"/>
      <c r="AM27" s="2"/>
      <c r="AN27" s="2"/>
      <c r="AQ27" s="1"/>
      <c r="BG27" s="1"/>
    </row>
    <row r="28" spans="1:59">
      <c r="O28" s="1"/>
      <c r="P28" s="1"/>
      <c r="AA28" s="1"/>
      <c r="AB28" s="1"/>
      <c r="AG28" s="1"/>
      <c r="AH28" s="1"/>
      <c r="AK28" s="1"/>
      <c r="AL28" s="1"/>
      <c r="AM28" s="2"/>
      <c r="AN28" s="2"/>
      <c r="AQ28" s="1"/>
      <c r="BG28" s="1"/>
    </row>
    <row r="29" spans="1:59">
      <c r="O29" s="1"/>
      <c r="P29" s="1"/>
      <c r="AA29" s="1"/>
      <c r="AB29" s="1"/>
      <c r="AG29" s="1"/>
      <c r="AH29" s="1"/>
      <c r="AK29" s="1"/>
      <c r="AL29" s="1"/>
      <c r="AM29" s="2"/>
      <c r="AN29" s="2"/>
      <c r="AQ29" s="1"/>
      <c r="BG29" s="1"/>
    </row>
    <row r="30" spans="1:59">
      <c r="B30" s="3"/>
      <c r="D30" s="3"/>
      <c r="O30" s="1"/>
      <c r="P30" s="1"/>
      <c r="AA30" s="1"/>
      <c r="AB30" s="1"/>
      <c r="AG30" s="1"/>
      <c r="AH30" s="1"/>
      <c r="AK30" s="1"/>
      <c r="AL30" s="1"/>
      <c r="AM30" s="2"/>
      <c r="AN30" s="2"/>
      <c r="AQ30" s="1"/>
      <c r="BG30" s="1"/>
    </row>
    <row r="31" spans="1:59">
      <c r="O31" s="1"/>
      <c r="P31" s="1"/>
      <c r="AA31" s="1"/>
      <c r="AB31" s="1"/>
      <c r="AG31" s="1"/>
      <c r="AH31" s="1"/>
      <c r="AK31" s="1"/>
      <c r="AL31" s="1"/>
      <c r="AM31" s="2"/>
      <c r="AN31" s="2"/>
      <c r="AQ31" s="1"/>
      <c r="BG31" s="1"/>
    </row>
    <row r="32" spans="1:59">
      <c r="O32" s="1"/>
      <c r="P32" s="1"/>
      <c r="AA32" s="1"/>
      <c r="AB32" s="1"/>
      <c r="AG32" s="1"/>
      <c r="AH32" s="1"/>
      <c r="AK32" s="1"/>
      <c r="AL32" s="1"/>
      <c r="AM32" s="2"/>
      <c r="AN32" s="2"/>
      <c r="AQ32" s="1"/>
      <c r="BG32" s="1"/>
    </row>
    <row r="33" spans="2:59">
      <c r="B33" s="3"/>
      <c r="D33" s="3"/>
      <c r="O33" s="1"/>
      <c r="P33" s="1"/>
      <c r="AA33" s="1"/>
      <c r="AB33" s="1"/>
      <c r="AG33" s="1"/>
      <c r="AH33" s="1"/>
      <c r="AK33" s="1"/>
      <c r="AL33" s="1"/>
      <c r="AM33" s="2"/>
      <c r="AN33" s="2"/>
      <c r="AQ33" s="1"/>
      <c r="BG33" s="1"/>
    </row>
    <row r="34" spans="2:59">
      <c r="O34" s="1"/>
      <c r="P34" s="1"/>
      <c r="AA34" s="1"/>
      <c r="AB34" s="1"/>
      <c r="AG34" s="1"/>
      <c r="AH34" s="1"/>
      <c r="AK34" s="1"/>
      <c r="AL34" s="1"/>
      <c r="AM34" s="2"/>
      <c r="AN34" s="2"/>
      <c r="AQ34" s="1"/>
      <c r="BG34" s="1"/>
    </row>
    <row r="35" spans="2:59">
      <c r="B35" s="3"/>
      <c r="D35" s="3"/>
      <c r="O35" s="1"/>
      <c r="P35" s="1"/>
      <c r="AA35" s="1"/>
      <c r="AB35" s="1"/>
      <c r="AG35" s="1"/>
      <c r="AH35" s="1"/>
      <c r="AK35" s="1"/>
      <c r="AL35" s="1"/>
      <c r="AM35" s="2"/>
      <c r="AN35" s="2"/>
      <c r="AQ35" s="1"/>
      <c r="BG35" s="1"/>
    </row>
    <row r="36" spans="2:59">
      <c r="O36" s="1"/>
      <c r="P36" s="1"/>
      <c r="AA36" s="1"/>
      <c r="AB36" s="1"/>
      <c r="AG36" s="1"/>
      <c r="AH36" s="1"/>
      <c r="AK36" s="1"/>
      <c r="AL36" s="1"/>
      <c r="AM36" s="2"/>
      <c r="AN36" s="2"/>
      <c r="AQ36" s="1"/>
      <c r="BG36" s="1"/>
    </row>
    <row r="37" spans="2:59">
      <c r="O37" s="1"/>
      <c r="P37" s="1"/>
      <c r="AA37" s="1"/>
      <c r="AB37" s="1"/>
      <c r="AG37" s="1"/>
      <c r="AH37" s="1"/>
      <c r="AK37" s="1"/>
      <c r="AL37" s="1"/>
      <c r="AM37" s="2"/>
      <c r="AN37" s="2"/>
      <c r="AQ37" s="1"/>
      <c r="BG37" s="1"/>
    </row>
    <row r="38" spans="2:59">
      <c r="O38" s="1"/>
      <c r="P38" s="1"/>
      <c r="AA38" s="1"/>
      <c r="AB38" s="1"/>
      <c r="AG38" s="1"/>
      <c r="AH38" s="1"/>
      <c r="AK38" s="1"/>
      <c r="AL38" s="1"/>
      <c r="AM38" s="2"/>
      <c r="AN38" s="2"/>
      <c r="AQ38" s="1"/>
      <c r="BG38" s="1"/>
    </row>
    <row r="39" spans="2:59">
      <c r="O39" s="1"/>
      <c r="P39" s="1"/>
      <c r="AA39" s="1"/>
      <c r="AB39" s="1"/>
      <c r="AG39" s="1"/>
      <c r="AH39" s="1"/>
      <c r="AK39" s="1"/>
      <c r="AL39" s="1"/>
      <c r="AM39" s="2"/>
      <c r="AN39" s="2"/>
      <c r="AQ39" s="1"/>
      <c r="BG39" s="1"/>
    </row>
    <row r="40" spans="2:59">
      <c r="O40" s="1"/>
      <c r="P40" s="1"/>
      <c r="AA40" s="1"/>
      <c r="AB40" s="1"/>
      <c r="AG40" s="1"/>
      <c r="AH40" s="1"/>
      <c r="AK40" s="1"/>
      <c r="AL40" s="1"/>
      <c r="AM40" s="2"/>
      <c r="AN40" s="2"/>
      <c r="AQ40" s="1"/>
      <c r="BG40" s="1"/>
    </row>
    <row r="41" spans="2:59">
      <c r="O41" s="1"/>
      <c r="P41" s="1"/>
      <c r="AA41" s="1"/>
      <c r="AB41" s="1"/>
      <c r="AG41" s="1"/>
      <c r="AH41" s="1"/>
      <c r="AK41" s="1"/>
      <c r="AL41" s="1"/>
      <c r="AM41" s="2"/>
      <c r="AN41" s="2"/>
      <c r="AQ41" s="1"/>
      <c r="BG41" s="1"/>
    </row>
    <row r="42" spans="2:59">
      <c r="O42" s="1"/>
      <c r="P42" s="1"/>
      <c r="AA42" s="1"/>
      <c r="AB42" s="1"/>
      <c r="AG42" s="1"/>
      <c r="AH42" s="1"/>
      <c r="AK42" s="1"/>
      <c r="AL42" s="1"/>
      <c r="AM42" s="2"/>
      <c r="AN42" s="2"/>
      <c r="AQ42" s="1"/>
      <c r="BG42" s="1"/>
    </row>
    <row r="43" spans="2:59">
      <c r="O43" s="1"/>
      <c r="P43" s="1"/>
      <c r="AA43" s="1"/>
      <c r="AB43" s="1"/>
      <c r="AG43" s="1"/>
      <c r="AH43" s="1"/>
      <c r="AK43" s="1"/>
      <c r="AL43" s="1"/>
      <c r="AM43" s="2"/>
      <c r="AN43" s="2"/>
      <c r="AQ43" s="1"/>
      <c r="BG43" s="1"/>
    </row>
    <row r="44" spans="2:59">
      <c r="O44" s="1"/>
      <c r="P44" s="1"/>
      <c r="AA44" s="1"/>
      <c r="AB44" s="1"/>
      <c r="AG44" s="1"/>
      <c r="AH44" s="1"/>
      <c r="AK44" s="1"/>
      <c r="AL44" s="1"/>
      <c r="AM44" s="2"/>
      <c r="AN44" s="2"/>
      <c r="AQ44" s="1"/>
      <c r="BG44" s="1"/>
    </row>
    <row r="45" spans="2:59">
      <c r="O45" s="1"/>
      <c r="P45" s="1"/>
      <c r="AA45" s="1"/>
      <c r="AB45" s="1"/>
      <c r="AG45" s="1"/>
      <c r="AH45" s="1"/>
      <c r="AK45" s="1"/>
      <c r="AL45" s="1"/>
      <c r="AM45" s="2"/>
      <c r="AN45" s="2"/>
      <c r="AQ45" s="1"/>
      <c r="BG45" s="1"/>
    </row>
    <row r="46" spans="2:59">
      <c r="O46" s="1"/>
      <c r="P46" s="1"/>
      <c r="AA46" s="1"/>
      <c r="AB46" s="1"/>
      <c r="AG46" s="1"/>
      <c r="AH46" s="1"/>
      <c r="AK46" s="1"/>
      <c r="AL46" s="1"/>
      <c r="AM46" s="2"/>
      <c r="AN46" s="2"/>
      <c r="AQ46" s="1"/>
      <c r="BG46" s="1"/>
    </row>
    <row r="47" spans="2:59">
      <c r="O47" s="1"/>
      <c r="P47" s="1"/>
      <c r="AA47" s="1"/>
      <c r="AB47" s="1"/>
      <c r="AG47" s="1"/>
      <c r="AH47" s="1"/>
      <c r="AK47" s="1"/>
      <c r="AL47" s="1"/>
      <c r="AM47" s="2"/>
      <c r="AN47" s="2"/>
      <c r="AQ47" s="1"/>
      <c r="BG47" s="1"/>
    </row>
    <row r="48" spans="2:59">
      <c r="O48" s="1"/>
      <c r="P48" s="1"/>
      <c r="AA48" s="1"/>
      <c r="AB48" s="1"/>
      <c r="AG48" s="1"/>
      <c r="AH48" s="1"/>
      <c r="AK48" s="1"/>
      <c r="AL48" s="1"/>
      <c r="AM48" s="2"/>
      <c r="AN48" s="2"/>
      <c r="AQ48" s="1"/>
      <c r="BG48" s="1"/>
    </row>
    <row r="49" spans="15:59">
      <c r="O49" s="1"/>
      <c r="P49" s="1"/>
      <c r="AA49" s="1"/>
      <c r="AB49" s="1"/>
      <c r="AG49" s="1"/>
      <c r="AH49" s="1"/>
      <c r="AK49" s="1"/>
      <c r="AL49" s="1"/>
      <c r="AM49" s="2"/>
      <c r="AN49" s="2"/>
      <c r="AQ49" s="1"/>
      <c r="BG49" s="1"/>
    </row>
    <row r="50" spans="15:59">
      <c r="O50" s="1"/>
      <c r="P50" s="1"/>
      <c r="AA50" s="1"/>
      <c r="AB50" s="1"/>
      <c r="AG50" s="1"/>
      <c r="AH50" s="1"/>
      <c r="AK50" s="1"/>
      <c r="AL50" s="1"/>
      <c r="AM50" s="2"/>
      <c r="AN50" s="2"/>
      <c r="AQ50" s="1"/>
      <c r="BG50" s="1"/>
    </row>
    <row r="51" spans="15:59">
      <c r="O51" s="1"/>
      <c r="P51" s="1"/>
      <c r="AA51" s="1"/>
      <c r="AB51" s="1"/>
      <c r="AG51" s="1"/>
      <c r="AH51" s="1"/>
      <c r="AK51" s="1"/>
      <c r="AL51" s="1"/>
      <c r="AM51" s="2"/>
      <c r="AN51" s="2"/>
      <c r="AQ51" s="1"/>
      <c r="BG51" s="1"/>
    </row>
    <row r="52" spans="15:59">
      <c r="O52" s="1"/>
      <c r="P52" s="1"/>
      <c r="AA52" s="1"/>
      <c r="AB52" s="1"/>
      <c r="AG52" s="1"/>
      <c r="AH52" s="1"/>
      <c r="AK52" s="1"/>
      <c r="AL52" s="1"/>
      <c r="AM52" s="2"/>
      <c r="AN52" s="2"/>
      <c r="AQ52" s="1"/>
      <c r="BG52" s="1"/>
    </row>
    <row r="53" spans="15:59">
      <c r="O53" s="1"/>
      <c r="P53" s="1"/>
      <c r="AA53" s="1"/>
      <c r="AB53" s="1"/>
      <c r="AG53" s="1"/>
      <c r="AH53" s="1"/>
      <c r="AK53" s="1"/>
      <c r="AL53" s="1"/>
      <c r="AM53" s="2"/>
      <c r="AN53" s="2"/>
      <c r="AQ53" s="1"/>
      <c r="BG53" s="1"/>
    </row>
    <row r="54" spans="15:59">
      <c r="O54" s="1"/>
      <c r="P54" s="1"/>
      <c r="AA54" s="1"/>
      <c r="AB54" s="1"/>
      <c r="AG54" s="1"/>
      <c r="AH54" s="1"/>
      <c r="AK54" s="1"/>
      <c r="AL54" s="1"/>
      <c r="AM54" s="2"/>
      <c r="AN54" s="2"/>
      <c r="AQ54" s="1"/>
      <c r="BG54" s="1"/>
    </row>
    <row r="55" spans="15:59">
      <c r="O55" s="1"/>
      <c r="P55" s="1"/>
      <c r="AA55" s="1"/>
      <c r="AB55" s="1"/>
      <c r="AG55" s="1"/>
      <c r="AH55" s="1"/>
      <c r="AK55" s="1"/>
      <c r="AL55" s="1"/>
      <c r="AM55" s="2"/>
      <c r="AN55" s="2"/>
      <c r="AQ55" s="1"/>
      <c r="BG55" s="1"/>
    </row>
    <row r="56" spans="15:59">
      <c r="O56" s="1"/>
      <c r="P56" s="1"/>
      <c r="AA56" s="1"/>
      <c r="AB56" s="1"/>
      <c r="AG56" s="1"/>
      <c r="AH56" s="1"/>
      <c r="AK56" s="1"/>
      <c r="AL56" s="1"/>
      <c r="AM56" s="2"/>
      <c r="AN56" s="2"/>
      <c r="AQ56" s="1"/>
      <c r="BG56" s="1"/>
    </row>
    <row r="57" spans="15:59">
      <c r="O57" s="1"/>
      <c r="P57" s="1"/>
      <c r="AA57" s="1"/>
      <c r="AB57" s="1"/>
      <c r="AG57" s="1"/>
      <c r="AH57" s="1"/>
      <c r="AK57" s="1"/>
      <c r="AL57" s="1"/>
      <c r="AM57" s="2"/>
      <c r="AN57" s="2"/>
      <c r="AQ57" s="1"/>
      <c r="BG57" s="1"/>
    </row>
    <row r="58" spans="15:59">
      <c r="O58" s="1"/>
      <c r="P58" s="1"/>
      <c r="AA58" s="1"/>
      <c r="AB58" s="1"/>
      <c r="AG58" s="1"/>
      <c r="AH58" s="1"/>
      <c r="AK58" s="1"/>
      <c r="AL58" s="1"/>
      <c r="AM58" s="2"/>
      <c r="AN58" s="2"/>
      <c r="AQ58" s="1"/>
      <c r="BG58" s="1"/>
    </row>
    <row r="59" spans="15:59">
      <c r="O59" s="1"/>
      <c r="P59" s="1"/>
      <c r="AA59" s="1"/>
      <c r="AB59" s="1"/>
      <c r="AG59" s="1"/>
      <c r="AH59" s="1"/>
      <c r="AK59" s="1"/>
      <c r="AL59" s="1"/>
      <c r="AM59" s="2"/>
      <c r="AN59" s="2"/>
      <c r="AQ59" s="1"/>
      <c r="BG59" s="1"/>
    </row>
    <row r="60" spans="15:59">
      <c r="O60" s="1"/>
      <c r="P60" s="1"/>
      <c r="AA60" s="1"/>
      <c r="AB60" s="1"/>
      <c r="AG60" s="1"/>
      <c r="AH60" s="1"/>
      <c r="AK60" s="1"/>
      <c r="AL60" s="1"/>
      <c r="AM60" s="2"/>
      <c r="AN60" s="2"/>
      <c r="AQ60" s="1"/>
      <c r="BG60" s="1"/>
    </row>
    <row r="61" spans="15:59">
      <c r="O61" s="1"/>
      <c r="P61" s="1"/>
      <c r="AA61" s="1"/>
      <c r="AB61" s="1"/>
      <c r="AG61" s="1"/>
      <c r="AH61" s="1"/>
      <c r="AK61" s="1"/>
      <c r="AL61" s="1"/>
      <c r="AM61" s="2"/>
      <c r="AN61" s="2"/>
      <c r="AQ61" s="1"/>
      <c r="BG61" s="1"/>
    </row>
    <row r="62" spans="15:59">
      <c r="O62" s="1"/>
      <c r="P62" s="1"/>
      <c r="AA62" s="1"/>
      <c r="AB62" s="1"/>
      <c r="AG62" s="1"/>
      <c r="AH62" s="1"/>
      <c r="AK62" s="1"/>
      <c r="AL62" s="1"/>
      <c r="AM62" s="2"/>
      <c r="AN62" s="2"/>
      <c r="AQ62" s="1"/>
      <c r="BG62" s="1"/>
    </row>
    <row r="63" spans="15:59">
      <c r="O63" s="1"/>
      <c r="P63" s="1"/>
      <c r="AA63" s="1"/>
      <c r="AB63" s="1"/>
      <c r="AG63" s="1"/>
      <c r="AH63" s="1"/>
      <c r="AK63" s="1"/>
      <c r="AL63" s="1"/>
      <c r="AM63" s="2"/>
      <c r="AN63" s="2"/>
      <c r="AQ63" s="1"/>
      <c r="BG63" s="1"/>
    </row>
    <row r="64" spans="15:59">
      <c r="O64" s="1"/>
      <c r="P64" s="1"/>
      <c r="AA64" s="1"/>
      <c r="AB64" s="1"/>
      <c r="AG64" s="1"/>
      <c r="AH64" s="1"/>
      <c r="AK64" s="1"/>
      <c r="AL64" s="1"/>
      <c r="AM64" s="2"/>
      <c r="AN64" s="2"/>
      <c r="AQ64" s="1"/>
      <c r="BG64" s="1"/>
    </row>
    <row r="65" spans="15:59">
      <c r="O65" s="1"/>
      <c r="P65" s="1"/>
      <c r="AA65" s="1"/>
      <c r="AB65" s="1"/>
      <c r="AG65" s="1"/>
      <c r="AH65" s="1"/>
      <c r="AK65" s="1"/>
      <c r="AL65" s="1"/>
      <c r="AM65" s="2"/>
      <c r="AN65" s="2"/>
      <c r="AQ65" s="1"/>
      <c r="BG65" s="1"/>
    </row>
    <row r="66" spans="15:59">
      <c r="O66" s="1"/>
      <c r="P66" s="1"/>
      <c r="AA66" s="1"/>
      <c r="AB66" s="1"/>
      <c r="AG66" s="1"/>
      <c r="AH66" s="1"/>
      <c r="AK66" s="1"/>
      <c r="AL66" s="1"/>
      <c r="AM66" s="2"/>
      <c r="AN66" s="2"/>
      <c r="AQ66" s="1"/>
      <c r="BG66" s="1"/>
    </row>
    <row r="67" spans="15:59">
      <c r="O67" s="1"/>
      <c r="P67" s="1"/>
      <c r="AA67" s="1"/>
      <c r="AB67" s="1"/>
      <c r="AG67" s="1"/>
      <c r="AH67" s="1"/>
      <c r="AK67" s="1"/>
      <c r="AL67" s="1"/>
      <c r="AM67" s="2"/>
      <c r="AN67" s="2"/>
      <c r="AQ67" s="1"/>
      <c r="BG67" s="1"/>
    </row>
    <row r="68" spans="15:59">
      <c r="O68" s="1"/>
      <c r="P68" s="1"/>
      <c r="AA68" s="1"/>
      <c r="AB68" s="1"/>
      <c r="AG68" s="1"/>
      <c r="AH68" s="1"/>
      <c r="AK68" s="1"/>
      <c r="AL68" s="1"/>
      <c r="AM68" s="2"/>
      <c r="AN68" s="2"/>
      <c r="AQ68" s="1"/>
      <c r="BG68" s="1"/>
    </row>
    <row r="69" spans="15:59">
      <c r="O69" s="1"/>
      <c r="P69" s="1"/>
      <c r="AA69" s="1"/>
      <c r="AB69" s="1"/>
      <c r="AG69" s="1"/>
      <c r="AH69" s="1"/>
      <c r="AK69" s="1"/>
      <c r="AL69" s="1"/>
      <c r="AM69" s="2"/>
      <c r="AN69" s="2"/>
      <c r="AQ69" s="1"/>
      <c r="BG69" s="1"/>
    </row>
    <row r="70" spans="15:59">
      <c r="O70" s="1"/>
      <c r="P70" s="1"/>
      <c r="AA70" s="1"/>
      <c r="AB70" s="1"/>
      <c r="AG70" s="1"/>
      <c r="AH70" s="1"/>
      <c r="AK70" s="1"/>
      <c r="AL70" s="1"/>
      <c r="AM70" s="2"/>
      <c r="AN70" s="2"/>
      <c r="AQ70" s="1"/>
      <c r="BG70" s="1"/>
    </row>
    <row r="71" spans="15:59">
      <c r="O71" s="1"/>
      <c r="P71" s="1"/>
      <c r="AA71" s="1"/>
      <c r="AB71" s="1"/>
      <c r="AG71" s="1"/>
      <c r="AH71" s="1"/>
      <c r="AK71" s="1"/>
      <c r="AL71" s="1"/>
      <c r="AM71" s="2"/>
      <c r="AN71" s="2"/>
      <c r="AQ71" s="1"/>
      <c r="BG71" s="1"/>
    </row>
    <row r="72" spans="15:59">
      <c r="O72" s="1"/>
      <c r="P72" s="1"/>
      <c r="AA72" s="1"/>
      <c r="AB72" s="1"/>
      <c r="AG72" s="1"/>
      <c r="AH72" s="1"/>
      <c r="AK72" s="1"/>
      <c r="AL72" s="1"/>
      <c r="AM72" s="2"/>
      <c r="AN72" s="2"/>
      <c r="AQ72" s="1"/>
      <c r="BG72" s="1"/>
    </row>
    <row r="73" spans="15:59">
      <c r="O73" s="1"/>
      <c r="P73" s="1"/>
      <c r="AA73" s="1"/>
      <c r="AB73" s="1"/>
      <c r="AG73" s="1"/>
      <c r="AH73" s="1"/>
      <c r="AK73" s="1"/>
      <c r="AL73" s="1"/>
      <c r="AM73" s="2"/>
      <c r="AN73" s="2"/>
      <c r="AQ73" s="1"/>
      <c r="BG73" s="1"/>
    </row>
    <row r="74" spans="15:59">
      <c r="O74" s="1"/>
      <c r="P74" s="1"/>
      <c r="AA74" s="1"/>
      <c r="AB74" s="1"/>
      <c r="AG74" s="1"/>
      <c r="AH74" s="1"/>
      <c r="AK74" s="1"/>
      <c r="AL74" s="1"/>
      <c r="AM74" s="2"/>
      <c r="AN74" s="2"/>
      <c r="AQ74" s="1"/>
      <c r="BG74" s="1"/>
    </row>
    <row r="75" spans="15:59">
      <c r="O75" s="1"/>
      <c r="P75" s="1"/>
      <c r="AA75" s="1"/>
      <c r="AB75" s="1"/>
      <c r="AG75" s="1"/>
      <c r="AH75" s="1"/>
      <c r="AK75" s="1"/>
      <c r="AL75" s="1"/>
      <c r="AM75" s="2"/>
      <c r="AN75" s="2"/>
      <c r="AQ75" s="1"/>
      <c r="BG75" s="1"/>
    </row>
    <row r="76" spans="15:59">
      <c r="O76" s="1"/>
      <c r="P76" s="1"/>
      <c r="AA76" s="1"/>
      <c r="AB76" s="1"/>
      <c r="AG76" s="1"/>
      <c r="AH76" s="1"/>
      <c r="AK76" s="1"/>
      <c r="AL76" s="1"/>
      <c r="AM76" s="2"/>
      <c r="AN76" s="2"/>
      <c r="AQ76" s="1"/>
      <c r="BG76" s="1"/>
    </row>
    <row r="77" spans="15:59">
      <c r="O77" s="1"/>
      <c r="P77" s="1"/>
      <c r="AA77" s="1"/>
      <c r="AB77" s="1"/>
      <c r="AG77" s="1"/>
      <c r="AH77" s="1"/>
      <c r="AK77" s="1"/>
      <c r="AL77" s="1"/>
      <c r="AM77" s="2"/>
      <c r="AN77" s="2"/>
      <c r="AQ77" s="1"/>
      <c r="BG77" s="1"/>
    </row>
    <row r="78" spans="15:59">
      <c r="O78" s="1"/>
      <c r="P78" s="1"/>
      <c r="AA78" s="1"/>
      <c r="AB78" s="1"/>
      <c r="AG78" s="1"/>
      <c r="AH78" s="1"/>
      <c r="AK78" s="1"/>
      <c r="AL78" s="1"/>
      <c r="AM78" s="2"/>
      <c r="AN78" s="2"/>
      <c r="AQ78" s="1"/>
      <c r="BG78" s="1"/>
    </row>
    <row r="79" spans="15:59">
      <c r="O79" s="1"/>
      <c r="P79" s="1"/>
      <c r="AA79" s="1"/>
      <c r="AB79" s="1"/>
      <c r="AG79" s="1"/>
      <c r="AH79" s="1"/>
      <c r="AK79" s="1"/>
      <c r="AL79" s="1"/>
      <c r="AM79" s="2"/>
      <c r="AN79" s="2"/>
      <c r="AQ79" s="1"/>
      <c r="BG79" s="1"/>
    </row>
    <row r="80" spans="15:59">
      <c r="O80" s="1"/>
      <c r="P80" s="1"/>
      <c r="AA80" s="1"/>
      <c r="AB80" s="1"/>
      <c r="AG80" s="1"/>
      <c r="AH80" s="1"/>
      <c r="AK80" s="1"/>
      <c r="AL80" s="1"/>
      <c r="AM80" s="2"/>
      <c r="AN80" s="2"/>
      <c r="AQ80" s="1"/>
      <c r="BG80" s="1"/>
    </row>
    <row r="81" spans="15:59">
      <c r="O81" s="1"/>
      <c r="P81" s="1"/>
      <c r="AA81" s="1"/>
      <c r="AB81" s="1"/>
      <c r="AG81" s="1"/>
      <c r="AH81" s="1"/>
      <c r="AK81" s="1"/>
      <c r="AL81" s="1"/>
      <c r="AM81" s="2"/>
      <c r="AN81" s="2"/>
      <c r="AQ81" s="1"/>
      <c r="BG81" s="1"/>
    </row>
    <row r="82" spans="15:59">
      <c r="O82" s="1"/>
      <c r="P82" s="1"/>
      <c r="AA82" s="1"/>
      <c r="AB82" s="1"/>
      <c r="AG82" s="1"/>
      <c r="AH82" s="1"/>
      <c r="AK82" s="1"/>
      <c r="AL82" s="1"/>
      <c r="AM82" s="2"/>
      <c r="AN82" s="2"/>
      <c r="AQ82" s="1"/>
      <c r="BG82" s="1"/>
    </row>
    <row r="83" spans="15:59">
      <c r="O83" s="1"/>
      <c r="P83" s="1"/>
      <c r="AA83" s="1"/>
      <c r="AB83" s="1"/>
      <c r="AG83" s="1"/>
      <c r="AH83" s="1"/>
      <c r="AK83" s="1"/>
      <c r="AL83" s="1"/>
      <c r="AM83" s="2"/>
      <c r="AN83" s="2"/>
      <c r="AQ83" s="1"/>
      <c r="BG83" s="1"/>
    </row>
    <row r="84" spans="15:59">
      <c r="O84" s="1"/>
      <c r="P84" s="1"/>
      <c r="AA84" s="1"/>
      <c r="AB84" s="1"/>
      <c r="AG84" s="1"/>
      <c r="AH84" s="1"/>
      <c r="AK84" s="1"/>
      <c r="AL84" s="1"/>
      <c r="AM84" s="2"/>
      <c r="AN84" s="2"/>
      <c r="AQ84" s="1"/>
      <c r="BG84" s="1"/>
    </row>
    <row r="85" spans="15:59">
      <c r="O85" s="1"/>
      <c r="P85" s="1"/>
      <c r="AA85" s="1"/>
      <c r="AB85" s="1"/>
      <c r="AG85" s="1"/>
      <c r="AH85" s="1"/>
      <c r="AK85" s="1"/>
      <c r="AL85" s="1"/>
      <c r="AM85" s="2"/>
      <c r="AN85" s="2"/>
      <c r="AQ85" s="1"/>
      <c r="BG85" s="1"/>
    </row>
    <row r="86" spans="15:59">
      <c r="O86" s="1"/>
      <c r="P86" s="1"/>
      <c r="AA86" s="1"/>
      <c r="AB86" s="1"/>
      <c r="AG86" s="1"/>
      <c r="AH86" s="1"/>
      <c r="AK86" s="1"/>
      <c r="AL86" s="1"/>
      <c r="AM86" s="2"/>
      <c r="AN86" s="2"/>
      <c r="AQ86" s="1"/>
      <c r="BG86" s="1"/>
    </row>
    <row r="87" spans="15:59">
      <c r="O87" s="1"/>
      <c r="P87" s="1"/>
      <c r="AA87" s="1"/>
      <c r="AB87" s="1"/>
      <c r="AG87" s="1"/>
      <c r="AH87" s="1"/>
      <c r="AK87" s="1"/>
      <c r="AL87" s="1"/>
      <c r="AM87" s="2"/>
      <c r="AN87" s="2"/>
      <c r="AQ87" s="1"/>
      <c r="BG87" s="1"/>
    </row>
    <row r="88" spans="15:59">
      <c r="O88" s="1"/>
      <c r="P88" s="1"/>
      <c r="AA88" s="1"/>
      <c r="AB88" s="1"/>
      <c r="AG88" s="1"/>
      <c r="AH88" s="1"/>
      <c r="AK88" s="1"/>
      <c r="AL88" s="1"/>
      <c r="AM88" s="2"/>
      <c r="AN88" s="2"/>
      <c r="AQ88" s="1"/>
      <c r="BG88" s="1"/>
    </row>
    <row r="89" spans="15:59">
      <c r="O89" s="1"/>
      <c r="P89" s="1"/>
      <c r="AA89" s="1"/>
      <c r="AB89" s="1"/>
      <c r="AG89" s="1"/>
      <c r="AH89" s="1"/>
      <c r="AK89" s="1"/>
      <c r="AL89" s="1"/>
      <c r="AM89" s="2"/>
      <c r="AN89" s="2"/>
      <c r="AQ89" s="1"/>
      <c r="BG89" s="1"/>
    </row>
    <row r="90" spans="15:59">
      <c r="O90" s="1"/>
      <c r="P90" s="1"/>
      <c r="AA90" s="1"/>
      <c r="AB90" s="1"/>
      <c r="AG90" s="1"/>
      <c r="AH90" s="1"/>
      <c r="AK90" s="1"/>
      <c r="AL90" s="1"/>
      <c r="AM90" s="2"/>
      <c r="AN90" s="2"/>
      <c r="AQ90" s="1"/>
      <c r="BG90" s="1"/>
    </row>
    <row r="91" spans="15:59">
      <c r="O91" s="1"/>
      <c r="P91" s="1"/>
      <c r="AA91" s="1"/>
      <c r="AB91" s="1"/>
      <c r="AG91" s="1"/>
      <c r="AH91" s="1"/>
      <c r="AK91" s="1"/>
      <c r="AL91" s="1"/>
      <c r="AM91" s="2"/>
      <c r="AN91" s="2"/>
      <c r="AQ91" s="1"/>
      <c r="BG91" s="1"/>
    </row>
    <row r="92" spans="15:59">
      <c r="O92" s="1"/>
      <c r="P92" s="1"/>
      <c r="AA92" s="1"/>
      <c r="AB92" s="1"/>
      <c r="AG92" s="1"/>
      <c r="AH92" s="1"/>
      <c r="AK92" s="1"/>
      <c r="AL92" s="1"/>
      <c r="AM92" s="2"/>
      <c r="AN92" s="2"/>
      <c r="AQ92" s="1"/>
      <c r="BG92" s="1"/>
    </row>
    <row r="93" spans="15:59">
      <c r="O93" s="1"/>
      <c r="P93" s="1"/>
      <c r="AA93" s="1"/>
      <c r="AB93" s="1"/>
      <c r="AG93" s="1"/>
      <c r="AH93" s="1"/>
      <c r="AK93" s="1"/>
      <c r="AL93" s="1"/>
      <c r="AM93" s="2"/>
      <c r="AN93" s="2"/>
      <c r="AQ93" s="1"/>
      <c r="BG93" s="1"/>
    </row>
    <row r="94" spans="15:59">
      <c r="O94" s="1"/>
      <c r="P94" s="1"/>
      <c r="AA94" s="1"/>
      <c r="AB94" s="1"/>
      <c r="AG94" s="1"/>
      <c r="AH94" s="1"/>
      <c r="AK94" s="1"/>
      <c r="AL94" s="1"/>
      <c r="AM94" s="2"/>
      <c r="AN94" s="2"/>
      <c r="AQ94" s="1"/>
      <c r="BG94" s="1"/>
    </row>
    <row r="95" spans="15:59">
      <c r="O95" s="1"/>
      <c r="P95" s="1"/>
      <c r="AA95" s="1"/>
      <c r="AB95" s="1"/>
      <c r="AG95" s="1"/>
      <c r="AH95" s="1"/>
      <c r="AK95" s="1"/>
      <c r="AL95" s="1"/>
      <c r="AM95" s="2"/>
      <c r="AN95" s="2"/>
      <c r="AQ95" s="1"/>
      <c r="BG95" s="1"/>
    </row>
    <row r="96" spans="15:59">
      <c r="O96" s="1"/>
      <c r="P96" s="1"/>
      <c r="AA96" s="1"/>
      <c r="AB96" s="1"/>
      <c r="AG96" s="1"/>
      <c r="AH96" s="1"/>
      <c r="AK96" s="1"/>
      <c r="AL96" s="1"/>
      <c r="AM96" s="2"/>
      <c r="AN96" s="2"/>
      <c r="AQ96" s="1"/>
      <c r="BG96" s="1"/>
    </row>
    <row r="97" spans="15:59">
      <c r="O97" s="1"/>
      <c r="P97" s="1"/>
      <c r="AA97" s="1"/>
      <c r="AB97" s="1"/>
      <c r="AG97" s="1"/>
      <c r="AH97" s="1"/>
      <c r="AK97" s="1"/>
      <c r="AL97" s="1"/>
      <c r="AM97" s="2"/>
      <c r="AN97" s="2"/>
      <c r="AQ97" s="1"/>
      <c r="BG97" s="1"/>
    </row>
    <row r="98" spans="15:59">
      <c r="O98" s="1"/>
      <c r="P98" s="1"/>
      <c r="AA98" s="1"/>
      <c r="AB98" s="1"/>
      <c r="AG98" s="1"/>
      <c r="AH98" s="1"/>
      <c r="AK98" s="1"/>
      <c r="AL98" s="1"/>
      <c r="AM98" s="2"/>
      <c r="AN98" s="2"/>
      <c r="AQ98" s="1"/>
      <c r="BG98" s="1"/>
    </row>
    <row r="99" spans="15:59">
      <c r="O99" s="1"/>
      <c r="P99" s="1"/>
      <c r="AA99" s="1"/>
      <c r="AB99" s="1"/>
      <c r="AG99" s="1"/>
      <c r="AH99" s="1"/>
      <c r="AK99" s="1"/>
      <c r="AL99" s="1"/>
      <c r="AM99" s="2"/>
      <c r="AN99" s="2"/>
      <c r="AQ99" s="1"/>
      <c r="BG99" s="1"/>
    </row>
    <row r="100" spans="15:59">
      <c r="O100" s="1"/>
      <c r="P100" s="1"/>
      <c r="AA100" s="1"/>
      <c r="AB100" s="1"/>
      <c r="AG100" s="1"/>
      <c r="AH100" s="1"/>
      <c r="AK100" s="1"/>
      <c r="AL100" s="1"/>
      <c r="AM100" s="2"/>
      <c r="AN100" s="2"/>
      <c r="AQ100" s="1"/>
      <c r="BG100" s="1"/>
    </row>
    <row r="101" spans="15:59">
      <c r="O101" s="1"/>
      <c r="P101" s="1"/>
      <c r="AA101" s="1"/>
      <c r="AB101" s="1"/>
      <c r="AG101" s="1"/>
      <c r="AH101" s="1"/>
      <c r="AK101" s="1"/>
      <c r="AL101" s="1"/>
      <c r="AM101" s="2"/>
      <c r="AN101" s="2"/>
      <c r="AQ101" s="1"/>
      <c r="BG101" s="1"/>
    </row>
    <row r="102" spans="15:59">
      <c r="O102" s="1"/>
      <c r="P102" s="1"/>
      <c r="AA102" s="1"/>
      <c r="AB102" s="1"/>
      <c r="AG102" s="1"/>
      <c r="AH102" s="1"/>
      <c r="AK102" s="1"/>
      <c r="AL102" s="1"/>
      <c r="AM102" s="2"/>
      <c r="AN102" s="2"/>
      <c r="AQ102" s="1"/>
      <c r="BG102" s="1"/>
    </row>
    <row r="103" spans="15:59">
      <c r="O103" s="1"/>
      <c r="P103" s="1"/>
      <c r="AA103" s="1"/>
      <c r="AB103" s="1"/>
      <c r="AG103" s="1"/>
      <c r="AH103" s="1"/>
      <c r="AK103" s="1"/>
      <c r="AL103" s="1"/>
      <c r="AM103" s="2"/>
      <c r="AN103" s="2"/>
      <c r="AQ103" s="1"/>
      <c r="BG103" s="1"/>
    </row>
    <row r="104" spans="15:59">
      <c r="O104" s="1"/>
      <c r="P104" s="1"/>
      <c r="AA104" s="1"/>
      <c r="AB104" s="1"/>
      <c r="AG104" s="1"/>
      <c r="AH104" s="1"/>
      <c r="AK104" s="1"/>
      <c r="AL104" s="1"/>
      <c r="AM104" s="2"/>
      <c r="AN104" s="2"/>
      <c r="AQ104" s="1"/>
      <c r="BG104" s="1"/>
    </row>
    <row r="105" spans="15:59">
      <c r="O105" s="1"/>
      <c r="P105" s="1"/>
      <c r="AA105" s="1"/>
      <c r="AB105" s="1"/>
      <c r="AG105" s="1"/>
      <c r="AH105" s="1"/>
      <c r="AK105" s="1"/>
      <c r="AL105" s="1"/>
      <c r="AM105" s="2"/>
      <c r="AN105" s="2"/>
      <c r="AQ105" s="1"/>
      <c r="BG105" s="1"/>
    </row>
    <row r="106" spans="15:59">
      <c r="O106" s="1"/>
      <c r="P106" s="1"/>
      <c r="AA106" s="1"/>
      <c r="AB106" s="1"/>
      <c r="AG106" s="1"/>
      <c r="AH106" s="1"/>
      <c r="AK106" s="1"/>
      <c r="AL106" s="1"/>
      <c r="AM106" s="2"/>
      <c r="AN106" s="2"/>
      <c r="AQ106" s="1"/>
      <c r="BG106" s="1"/>
    </row>
    <row r="107" spans="15:59">
      <c r="O107" s="1"/>
      <c r="P107" s="1"/>
      <c r="AA107" s="1"/>
      <c r="AB107" s="1"/>
      <c r="AG107" s="1"/>
      <c r="AH107" s="1"/>
      <c r="AK107" s="1"/>
      <c r="AL107" s="1"/>
      <c r="AM107" s="2"/>
      <c r="AN107" s="2"/>
      <c r="AQ107" s="1"/>
      <c r="BG107" s="1"/>
    </row>
    <row r="108" spans="15:59">
      <c r="O108" s="1"/>
      <c r="P108" s="1"/>
      <c r="AA108" s="1"/>
      <c r="AB108" s="1"/>
      <c r="AG108" s="1"/>
      <c r="AH108" s="1"/>
      <c r="AK108" s="1"/>
      <c r="AL108" s="1"/>
      <c r="AM108" s="2"/>
      <c r="AN108" s="2"/>
      <c r="AQ108" s="1"/>
      <c r="BG108" s="1"/>
    </row>
    <row r="109" spans="15:59">
      <c r="O109" s="1"/>
      <c r="P109" s="1"/>
      <c r="AA109" s="1"/>
      <c r="AB109" s="1"/>
      <c r="AG109" s="1"/>
      <c r="AH109" s="1"/>
      <c r="AK109" s="1"/>
      <c r="AL109" s="1"/>
      <c r="AM109" s="2"/>
      <c r="AN109" s="2"/>
      <c r="AQ109" s="1"/>
      <c r="BG109" s="1"/>
    </row>
    <row r="110" spans="15:59">
      <c r="O110" s="1"/>
      <c r="P110" s="1"/>
      <c r="AA110" s="1"/>
      <c r="AB110" s="1"/>
      <c r="AG110" s="1"/>
      <c r="AH110" s="1"/>
      <c r="AK110" s="1"/>
      <c r="AL110" s="1"/>
      <c r="AM110" s="2"/>
      <c r="AN110" s="2"/>
      <c r="AQ110" s="1"/>
      <c r="BG110" s="1"/>
    </row>
    <row r="111" spans="15:59">
      <c r="O111" s="1"/>
      <c r="P111" s="1"/>
      <c r="AA111" s="1"/>
      <c r="AB111" s="1"/>
      <c r="AG111" s="1"/>
      <c r="AH111" s="1"/>
      <c r="AK111" s="1"/>
      <c r="AL111" s="1"/>
      <c r="AM111" s="2"/>
      <c r="AN111" s="2"/>
      <c r="AQ111" s="1"/>
      <c r="BG111" s="1"/>
    </row>
    <row r="112" spans="15:59">
      <c r="O112" s="1"/>
      <c r="P112" s="1"/>
      <c r="AA112" s="1"/>
      <c r="AB112" s="1"/>
      <c r="AG112" s="1"/>
      <c r="AH112" s="1"/>
      <c r="AK112" s="1"/>
      <c r="AL112" s="1"/>
      <c r="AM112" s="2"/>
      <c r="AN112" s="2"/>
      <c r="AQ112" s="1"/>
      <c r="BG112" s="1"/>
    </row>
    <row r="113" spans="15:59">
      <c r="O113" s="1"/>
      <c r="P113" s="1"/>
      <c r="AA113" s="1"/>
      <c r="AB113" s="1"/>
      <c r="AG113" s="1"/>
      <c r="AH113" s="1"/>
      <c r="AK113" s="1"/>
      <c r="AL113" s="1"/>
      <c r="AM113" s="2"/>
      <c r="AN113" s="2"/>
      <c r="AQ113" s="1"/>
      <c r="BG113" s="1"/>
    </row>
    <row r="114" spans="15:59">
      <c r="O114" s="1"/>
      <c r="P114" s="1"/>
      <c r="AA114" s="1"/>
      <c r="AB114" s="1"/>
      <c r="AG114" s="1"/>
      <c r="AH114" s="1"/>
      <c r="AK114" s="1"/>
      <c r="AL114" s="1"/>
      <c r="AM114" s="2"/>
      <c r="AN114" s="2"/>
      <c r="AQ114" s="1"/>
      <c r="BG114" s="1"/>
    </row>
    <row r="115" spans="15:59">
      <c r="O115" s="1"/>
      <c r="P115" s="1"/>
      <c r="AA115" s="1"/>
      <c r="AB115" s="1"/>
      <c r="AG115" s="1"/>
      <c r="AH115" s="1"/>
      <c r="AK115" s="1"/>
      <c r="AL115" s="1"/>
      <c r="AM115" s="2"/>
      <c r="AN115" s="2"/>
      <c r="AQ115" s="1"/>
      <c r="BG115" s="1"/>
    </row>
    <row r="116" spans="15:59">
      <c r="O116" s="1"/>
      <c r="P116" s="1"/>
      <c r="AA116" s="1"/>
      <c r="AB116" s="1"/>
      <c r="AG116" s="1"/>
      <c r="AH116" s="1"/>
      <c r="AK116" s="1"/>
      <c r="AL116" s="1"/>
      <c r="AM116" s="2"/>
      <c r="AN116" s="2"/>
      <c r="AQ116" s="1"/>
      <c r="BG116" s="1"/>
    </row>
    <row r="117" spans="15:59">
      <c r="O117" s="1"/>
      <c r="P117" s="1"/>
      <c r="AA117" s="1"/>
      <c r="AB117" s="1"/>
      <c r="AG117" s="1"/>
      <c r="AH117" s="1"/>
      <c r="AK117" s="1"/>
      <c r="AL117" s="1"/>
      <c r="AM117" s="2"/>
      <c r="AN117" s="2"/>
      <c r="AQ117" s="1"/>
      <c r="BG117" s="1"/>
    </row>
    <row r="118" spans="15:59">
      <c r="O118" s="1"/>
      <c r="P118" s="1"/>
      <c r="AA118" s="1"/>
      <c r="AB118" s="1"/>
      <c r="AG118" s="1"/>
      <c r="AH118" s="1"/>
      <c r="AK118" s="1"/>
      <c r="AL118" s="1"/>
      <c r="AM118" s="2"/>
      <c r="AN118" s="2"/>
      <c r="AQ118" s="1"/>
      <c r="BG118" s="1"/>
    </row>
    <row r="119" spans="15:59">
      <c r="O119" s="1"/>
      <c r="P119" s="1"/>
      <c r="AA119" s="1"/>
      <c r="AB119" s="1"/>
      <c r="AG119" s="1"/>
      <c r="AH119" s="1"/>
      <c r="AK119" s="1"/>
      <c r="AL119" s="1"/>
      <c r="AM119" s="2"/>
      <c r="AN119" s="2"/>
      <c r="AQ119" s="1"/>
      <c r="BG119" s="1"/>
    </row>
    <row r="120" spans="15:59">
      <c r="O120" s="1"/>
      <c r="P120" s="1"/>
      <c r="AA120" s="1"/>
      <c r="AB120" s="1"/>
      <c r="AG120" s="1"/>
      <c r="AH120" s="1"/>
      <c r="AK120" s="1"/>
      <c r="AL120" s="1"/>
      <c r="AM120" s="2"/>
      <c r="AN120" s="2"/>
      <c r="AQ120" s="1"/>
      <c r="BG120" s="1"/>
    </row>
    <row r="121" spans="15:59">
      <c r="O121" s="1"/>
      <c r="P121" s="1"/>
      <c r="AA121" s="1"/>
      <c r="AB121" s="1"/>
      <c r="AG121" s="1"/>
      <c r="AH121" s="1"/>
      <c r="AK121" s="1"/>
      <c r="AL121" s="1"/>
      <c r="AM121" s="2"/>
      <c r="AN121" s="2"/>
      <c r="AQ121" s="1"/>
      <c r="BG121" s="1"/>
    </row>
    <row r="122" spans="15:59">
      <c r="O122" s="1"/>
      <c r="P122" s="1"/>
      <c r="AA122" s="1"/>
      <c r="AB122" s="1"/>
      <c r="AG122" s="1"/>
      <c r="AH122" s="1"/>
      <c r="AK122" s="1"/>
      <c r="AL122" s="1"/>
      <c r="AM122" s="2"/>
      <c r="AN122" s="2"/>
      <c r="AQ122" s="1"/>
      <c r="BG122" s="1"/>
    </row>
    <row r="123" spans="15:59">
      <c r="O123" s="1"/>
      <c r="P123" s="1"/>
      <c r="AA123" s="1"/>
      <c r="AB123" s="1"/>
      <c r="AG123" s="1"/>
      <c r="AH123" s="1"/>
      <c r="AK123" s="1"/>
      <c r="AL123" s="1"/>
      <c r="AM123" s="2"/>
      <c r="AN123" s="2"/>
      <c r="AQ123" s="1"/>
      <c r="BG123" s="1"/>
    </row>
    <row r="124" spans="15:59">
      <c r="O124" s="1"/>
      <c r="P124" s="1"/>
      <c r="AA124" s="1"/>
      <c r="AB124" s="1"/>
      <c r="AG124" s="1"/>
      <c r="AH124" s="1"/>
      <c r="AK124" s="1"/>
      <c r="AL124" s="1"/>
      <c r="AM124" s="2"/>
      <c r="AN124" s="2"/>
      <c r="AQ124" s="1"/>
      <c r="BG124" s="1"/>
    </row>
    <row r="125" spans="15:59">
      <c r="O125" s="1"/>
      <c r="P125" s="1"/>
      <c r="AA125" s="1"/>
      <c r="AB125" s="1"/>
      <c r="AG125" s="1"/>
      <c r="AH125" s="1"/>
      <c r="AK125" s="1"/>
      <c r="AL125" s="1"/>
      <c r="AM125" s="2"/>
      <c r="AN125" s="2"/>
      <c r="AQ125" s="1"/>
      <c r="BG125" s="1"/>
    </row>
    <row r="126" spans="15:59">
      <c r="O126" s="1"/>
      <c r="P126" s="1"/>
      <c r="AA126" s="1"/>
      <c r="AB126" s="1"/>
      <c r="AG126" s="1"/>
      <c r="AH126" s="1"/>
      <c r="AK126" s="1"/>
      <c r="AL126" s="1"/>
      <c r="AM126" s="2"/>
      <c r="AN126" s="2"/>
      <c r="AQ126" s="1"/>
      <c r="BG126" s="1"/>
    </row>
    <row r="127" spans="15:59">
      <c r="O127" s="1"/>
      <c r="P127" s="1"/>
      <c r="AA127" s="1"/>
      <c r="AB127" s="1"/>
      <c r="AG127" s="1"/>
      <c r="AH127" s="1"/>
      <c r="AK127" s="1"/>
      <c r="AL127" s="1"/>
      <c r="AM127" s="2"/>
      <c r="AN127" s="2"/>
      <c r="AQ127" s="1"/>
      <c r="BG127" s="1"/>
    </row>
    <row r="128" spans="15:59">
      <c r="O128" s="1"/>
      <c r="P128" s="1"/>
      <c r="AA128" s="1"/>
      <c r="AB128" s="1"/>
      <c r="AG128" s="1"/>
      <c r="AH128" s="1"/>
      <c r="AK128" s="1"/>
      <c r="AL128" s="1"/>
      <c r="AM128" s="2"/>
      <c r="AN128" s="2"/>
      <c r="AQ128" s="1"/>
      <c r="BG128" s="1"/>
    </row>
    <row r="129" spans="15:59">
      <c r="O129" s="1"/>
      <c r="P129" s="1"/>
      <c r="AA129" s="1"/>
      <c r="AB129" s="1"/>
      <c r="AG129" s="1"/>
      <c r="AH129" s="1"/>
      <c r="AK129" s="1"/>
      <c r="AL129" s="1"/>
      <c r="AM129" s="2"/>
      <c r="AN129" s="2"/>
      <c r="AQ129" s="1"/>
      <c r="BG129" s="1"/>
    </row>
    <row r="130" spans="15:59">
      <c r="O130" s="1"/>
      <c r="P130" s="1"/>
      <c r="AA130" s="1"/>
      <c r="AB130" s="1"/>
      <c r="AG130" s="1"/>
      <c r="AH130" s="1"/>
      <c r="AK130" s="1"/>
      <c r="AL130" s="1"/>
      <c r="AM130" s="2"/>
      <c r="AN130" s="2"/>
      <c r="AQ130" s="1"/>
      <c r="BG130" s="1"/>
    </row>
    <row r="131" spans="15:59">
      <c r="O131" s="1"/>
      <c r="P131" s="1"/>
      <c r="AA131" s="1"/>
      <c r="AB131" s="1"/>
      <c r="AG131" s="1"/>
      <c r="AH131" s="1"/>
      <c r="AK131" s="1"/>
      <c r="AL131" s="1"/>
      <c r="AM131" s="2"/>
      <c r="AN131" s="2"/>
      <c r="AQ131" s="1"/>
      <c r="BG131" s="1"/>
    </row>
    <row r="132" spans="15:59">
      <c r="O132" s="1"/>
      <c r="P132" s="1"/>
      <c r="AA132" s="1"/>
      <c r="AB132" s="1"/>
      <c r="AG132" s="1"/>
      <c r="AH132" s="1"/>
      <c r="AK132" s="1"/>
      <c r="AL132" s="1"/>
      <c r="AM132" s="2"/>
      <c r="AN132" s="2"/>
      <c r="AQ132" s="1"/>
      <c r="BG132" s="1"/>
    </row>
    <row r="133" spans="15:59">
      <c r="O133" s="1"/>
      <c r="P133" s="1"/>
      <c r="AA133" s="1"/>
      <c r="AB133" s="1"/>
      <c r="AG133" s="1"/>
      <c r="AH133" s="1"/>
      <c r="AK133" s="1"/>
      <c r="AL133" s="1"/>
      <c r="AM133" s="2"/>
      <c r="AN133" s="2"/>
      <c r="AQ133" s="1"/>
      <c r="BG133" s="1"/>
    </row>
    <row r="134" spans="15:59">
      <c r="O134" s="1"/>
      <c r="P134" s="1"/>
      <c r="AA134" s="1"/>
      <c r="AB134" s="1"/>
      <c r="AG134" s="1"/>
      <c r="AH134" s="1"/>
      <c r="AK134" s="1"/>
      <c r="AL134" s="1"/>
      <c r="AM134" s="2"/>
      <c r="AN134" s="2"/>
      <c r="AQ134" s="1"/>
      <c r="BG134" s="1"/>
    </row>
    <row r="135" spans="15:59">
      <c r="O135" s="1"/>
      <c r="P135" s="1"/>
      <c r="AA135" s="1"/>
      <c r="AB135" s="1"/>
      <c r="AG135" s="1"/>
      <c r="AH135" s="1"/>
      <c r="AK135" s="1"/>
      <c r="AL135" s="1"/>
      <c r="AM135" s="2"/>
      <c r="AN135" s="2"/>
      <c r="AQ135" s="1"/>
      <c r="BG135" s="1"/>
    </row>
    <row r="136" spans="15:59">
      <c r="O136" s="1"/>
      <c r="P136" s="1"/>
      <c r="AA136" s="1"/>
      <c r="AB136" s="1"/>
      <c r="AG136" s="1"/>
      <c r="AH136" s="1"/>
      <c r="AK136" s="1"/>
      <c r="AL136" s="1"/>
      <c r="AM136" s="2"/>
      <c r="AN136" s="2"/>
      <c r="AQ136" s="1"/>
      <c r="BG136" s="1"/>
    </row>
    <row r="137" spans="15:59">
      <c r="O137" s="1"/>
      <c r="P137" s="1"/>
      <c r="AA137" s="1"/>
      <c r="AB137" s="1"/>
      <c r="AG137" s="1"/>
      <c r="AH137" s="1"/>
      <c r="AK137" s="1"/>
      <c r="AL137" s="1"/>
      <c r="AM137" s="2"/>
      <c r="AN137" s="2"/>
      <c r="AQ137" s="1"/>
      <c r="BG137" s="1"/>
    </row>
    <row r="138" spans="15:59">
      <c r="O138" s="1"/>
      <c r="P138" s="1"/>
      <c r="AA138" s="1"/>
      <c r="AB138" s="1"/>
      <c r="AG138" s="1"/>
      <c r="AH138" s="1"/>
      <c r="AK138" s="1"/>
      <c r="AL138" s="1"/>
      <c r="AM138" s="2"/>
      <c r="AN138" s="2"/>
      <c r="AQ138" s="1"/>
      <c r="BG138" s="1"/>
    </row>
    <row r="139" spans="15:59">
      <c r="O139" s="1"/>
      <c r="P139" s="1"/>
      <c r="AA139" s="1"/>
      <c r="AB139" s="1"/>
      <c r="AG139" s="1"/>
      <c r="AH139" s="1"/>
      <c r="AK139" s="1"/>
      <c r="AL139" s="1"/>
      <c r="AM139" s="2"/>
      <c r="AN139" s="2"/>
      <c r="AQ139" s="1"/>
      <c r="BG139" s="1"/>
    </row>
    <row r="140" spans="15:59">
      <c r="O140" s="1"/>
      <c r="P140" s="1"/>
      <c r="AA140" s="1"/>
      <c r="AB140" s="1"/>
      <c r="AG140" s="1"/>
      <c r="AH140" s="1"/>
      <c r="AK140" s="1"/>
      <c r="AL140" s="1"/>
      <c r="AM140" s="2"/>
      <c r="AN140" s="2"/>
      <c r="AQ140" s="1"/>
      <c r="BG140" s="1"/>
    </row>
    <row r="141" spans="15:59">
      <c r="O141" s="1"/>
      <c r="P141" s="1"/>
      <c r="AA141" s="1"/>
      <c r="AB141" s="1"/>
      <c r="AG141" s="1"/>
      <c r="AH141" s="1"/>
      <c r="AK141" s="1"/>
      <c r="AL141" s="1"/>
      <c r="AM141" s="2"/>
      <c r="AN141" s="2"/>
      <c r="AQ141" s="1"/>
      <c r="BG141" s="1"/>
    </row>
    <row r="142" spans="15:59">
      <c r="O142" s="1"/>
      <c r="P142" s="1"/>
      <c r="AA142" s="1"/>
      <c r="AB142" s="1"/>
      <c r="AG142" s="1"/>
      <c r="AH142" s="1"/>
      <c r="AK142" s="1"/>
      <c r="AL142" s="1"/>
      <c r="AM142" s="2"/>
      <c r="AN142" s="2"/>
      <c r="AQ142" s="1"/>
      <c r="BG142" s="1"/>
    </row>
    <row r="143" spans="15:59">
      <c r="O143" s="1"/>
      <c r="P143" s="1"/>
      <c r="AA143" s="1"/>
      <c r="AB143" s="1"/>
      <c r="AG143" s="1"/>
      <c r="AH143" s="1"/>
      <c r="AK143" s="1"/>
      <c r="AL143" s="1"/>
      <c r="AM143" s="2"/>
      <c r="AN143" s="2"/>
      <c r="AQ143" s="1"/>
      <c r="BG143" s="1"/>
    </row>
    <row r="144" spans="15:59">
      <c r="O144" s="1"/>
      <c r="P144" s="1"/>
      <c r="AA144" s="1"/>
      <c r="AB144" s="1"/>
      <c r="AG144" s="1"/>
      <c r="AH144" s="1"/>
      <c r="AK144" s="1"/>
      <c r="AL144" s="1"/>
      <c r="AM144" s="2"/>
      <c r="AN144" s="2"/>
      <c r="AQ144" s="1"/>
      <c r="BG144" s="1"/>
    </row>
    <row r="145" spans="15:59">
      <c r="O145" s="1"/>
      <c r="P145" s="1"/>
      <c r="AA145" s="1"/>
      <c r="AB145" s="1"/>
      <c r="AG145" s="1"/>
      <c r="AH145" s="1"/>
      <c r="AK145" s="1"/>
      <c r="AL145" s="1"/>
      <c r="AM145" s="2"/>
      <c r="AN145" s="2"/>
      <c r="AQ145" s="1"/>
      <c r="BG145" s="1"/>
    </row>
    <row r="146" spans="15:59">
      <c r="O146" s="1"/>
      <c r="P146" s="1"/>
      <c r="AA146" s="1"/>
      <c r="AB146" s="1"/>
      <c r="AG146" s="1"/>
      <c r="AH146" s="1"/>
      <c r="AK146" s="1"/>
      <c r="AL146" s="1"/>
      <c r="AM146" s="2"/>
      <c r="AN146" s="2"/>
      <c r="AQ146" s="1"/>
      <c r="BG146" s="1"/>
    </row>
    <row r="147" spans="15:59">
      <c r="O147" s="1"/>
      <c r="P147" s="1"/>
      <c r="AA147" s="1"/>
      <c r="AB147" s="1"/>
      <c r="AG147" s="1"/>
      <c r="AH147" s="1"/>
      <c r="AK147" s="1"/>
      <c r="AL147" s="1"/>
      <c r="AM147" s="2"/>
      <c r="AN147" s="2"/>
      <c r="AQ147" s="1"/>
      <c r="BG147" s="1"/>
    </row>
    <row r="148" spans="15:59">
      <c r="O148" s="1"/>
      <c r="P148" s="1"/>
      <c r="AA148" s="1"/>
      <c r="AB148" s="1"/>
      <c r="AG148" s="1"/>
      <c r="AH148" s="1"/>
      <c r="AK148" s="1"/>
      <c r="AL148" s="1"/>
      <c r="AM148" s="2"/>
      <c r="AN148" s="2"/>
      <c r="AQ148" s="1"/>
      <c r="BG148" s="1"/>
    </row>
    <row r="149" spans="15:59">
      <c r="O149" s="1"/>
      <c r="P149" s="1"/>
      <c r="AA149" s="1"/>
      <c r="AB149" s="1"/>
      <c r="AG149" s="1"/>
      <c r="AH149" s="1"/>
      <c r="AK149" s="1"/>
      <c r="AL149" s="1"/>
      <c r="AM149" s="2"/>
      <c r="AN149" s="2"/>
      <c r="AQ149" s="1"/>
      <c r="BG149" s="1"/>
    </row>
    <row r="150" spans="15:59">
      <c r="O150" s="1"/>
      <c r="P150" s="1"/>
      <c r="AA150" s="1"/>
      <c r="AB150" s="1"/>
      <c r="AG150" s="1"/>
      <c r="AH150" s="1"/>
      <c r="AK150" s="1"/>
      <c r="AL150" s="1"/>
      <c r="AM150" s="2"/>
      <c r="AN150" s="2"/>
      <c r="AQ150" s="1"/>
      <c r="BG150" s="1"/>
    </row>
    <row r="151" spans="15:59">
      <c r="O151" s="1"/>
      <c r="P151" s="1"/>
      <c r="AA151" s="1"/>
      <c r="AB151" s="1"/>
      <c r="AG151" s="1"/>
      <c r="AH151" s="1"/>
      <c r="AK151" s="1"/>
      <c r="AL151" s="1"/>
      <c r="AM151" s="2"/>
      <c r="AN151" s="2"/>
      <c r="AQ151" s="1"/>
      <c r="BG151" s="1"/>
    </row>
    <row r="152" spans="15:59">
      <c r="O152" s="1"/>
      <c r="P152" s="1"/>
      <c r="AA152" s="1"/>
      <c r="AB152" s="1"/>
      <c r="AG152" s="1"/>
      <c r="AH152" s="1"/>
      <c r="AK152" s="1"/>
      <c r="AL152" s="1"/>
      <c r="AM152" s="2"/>
      <c r="AN152" s="2"/>
      <c r="AQ152" s="1"/>
      <c r="BG152" s="1"/>
    </row>
    <row r="153" spans="15:59">
      <c r="O153" s="1"/>
      <c r="P153" s="1"/>
      <c r="AA153" s="1"/>
      <c r="AB153" s="1"/>
      <c r="AG153" s="1"/>
      <c r="AH153" s="1"/>
      <c r="AK153" s="1"/>
      <c r="AL153" s="1"/>
      <c r="AM153" s="2"/>
      <c r="AN153" s="2"/>
      <c r="AQ153" s="1"/>
      <c r="BG153" s="1"/>
    </row>
    <row r="154" spans="15:59">
      <c r="O154" s="1"/>
      <c r="P154" s="1"/>
      <c r="AA154" s="1"/>
      <c r="AB154" s="1"/>
      <c r="AG154" s="1"/>
      <c r="AH154" s="1"/>
      <c r="AK154" s="1"/>
      <c r="AL154" s="1"/>
      <c r="AM154" s="2"/>
      <c r="AN154" s="2"/>
      <c r="AQ154" s="1"/>
      <c r="BG154" s="1"/>
    </row>
    <row r="155" spans="15:59">
      <c r="O155" s="1"/>
      <c r="P155" s="1"/>
      <c r="AA155" s="1"/>
      <c r="AB155" s="1"/>
      <c r="AG155" s="1"/>
      <c r="AH155" s="1"/>
      <c r="AK155" s="1"/>
      <c r="AL155" s="1"/>
      <c r="AM155" s="2"/>
      <c r="AN155" s="2"/>
      <c r="AQ155" s="1"/>
      <c r="BG155" s="1"/>
    </row>
    <row r="156" spans="15:59">
      <c r="O156" s="1"/>
      <c r="P156" s="1"/>
      <c r="AA156" s="1"/>
      <c r="AB156" s="1"/>
      <c r="AG156" s="1"/>
      <c r="AH156" s="1"/>
      <c r="AK156" s="1"/>
      <c r="AL156" s="1"/>
      <c r="AM156" s="2"/>
      <c r="AN156" s="2"/>
      <c r="AQ156" s="1"/>
      <c r="BG156" s="1"/>
    </row>
    <row r="157" spans="15:59">
      <c r="O157" s="1"/>
      <c r="P157" s="1"/>
      <c r="AA157" s="1"/>
      <c r="AB157" s="1"/>
      <c r="AG157" s="1"/>
      <c r="AH157" s="1"/>
      <c r="AK157" s="1"/>
      <c r="AL157" s="1"/>
      <c r="AM157" s="2"/>
      <c r="AN157" s="2"/>
      <c r="AQ157" s="1"/>
      <c r="BG157" s="1"/>
    </row>
    <row r="158" spans="15:59">
      <c r="O158" s="1"/>
      <c r="P158" s="1"/>
      <c r="AA158" s="1"/>
      <c r="AB158" s="1"/>
      <c r="AG158" s="1"/>
      <c r="AH158" s="1"/>
      <c r="AK158" s="1"/>
      <c r="AL158" s="1"/>
      <c r="AM158" s="2"/>
      <c r="AN158" s="2"/>
      <c r="AQ158" s="1"/>
      <c r="BG158" s="1"/>
    </row>
    <row r="159" spans="15:59">
      <c r="O159" s="1"/>
      <c r="P159" s="1"/>
      <c r="AA159" s="1"/>
      <c r="AB159" s="1"/>
      <c r="AG159" s="1"/>
      <c r="AH159" s="1"/>
      <c r="AK159" s="1"/>
      <c r="AL159" s="1"/>
      <c r="AM159" s="2"/>
      <c r="AN159" s="2"/>
      <c r="AQ159" s="1"/>
      <c r="BG159" s="1"/>
    </row>
    <row r="160" spans="15:59">
      <c r="O160" s="1"/>
      <c r="P160" s="1"/>
      <c r="AA160" s="1"/>
      <c r="AB160" s="1"/>
      <c r="AG160" s="1"/>
      <c r="AH160" s="1"/>
      <c r="AK160" s="1"/>
      <c r="AL160" s="1"/>
      <c r="AM160" s="2"/>
      <c r="AN160" s="2"/>
      <c r="AQ160" s="1"/>
      <c r="BG160" s="1"/>
    </row>
    <row r="161" spans="15:59">
      <c r="O161" s="1"/>
      <c r="P161" s="1"/>
      <c r="AA161" s="1"/>
      <c r="AB161" s="1"/>
      <c r="AG161" s="1"/>
      <c r="AH161" s="1"/>
      <c r="AK161" s="1"/>
      <c r="AL161" s="1"/>
      <c r="AM161" s="2"/>
      <c r="AN161" s="2"/>
      <c r="AQ161" s="1"/>
      <c r="BG161" s="1"/>
    </row>
    <row r="162" spans="15:59">
      <c r="O162" s="1"/>
      <c r="P162" s="1"/>
      <c r="AA162" s="1"/>
      <c r="AB162" s="1"/>
      <c r="AG162" s="1"/>
      <c r="AH162" s="1"/>
      <c r="AK162" s="1"/>
      <c r="AL162" s="1"/>
      <c r="AM162" s="2"/>
      <c r="AN162" s="2"/>
      <c r="AQ162" s="1"/>
      <c r="BG162" s="1"/>
    </row>
    <row r="163" spans="15:59">
      <c r="O163" s="1"/>
      <c r="P163" s="1"/>
      <c r="AA163" s="1"/>
      <c r="AB163" s="1"/>
      <c r="AG163" s="1"/>
      <c r="AH163" s="1"/>
      <c r="AK163" s="1"/>
      <c r="AL163" s="1"/>
      <c r="AM163" s="2"/>
      <c r="AN163" s="2"/>
      <c r="AQ163" s="1"/>
      <c r="BG163" s="1"/>
    </row>
    <row r="164" spans="15:59">
      <c r="O164" s="1"/>
      <c r="P164" s="1"/>
      <c r="AA164" s="1"/>
      <c r="AB164" s="1"/>
      <c r="AG164" s="1"/>
      <c r="AH164" s="1"/>
      <c r="AK164" s="1"/>
      <c r="AL164" s="1"/>
      <c r="AM164" s="2"/>
      <c r="AN164" s="2"/>
      <c r="AQ164" s="1"/>
      <c r="BG164" s="1"/>
    </row>
    <row r="165" spans="15:59">
      <c r="O165" s="1"/>
      <c r="P165" s="1"/>
      <c r="AA165" s="1"/>
      <c r="AB165" s="1"/>
      <c r="AG165" s="1"/>
      <c r="AH165" s="1"/>
      <c r="AK165" s="1"/>
      <c r="AL165" s="1"/>
      <c r="AM165" s="2"/>
      <c r="AN165" s="2"/>
      <c r="AQ165" s="1"/>
      <c r="BG165" s="1"/>
    </row>
    <row r="166" spans="15:59">
      <c r="O166" s="1"/>
      <c r="P166" s="1"/>
      <c r="AA166" s="1"/>
      <c r="AB166" s="1"/>
      <c r="AG166" s="1"/>
      <c r="AH166" s="1"/>
      <c r="AK166" s="1"/>
      <c r="AL166" s="1"/>
      <c r="AM166" s="2"/>
      <c r="AN166" s="2"/>
      <c r="AQ166" s="1"/>
      <c r="BG166" s="1"/>
    </row>
    <row r="167" spans="15:59">
      <c r="O167" s="1"/>
      <c r="P167" s="1"/>
      <c r="AA167" s="1"/>
      <c r="AB167" s="1"/>
      <c r="AG167" s="1"/>
      <c r="AH167" s="1"/>
      <c r="AK167" s="1"/>
      <c r="AL167" s="1"/>
      <c r="AM167" s="2"/>
      <c r="AN167" s="2"/>
      <c r="AQ167" s="1"/>
      <c r="BG167" s="1"/>
    </row>
    <row r="168" spans="15:59">
      <c r="O168" s="1"/>
      <c r="P168" s="1"/>
      <c r="AA168" s="1"/>
      <c r="AB168" s="1"/>
      <c r="AG168" s="1"/>
      <c r="AH168" s="1"/>
      <c r="AK168" s="1"/>
      <c r="AL168" s="1"/>
      <c r="AM168" s="2"/>
      <c r="AN168" s="2"/>
      <c r="AQ168" s="1"/>
      <c r="BG168" s="1"/>
    </row>
    <row r="169" spans="15:59">
      <c r="O169" s="1"/>
      <c r="P169" s="1"/>
      <c r="AA169" s="1"/>
      <c r="AB169" s="1"/>
      <c r="AG169" s="1"/>
      <c r="AH169" s="1"/>
      <c r="AK169" s="1"/>
      <c r="AL169" s="1"/>
      <c r="AM169" s="2"/>
      <c r="AN169" s="2"/>
      <c r="AQ169" s="1"/>
      <c r="BG169" s="1"/>
    </row>
    <row r="170" spans="15:59">
      <c r="O170" s="1"/>
      <c r="P170" s="1"/>
      <c r="AA170" s="1"/>
      <c r="AB170" s="1"/>
      <c r="AG170" s="1"/>
      <c r="AH170" s="1"/>
      <c r="AK170" s="1"/>
      <c r="AL170" s="1"/>
      <c r="AM170" s="2"/>
      <c r="AN170" s="2"/>
      <c r="AQ170" s="1"/>
      <c r="BG170" s="1"/>
    </row>
    <row r="171" spans="15:59">
      <c r="O171" s="1"/>
      <c r="P171" s="1"/>
      <c r="AA171" s="1"/>
      <c r="AB171" s="1"/>
      <c r="AG171" s="1"/>
      <c r="AH171" s="1"/>
      <c r="AK171" s="1"/>
      <c r="AL171" s="1"/>
      <c r="AM171" s="2"/>
      <c r="AN171" s="2"/>
      <c r="AQ171" s="1"/>
      <c r="BG171" s="1"/>
    </row>
    <row r="172" spans="15:59">
      <c r="O172" s="1"/>
      <c r="P172" s="1"/>
      <c r="AA172" s="1"/>
      <c r="AB172" s="1"/>
      <c r="AG172" s="1"/>
      <c r="AH172" s="1"/>
      <c r="AK172" s="1"/>
      <c r="AL172" s="1"/>
      <c r="AM172" s="2"/>
      <c r="AN172" s="2"/>
      <c r="AQ172" s="1"/>
      <c r="BG172" s="1"/>
    </row>
    <row r="173" spans="15:59">
      <c r="O173" s="1"/>
      <c r="P173" s="1"/>
      <c r="AA173" s="1"/>
      <c r="AB173" s="1"/>
      <c r="AG173" s="1"/>
      <c r="AH173" s="1"/>
      <c r="AK173" s="1"/>
      <c r="AL173" s="1"/>
      <c r="AM173" s="2"/>
      <c r="AN173" s="2"/>
      <c r="AQ173" s="1"/>
      <c r="BG173" s="1"/>
    </row>
    <row r="174" spans="15:59">
      <c r="O174" s="1"/>
      <c r="P174" s="1"/>
      <c r="AA174" s="1"/>
      <c r="AB174" s="1"/>
      <c r="AG174" s="1"/>
      <c r="AH174" s="1"/>
      <c r="AK174" s="1"/>
      <c r="AL174" s="1"/>
      <c r="AM174" s="2"/>
      <c r="AN174" s="2"/>
      <c r="AQ174" s="1"/>
      <c r="BG174" s="1"/>
    </row>
    <row r="175" spans="15:59">
      <c r="O175" s="1"/>
      <c r="P175" s="1"/>
      <c r="AA175" s="1"/>
      <c r="AB175" s="1"/>
      <c r="AG175" s="1"/>
      <c r="AH175" s="1"/>
      <c r="AK175" s="1"/>
      <c r="AL175" s="1"/>
      <c r="AM175" s="2"/>
      <c r="AN175" s="2"/>
      <c r="AQ175" s="1"/>
      <c r="BG175" s="1"/>
    </row>
    <row r="176" spans="15:59">
      <c r="O176" s="1"/>
      <c r="P176" s="1"/>
      <c r="AA176" s="1"/>
      <c r="AB176" s="1"/>
      <c r="AG176" s="1"/>
      <c r="AH176" s="1"/>
      <c r="AK176" s="1"/>
      <c r="AL176" s="1"/>
      <c r="AM176" s="2"/>
      <c r="AN176" s="2"/>
      <c r="AQ176" s="1"/>
      <c r="BG176" s="1"/>
    </row>
    <row r="177" spans="15:59">
      <c r="O177" s="1"/>
      <c r="P177" s="1"/>
      <c r="AA177" s="1"/>
      <c r="AB177" s="1"/>
      <c r="AG177" s="1"/>
      <c r="AH177" s="1"/>
      <c r="AK177" s="1"/>
      <c r="AL177" s="1"/>
      <c r="AM177" s="2"/>
      <c r="AN177" s="2"/>
      <c r="AQ177" s="1"/>
      <c r="BG177" s="1"/>
    </row>
    <row r="178" spans="15:59">
      <c r="O178" s="1"/>
      <c r="P178" s="1"/>
      <c r="AA178" s="1"/>
      <c r="AB178" s="1"/>
      <c r="AG178" s="1"/>
      <c r="AH178" s="1"/>
      <c r="AK178" s="1"/>
      <c r="AL178" s="1"/>
      <c r="AM178" s="2"/>
      <c r="AN178" s="2"/>
      <c r="AQ178" s="1"/>
      <c r="BG178" s="1"/>
    </row>
    <row r="179" spans="15:59">
      <c r="O179" s="1"/>
      <c r="P179" s="1"/>
      <c r="AA179" s="1"/>
      <c r="AB179" s="1"/>
      <c r="AG179" s="1"/>
      <c r="AH179" s="1"/>
      <c r="AK179" s="1"/>
      <c r="AL179" s="1"/>
      <c r="AM179" s="2"/>
      <c r="AN179" s="2"/>
      <c r="AQ179" s="1"/>
      <c r="BG179" s="1"/>
    </row>
    <row r="180" spans="15:59">
      <c r="O180" s="1"/>
      <c r="P180" s="1"/>
      <c r="AA180" s="1"/>
      <c r="AB180" s="1"/>
      <c r="AG180" s="1"/>
      <c r="AH180" s="1"/>
      <c r="AK180" s="1"/>
      <c r="AL180" s="1"/>
      <c r="AM180" s="2"/>
      <c r="AN180" s="2"/>
      <c r="AQ180" s="1"/>
      <c r="BG180" s="1"/>
    </row>
    <row r="181" spans="15:59">
      <c r="O181" s="1"/>
      <c r="P181" s="1"/>
      <c r="AA181" s="1"/>
      <c r="AB181" s="1"/>
      <c r="AG181" s="1"/>
      <c r="AH181" s="1"/>
      <c r="AK181" s="1"/>
      <c r="AL181" s="1"/>
      <c r="AM181" s="2"/>
      <c r="AN181" s="2"/>
      <c r="AQ181" s="1"/>
      <c r="BG181" s="1"/>
    </row>
    <row r="182" spans="15:59">
      <c r="O182" s="1"/>
      <c r="P182" s="1"/>
      <c r="AA182" s="1"/>
      <c r="AB182" s="1"/>
      <c r="AG182" s="1"/>
      <c r="AH182" s="1"/>
      <c r="AK182" s="1"/>
      <c r="AL182" s="1"/>
      <c r="AM182" s="2"/>
      <c r="AN182" s="2"/>
      <c r="AQ182" s="1"/>
      <c r="BG182" s="1"/>
    </row>
    <row r="183" spans="15:59">
      <c r="O183" s="1"/>
      <c r="P183" s="1"/>
      <c r="AA183" s="1"/>
      <c r="AB183" s="1"/>
      <c r="AG183" s="1"/>
      <c r="AH183" s="1"/>
      <c r="AK183" s="1"/>
      <c r="AL183" s="1"/>
      <c r="AM183" s="2"/>
      <c r="AN183" s="2"/>
      <c r="AQ183" s="1"/>
      <c r="BG183" s="1"/>
    </row>
    <row r="184" spans="15:59">
      <c r="O184" s="1"/>
      <c r="P184" s="1"/>
      <c r="AA184" s="1"/>
      <c r="AB184" s="1"/>
      <c r="AG184" s="1"/>
      <c r="AH184" s="1"/>
      <c r="AK184" s="1"/>
      <c r="AL184" s="1"/>
      <c r="AM184" s="2"/>
      <c r="AN184" s="2"/>
      <c r="AQ184" s="1"/>
      <c r="BG184" s="1"/>
    </row>
    <row r="185" spans="15:59">
      <c r="O185" s="1"/>
      <c r="P185" s="1"/>
      <c r="AA185" s="1"/>
      <c r="AB185" s="1"/>
      <c r="AG185" s="1"/>
      <c r="AH185" s="1"/>
      <c r="AK185" s="1"/>
      <c r="AL185" s="1"/>
      <c r="AM185" s="2"/>
      <c r="AN185" s="2"/>
      <c r="AQ185" s="1"/>
      <c r="BG185" s="1"/>
    </row>
    <row r="186" spans="15:59">
      <c r="O186" s="1"/>
      <c r="P186" s="1"/>
      <c r="AA186" s="1"/>
      <c r="AB186" s="1"/>
      <c r="AG186" s="1"/>
      <c r="AH186" s="1"/>
      <c r="AK186" s="1"/>
      <c r="AL186" s="1"/>
      <c r="AM186" s="2"/>
      <c r="AN186" s="2"/>
      <c r="AQ186" s="1"/>
      <c r="BG186" s="1"/>
    </row>
    <row r="187" spans="15:59">
      <c r="O187" s="1"/>
      <c r="P187" s="1"/>
      <c r="AA187" s="1"/>
      <c r="AB187" s="1"/>
      <c r="AG187" s="1"/>
      <c r="AH187" s="1"/>
      <c r="AK187" s="1"/>
      <c r="AL187" s="1"/>
      <c r="AM187" s="2"/>
      <c r="AN187" s="2"/>
      <c r="AQ187" s="1"/>
      <c r="BG187" s="1"/>
    </row>
    <row r="188" spans="15:59">
      <c r="O188" s="1"/>
      <c r="P188" s="1"/>
      <c r="AA188" s="1"/>
      <c r="AB188" s="1"/>
      <c r="AG188" s="1"/>
      <c r="AH188" s="1"/>
      <c r="AK188" s="1"/>
      <c r="AL188" s="1"/>
      <c r="AM188" s="2"/>
      <c r="AN188" s="2"/>
      <c r="AQ188" s="1"/>
      <c r="BG188" s="1"/>
    </row>
    <row r="189" spans="15:59">
      <c r="O189" s="1"/>
      <c r="P189" s="1"/>
      <c r="AA189" s="1"/>
      <c r="AB189" s="1"/>
      <c r="AG189" s="1"/>
      <c r="AH189" s="1"/>
      <c r="AK189" s="1"/>
      <c r="AL189" s="1"/>
      <c r="AM189" s="2"/>
      <c r="AN189" s="2"/>
      <c r="AQ189" s="1"/>
      <c r="BG189" s="1"/>
    </row>
    <row r="190" spans="15:59">
      <c r="O190" s="1"/>
      <c r="P190" s="1"/>
      <c r="AA190" s="1"/>
      <c r="AB190" s="1"/>
      <c r="AG190" s="1"/>
      <c r="AH190" s="1"/>
      <c r="AK190" s="1"/>
      <c r="AL190" s="1"/>
      <c r="AM190" s="2"/>
      <c r="AN190" s="2"/>
      <c r="AQ190" s="1"/>
      <c r="BG190" s="1"/>
    </row>
    <row r="191" spans="15:59">
      <c r="O191" s="1"/>
      <c r="P191" s="1"/>
      <c r="AA191" s="1"/>
      <c r="AB191" s="1"/>
      <c r="AG191" s="1"/>
      <c r="AH191" s="1"/>
      <c r="AK191" s="1"/>
      <c r="AL191" s="1"/>
      <c r="AM191" s="2"/>
      <c r="AN191" s="2"/>
      <c r="AQ191" s="1"/>
      <c r="BG191" s="1"/>
    </row>
    <row r="192" spans="15:59">
      <c r="O192" s="1"/>
      <c r="P192" s="1"/>
      <c r="AA192" s="1"/>
      <c r="AB192" s="1"/>
      <c r="AG192" s="1"/>
      <c r="AH192" s="1"/>
      <c r="AK192" s="1"/>
      <c r="AL192" s="1"/>
      <c r="AM192" s="2"/>
      <c r="AN192" s="2"/>
      <c r="AQ192" s="1"/>
      <c r="BG192" s="1"/>
    </row>
    <row r="193" spans="15:59">
      <c r="O193" s="1"/>
      <c r="P193" s="1"/>
      <c r="AA193" s="1"/>
      <c r="AB193" s="1"/>
      <c r="AG193" s="1"/>
      <c r="AH193" s="1"/>
      <c r="AK193" s="1"/>
      <c r="AL193" s="1"/>
      <c r="AM193" s="2"/>
      <c r="AN193" s="2"/>
      <c r="AQ193" s="1"/>
      <c r="BG193" s="1"/>
    </row>
    <row r="194" spans="15:59">
      <c r="O194" s="1"/>
      <c r="P194" s="1"/>
      <c r="AA194" s="1"/>
      <c r="AB194" s="1"/>
      <c r="AG194" s="1"/>
      <c r="AH194" s="1"/>
      <c r="AK194" s="1"/>
      <c r="AL194" s="1"/>
      <c r="AM194" s="2"/>
      <c r="AN194" s="2"/>
      <c r="AQ194" s="1"/>
      <c r="BG194" s="1"/>
    </row>
    <row r="195" spans="15:59">
      <c r="O195" s="1"/>
      <c r="P195" s="1"/>
      <c r="AA195" s="1"/>
      <c r="AB195" s="1"/>
      <c r="AG195" s="1"/>
      <c r="AH195" s="1"/>
      <c r="AK195" s="1"/>
      <c r="AL195" s="1"/>
      <c r="AM195" s="2"/>
      <c r="AN195" s="2"/>
      <c r="AQ195" s="1"/>
      <c r="BG195" s="1"/>
    </row>
    <row r="196" spans="15:59">
      <c r="O196" s="1"/>
      <c r="P196" s="1"/>
      <c r="AA196" s="1"/>
      <c r="AB196" s="1"/>
      <c r="AG196" s="1"/>
      <c r="AH196" s="1"/>
      <c r="AK196" s="1"/>
      <c r="AL196" s="1"/>
      <c r="AM196" s="2"/>
      <c r="AN196" s="2"/>
      <c r="AQ196" s="1"/>
      <c r="BG196" s="1"/>
    </row>
    <row r="197" spans="15:59">
      <c r="O197" s="1"/>
      <c r="P197" s="1"/>
      <c r="AA197" s="1"/>
      <c r="AB197" s="1"/>
      <c r="AG197" s="1"/>
      <c r="AH197" s="1"/>
      <c r="AK197" s="1"/>
      <c r="AL197" s="1"/>
      <c r="AM197" s="2"/>
      <c r="AN197" s="2"/>
      <c r="AQ197" s="1"/>
      <c r="BG197" s="1"/>
    </row>
    <row r="198" spans="15:59">
      <c r="O198" s="1"/>
      <c r="P198" s="1"/>
      <c r="AA198" s="1"/>
      <c r="AB198" s="1"/>
      <c r="AG198" s="1"/>
      <c r="AH198" s="1"/>
      <c r="AK198" s="1"/>
      <c r="AL198" s="1"/>
      <c r="AM198" s="2"/>
      <c r="AN198" s="2"/>
      <c r="AQ198" s="1"/>
      <c r="BG198" s="1"/>
    </row>
    <row r="199" spans="15:59">
      <c r="O199" s="1"/>
      <c r="P199" s="1"/>
      <c r="AA199" s="1"/>
      <c r="AB199" s="1"/>
      <c r="AG199" s="1"/>
      <c r="AH199" s="1"/>
      <c r="AK199" s="1"/>
      <c r="AL199" s="1"/>
      <c r="AM199" s="2"/>
      <c r="AN199" s="2"/>
      <c r="AQ199" s="1"/>
      <c r="BG199" s="1"/>
    </row>
    <row r="200" spans="15:59">
      <c r="O200" s="1"/>
      <c r="P200" s="1"/>
      <c r="AA200" s="1"/>
      <c r="AB200" s="1"/>
      <c r="AG200" s="1"/>
      <c r="AH200" s="1"/>
      <c r="AK200" s="1"/>
      <c r="AL200" s="1"/>
      <c r="AM200" s="2"/>
      <c r="AN200" s="2"/>
      <c r="AQ200" s="1"/>
      <c r="BG200" s="1"/>
    </row>
    <row r="201" spans="15:59">
      <c r="O201" s="1"/>
      <c r="P201" s="1"/>
      <c r="AA201" s="1"/>
      <c r="AB201" s="1"/>
      <c r="AG201" s="1"/>
      <c r="AH201" s="1"/>
      <c r="AK201" s="1"/>
      <c r="AL201" s="1"/>
      <c r="AM201" s="2"/>
      <c r="AN201" s="2"/>
      <c r="AQ201" s="1"/>
      <c r="BG201" s="1"/>
    </row>
    <row r="202" spans="15:59">
      <c r="O202" s="1"/>
      <c r="P202" s="1"/>
      <c r="AA202" s="1"/>
      <c r="AB202" s="1"/>
      <c r="AG202" s="1"/>
      <c r="AH202" s="1"/>
      <c r="AK202" s="1"/>
      <c r="AL202" s="1"/>
      <c r="AM202" s="2"/>
      <c r="AN202" s="2"/>
      <c r="AQ202" s="1"/>
      <c r="BG202" s="1"/>
    </row>
    <row r="203" spans="15:59">
      <c r="O203" s="1"/>
      <c r="P203" s="1"/>
      <c r="AA203" s="1"/>
      <c r="AB203" s="1"/>
      <c r="AG203" s="1"/>
      <c r="AH203" s="1"/>
      <c r="AK203" s="1"/>
      <c r="AL203" s="1"/>
      <c r="AM203" s="2"/>
      <c r="AN203" s="2"/>
      <c r="AQ203" s="1"/>
      <c r="BG203" s="1"/>
    </row>
    <row r="204" spans="15:59">
      <c r="O204" s="1"/>
      <c r="P204" s="1"/>
      <c r="AA204" s="1"/>
      <c r="AB204" s="1"/>
      <c r="AG204" s="1"/>
      <c r="AH204" s="1"/>
      <c r="AK204" s="1"/>
      <c r="AL204" s="1"/>
      <c r="AM204" s="2"/>
      <c r="AN204" s="2"/>
      <c r="AQ204" s="1"/>
      <c r="BG204" s="1"/>
    </row>
    <row r="205" spans="15:59">
      <c r="O205" s="1"/>
      <c r="P205" s="1"/>
      <c r="AA205" s="1"/>
      <c r="AB205" s="1"/>
      <c r="AG205" s="1"/>
      <c r="AH205" s="1"/>
      <c r="AK205" s="1"/>
      <c r="AL205" s="1"/>
      <c r="AM205" s="2"/>
      <c r="AN205" s="2"/>
      <c r="AQ205" s="1"/>
      <c r="BG205" s="1"/>
    </row>
    <row r="206" spans="15:59">
      <c r="O206" s="1"/>
      <c r="P206" s="1"/>
      <c r="AA206" s="1"/>
      <c r="AB206" s="1"/>
      <c r="AG206" s="1"/>
      <c r="AH206" s="1"/>
      <c r="AK206" s="1"/>
      <c r="AL206" s="1"/>
      <c r="AM206" s="2"/>
      <c r="AN206" s="2"/>
      <c r="AQ206" s="1"/>
      <c r="BG206" s="1"/>
    </row>
    <row r="207" spans="15:59">
      <c r="O207" s="1"/>
      <c r="P207" s="1"/>
      <c r="AA207" s="1"/>
      <c r="AB207" s="1"/>
      <c r="AG207" s="1"/>
      <c r="AH207" s="1"/>
      <c r="AK207" s="1"/>
      <c r="AL207" s="1"/>
      <c r="AM207" s="2"/>
      <c r="AN207" s="2"/>
      <c r="AQ207" s="1"/>
      <c r="BG207" s="1"/>
    </row>
    <row r="208" spans="15:59">
      <c r="O208" s="1"/>
      <c r="P208" s="1"/>
      <c r="AA208" s="1"/>
      <c r="AB208" s="1"/>
      <c r="AG208" s="1"/>
      <c r="AH208" s="1"/>
      <c r="AK208" s="1"/>
      <c r="AL208" s="1"/>
      <c r="AM208" s="2"/>
      <c r="AN208" s="2"/>
      <c r="AQ208" s="1"/>
      <c r="BG208" s="1"/>
    </row>
    <row r="209" spans="15:59">
      <c r="O209" s="1"/>
      <c r="P209" s="1"/>
      <c r="AA209" s="1"/>
      <c r="AB209" s="1"/>
      <c r="AG209" s="1"/>
      <c r="AH209" s="1"/>
      <c r="AK209" s="1"/>
      <c r="AL209" s="1"/>
      <c r="AM209" s="2"/>
      <c r="AN209" s="2"/>
      <c r="AQ209" s="1"/>
      <c r="BG209" s="1"/>
    </row>
    <row r="210" spans="15:59">
      <c r="O210" s="1"/>
      <c r="P210" s="1"/>
      <c r="AA210" s="1"/>
      <c r="AB210" s="1"/>
      <c r="AG210" s="1"/>
      <c r="AH210" s="1"/>
      <c r="AK210" s="1"/>
      <c r="AL210" s="1"/>
      <c r="AM210" s="2"/>
      <c r="AN210" s="2"/>
      <c r="AQ210" s="1"/>
      <c r="BG210" s="1"/>
    </row>
    <row r="211" spans="15:59">
      <c r="O211" s="1"/>
      <c r="P211" s="1"/>
      <c r="AA211" s="1"/>
      <c r="AB211" s="1"/>
      <c r="AG211" s="1"/>
      <c r="AH211" s="1"/>
      <c r="AK211" s="1"/>
      <c r="AL211" s="1"/>
      <c r="AM211" s="2"/>
      <c r="AN211" s="2"/>
      <c r="AQ211" s="1"/>
      <c r="BG211" s="1"/>
    </row>
    <row r="212" spans="15:59">
      <c r="O212" s="1"/>
      <c r="P212" s="1"/>
      <c r="AA212" s="1"/>
      <c r="AB212" s="1"/>
      <c r="AG212" s="1"/>
      <c r="AH212" s="1"/>
      <c r="AK212" s="1"/>
      <c r="AL212" s="1"/>
      <c r="AM212" s="2"/>
      <c r="AN212" s="2"/>
      <c r="AQ212" s="1"/>
      <c r="BG212" s="1"/>
    </row>
    <row r="213" spans="15:59">
      <c r="O213" s="1"/>
      <c r="P213" s="1"/>
      <c r="AA213" s="1"/>
      <c r="AB213" s="1"/>
      <c r="AG213" s="1"/>
      <c r="AH213" s="1"/>
      <c r="AK213" s="1"/>
      <c r="AL213" s="1"/>
      <c r="AM213" s="2"/>
      <c r="AN213" s="2"/>
      <c r="AQ213" s="1"/>
      <c r="BG213" s="1"/>
    </row>
    <row r="214" spans="15:59">
      <c r="O214" s="1"/>
      <c r="P214" s="1"/>
      <c r="AA214" s="1"/>
      <c r="AB214" s="1"/>
      <c r="AG214" s="1"/>
      <c r="AH214" s="1"/>
      <c r="AK214" s="1"/>
      <c r="AL214" s="1"/>
      <c r="AM214" s="2"/>
      <c r="AN214" s="2"/>
      <c r="AQ214" s="1"/>
      <c r="BG214" s="1"/>
    </row>
    <row r="215" spans="15:59">
      <c r="O215" s="1"/>
      <c r="P215" s="1"/>
      <c r="AA215" s="1"/>
      <c r="AB215" s="1"/>
      <c r="AG215" s="1"/>
      <c r="AH215" s="1"/>
      <c r="AK215" s="1"/>
      <c r="AL215" s="1"/>
      <c r="AM215" s="2"/>
      <c r="AN215" s="2"/>
      <c r="AQ215" s="1"/>
      <c r="BG215" s="1"/>
    </row>
    <row r="216" spans="15:59">
      <c r="O216" s="1"/>
      <c r="P216" s="1"/>
      <c r="AA216" s="1"/>
      <c r="AB216" s="1"/>
      <c r="AG216" s="1"/>
      <c r="AH216" s="1"/>
      <c r="AK216" s="1"/>
      <c r="AL216" s="1"/>
      <c r="AM216" s="2"/>
      <c r="AN216" s="2"/>
      <c r="AQ216" s="1"/>
      <c r="BG216" s="1"/>
    </row>
    <row r="217" spans="15:59">
      <c r="O217" s="1"/>
      <c r="P217" s="1"/>
      <c r="AA217" s="1"/>
      <c r="AB217" s="1"/>
      <c r="AG217" s="1"/>
      <c r="AH217" s="1"/>
      <c r="AK217" s="1"/>
      <c r="AL217" s="1"/>
      <c r="AM217" s="2"/>
      <c r="AN217" s="2"/>
      <c r="AQ217" s="1"/>
      <c r="BG217" s="1"/>
    </row>
    <row r="218" spans="15:59">
      <c r="O218" s="1"/>
      <c r="P218" s="1"/>
      <c r="AA218" s="1"/>
      <c r="AB218" s="1"/>
      <c r="AG218" s="1"/>
      <c r="AH218" s="1"/>
      <c r="AK218" s="1"/>
      <c r="AL218" s="1"/>
      <c r="AM218" s="2"/>
      <c r="AN218" s="2"/>
      <c r="AQ218" s="1"/>
      <c r="BG218" s="1"/>
    </row>
    <row r="219" spans="15:59">
      <c r="O219" s="1"/>
      <c r="P219" s="1"/>
      <c r="AA219" s="1"/>
      <c r="AB219" s="1"/>
      <c r="AG219" s="1"/>
      <c r="AH219" s="1"/>
      <c r="AK219" s="1"/>
      <c r="AL219" s="1"/>
      <c r="AM219" s="2"/>
      <c r="AN219" s="2"/>
      <c r="AQ219" s="1"/>
      <c r="BG219" s="1"/>
    </row>
    <row r="220" spans="15:59">
      <c r="O220" s="1"/>
      <c r="P220" s="1"/>
      <c r="AA220" s="1"/>
      <c r="AB220" s="1"/>
      <c r="AG220" s="1"/>
      <c r="AH220" s="1"/>
      <c r="AK220" s="1"/>
      <c r="AL220" s="1"/>
      <c r="AM220" s="2"/>
      <c r="AN220" s="2"/>
      <c r="AQ220" s="1"/>
      <c r="BG220" s="1"/>
    </row>
    <row r="221" spans="15:59">
      <c r="O221" s="1"/>
      <c r="P221" s="1"/>
      <c r="AA221" s="1"/>
      <c r="AB221" s="1"/>
      <c r="AG221" s="1"/>
      <c r="AH221" s="1"/>
      <c r="AK221" s="1"/>
      <c r="AL221" s="1"/>
      <c r="AM221" s="2"/>
      <c r="AN221" s="2"/>
      <c r="AQ221" s="1"/>
      <c r="BG221" s="1"/>
    </row>
    <row r="222" spans="15:59">
      <c r="O222" s="1"/>
      <c r="P222" s="1"/>
      <c r="AA222" s="1"/>
      <c r="AB222" s="1"/>
      <c r="AG222" s="1"/>
      <c r="AH222" s="1"/>
      <c r="AK222" s="1"/>
      <c r="AL222" s="1"/>
      <c r="AM222" s="2"/>
      <c r="AN222" s="2"/>
      <c r="AQ222" s="1"/>
      <c r="BG222" s="1"/>
    </row>
    <row r="223" spans="15:59">
      <c r="O223" s="1"/>
      <c r="P223" s="1"/>
      <c r="AA223" s="1"/>
      <c r="AB223" s="1"/>
      <c r="AG223" s="1"/>
      <c r="AH223" s="1"/>
      <c r="AK223" s="1"/>
      <c r="AL223" s="1"/>
      <c r="AM223" s="2"/>
      <c r="AN223" s="2"/>
      <c r="AQ223" s="1"/>
      <c r="BG223" s="1"/>
    </row>
    <row r="224" spans="15:59">
      <c r="O224" s="1"/>
      <c r="P224" s="1"/>
      <c r="AA224" s="1"/>
      <c r="AB224" s="1"/>
      <c r="AG224" s="1"/>
      <c r="AH224" s="1"/>
      <c r="AK224" s="1"/>
      <c r="AL224" s="1"/>
      <c r="AM224" s="2"/>
      <c r="AN224" s="2"/>
      <c r="AQ224" s="1"/>
      <c r="BG224" s="1"/>
    </row>
    <row r="225" spans="15:59">
      <c r="O225" s="1"/>
      <c r="P225" s="1"/>
      <c r="AA225" s="1"/>
      <c r="AB225" s="1"/>
      <c r="AG225" s="1"/>
      <c r="AH225" s="1"/>
      <c r="AK225" s="1"/>
      <c r="AL225" s="1"/>
      <c r="AM225" s="2"/>
      <c r="AN225" s="2"/>
      <c r="AQ225" s="1"/>
      <c r="BG225" s="1"/>
    </row>
    <row r="226" spans="15:59">
      <c r="O226" s="1"/>
      <c r="P226" s="1"/>
      <c r="AA226" s="1"/>
      <c r="AB226" s="1"/>
      <c r="AG226" s="1"/>
      <c r="AH226" s="1"/>
      <c r="AK226" s="1"/>
      <c r="AL226" s="1"/>
      <c r="AM226" s="2"/>
      <c r="AN226" s="2"/>
      <c r="AQ226" s="1"/>
      <c r="BG226" s="1"/>
    </row>
    <row r="227" spans="15:59">
      <c r="O227" s="1"/>
      <c r="P227" s="1"/>
      <c r="AA227" s="1"/>
      <c r="AB227" s="1"/>
      <c r="AG227" s="1"/>
      <c r="AH227" s="1"/>
      <c r="AK227" s="1"/>
      <c r="AL227" s="1"/>
      <c r="AM227" s="2"/>
      <c r="AN227" s="2"/>
      <c r="AQ227" s="1"/>
      <c r="BG227" s="1"/>
    </row>
    <row r="228" spans="15:59">
      <c r="O228" s="1"/>
      <c r="P228" s="1"/>
      <c r="AA228" s="1"/>
      <c r="AB228" s="1"/>
      <c r="AG228" s="1"/>
      <c r="AH228" s="1"/>
      <c r="AK228" s="1"/>
      <c r="AL228" s="1"/>
      <c r="AM228" s="2"/>
      <c r="AN228" s="2"/>
      <c r="AQ228" s="1"/>
      <c r="BG228" s="1"/>
    </row>
    <row r="229" spans="15:59">
      <c r="O229" s="1"/>
      <c r="P229" s="1"/>
      <c r="AA229" s="1"/>
      <c r="AB229" s="1"/>
      <c r="AG229" s="1"/>
      <c r="AH229" s="1"/>
      <c r="AK229" s="1"/>
      <c r="AL229" s="1"/>
      <c r="AM229" s="2"/>
      <c r="AN229" s="2"/>
      <c r="AQ229" s="1"/>
      <c r="BG229" s="1"/>
    </row>
    <row r="230" spans="15:59">
      <c r="O230" s="1"/>
      <c r="P230" s="1"/>
      <c r="AA230" s="1"/>
      <c r="AB230" s="1"/>
      <c r="AG230" s="1"/>
      <c r="AH230" s="1"/>
      <c r="AK230" s="1"/>
      <c r="AL230" s="1"/>
      <c r="AM230" s="2"/>
      <c r="AN230" s="2"/>
      <c r="AQ230" s="1"/>
      <c r="BG230" s="1"/>
    </row>
    <row r="231" spans="15:59">
      <c r="O231" s="1"/>
      <c r="P231" s="1"/>
      <c r="AA231" s="1"/>
      <c r="AB231" s="1"/>
      <c r="AG231" s="1"/>
      <c r="AH231" s="1"/>
      <c r="AK231" s="1"/>
      <c r="AL231" s="1"/>
      <c r="AM231" s="2"/>
      <c r="AN231" s="2"/>
      <c r="AQ231" s="1"/>
      <c r="BG231" s="1"/>
    </row>
    <row r="232" spans="15:59">
      <c r="O232" s="1"/>
      <c r="P232" s="1"/>
      <c r="AA232" s="1"/>
      <c r="AB232" s="1"/>
      <c r="AG232" s="1"/>
      <c r="AH232" s="1"/>
      <c r="AK232" s="1"/>
      <c r="AL232" s="1"/>
      <c r="AM232" s="2"/>
      <c r="AN232" s="2"/>
      <c r="AQ232" s="1"/>
      <c r="BG232" s="1"/>
    </row>
    <row r="233" spans="15:59">
      <c r="O233" s="1"/>
      <c r="P233" s="1"/>
      <c r="AA233" s="1"/>
      <c r="AB233" s="1"/>
      <c r="AG233" s="1"/>
      <c r="AH233" s="1"/>
      <c r="AK233" s="1"/>
      <c r="AL233" s="1"/>
      <c r="AM233" s="2"/>
      <c r="AN233" s="2"/>
      <c r="AQ233" s="1"/>
      <c r="BG233" s="1"/>
    </row>
    <row r="234" spans="15:59">
      <c r="O234" s="1"/>
      <c r="P234" s="1"/>
      <c r="AA234" s="1"/>
      <c r="AB234" s="1"/>
      <c r="AG234" s="1"/>
      <c r="AH234" s="1"/>
      <c r="AK234" s="1"/>
      <c r="AL234" s="1"/>
      <c r="AM234" s="2"/>
      <c r="AN234" s="2"/>
      <c r="AQ234" s="1"/>
      <c r="BG234" s="1"/>
    </row>
    <row r="235" spans="15:59">
      <c r="O235" s="1"/>
      <c r="P235" s="1"/>
      <c r="AA235" s="1"/>
      <c r="AB235" s="1"/>
      <c r="AG235" s="1"/>
      <c r="AH235" s="1"/>
      <c r="AK235" s="1"/>
      <c r="AL235" s="1"/>
      <c r="AM235" s="2"/>
      <c r="AN235" s="2"/>
      <c r="AQ235" s="1"/>
      <c r="BG235" s="1"/>
    </row>
    <row r="236" spans="15:59">
      <c r="O236" s="1"/>
      <c r="P236" s="1"/>
      <c r="AA236" s="1"/>
      <c r="AB236" s="1"/>
      <c r="AG236" s="1"/>
      <c r="AH236" s="1"/>
      <c r="AK236" s="1"/>
      <c r="AL236" s="1"/>
      <c r="AM236" s="2"/>
      <c r="AN236" s="2"/>
      <c r="AQ236" s="1"/>
      <c r="BG236" s="1"/>
    </row>
    <row r="237" spans="15:59">
      <c r="O237" s="1"/>
      <c r="P237" s="1"/>
      <c r="AA237" s="1"/>
      <c r="AB237" s="1"/>
      <c r="AG237" s="1"/>
      <c r="AH237" s="1"/>
      <c r="AK237" s="1"/>
      <c r="AL237" s="1"/>
      <c r="AM237" s="2"/>
      <c r="AN237" s="2"/>
      <c r="AQ237" s="1"/>
      <c r="BG237" s="1"/>
    </row>
    <row r="238" spans="15:59">
      <c r="O238" s="1"/>
      <c r="P238" s="1"/>
      <c r="AA238" s="1"/>
      <c r="AB238" s="1"/>
      <c r="AG238" s="1"/>
      <c r="AH238" s="1"/>
      <c r="AK238" s="1"/>
      <c r="AL238" s="1"/>
      <c r="AM238" s="2"/>
      <c r="AN238" s="2"/>
      <c r="AQ238" s="1"/>
      <c r="BG238" s="1"/>
    </row>
    <row r="239" spans="15:59">
      <c r="O239" s="1"/>
      <c r="P239" s="1"/>
      <c r="AA239" s="1"/>
      <c r="AB239" s="1"/>
      <c r="AG239" s="1"/>
      <c r="AH239" s="1"/>
      <c r="AK239" s="1"/>
      <c r="AL239" s="1"/>
      <c r="AM239" s="2"/>
      <c r="AN239" s="2"/>
      <c r="AQ239" s="1"/>
      <c r="BG239" s="1"/>
    </row>
    <row r="240" spans="15:59">
      <c r="O240" s="1"/>
      <c r="P240" s="1"/>
      <c r="AA240" s="1"/>
      <c r="AB240" s="1"/>
      <c r="AG240" s="1"/>
      <c r="AH240" s="1"/>
      <c r="AK240" s="1"/>
      <c r="AL240" s="1"/>
      <c r="AM240" s="2"/>
      <c r="AN240" s="2"/>
      <c r="AQ240" s="1"/>
      <c r="BG240" s="1"/>
    </row>
    <row r="241" spans="15:59">
      <c r="O241" s="1"/>
      <c r="P241" s="1"/>
      <c r="AA241" s="1"/>
      <c r="AB241" s="1"/>
      <c r="AG241" s="1"/>
      <c r="AH241" s="1"/>
      <c r="AK241" s="1"/>
      <c r="AL241" s="1"/>
      <c r="AM241" s="2"/>
      <c r="AN241" s="2"/>
      <c r="AQ241" s="1"/>
      <c r="BG241" s="1"/>
    </row>
    <row r="242" spans="15:59">
      <c r="O242" s="1"/>
      <c r="P242" s="1"/>
      <c r="AA242" s="1"/>
      <c r="AB242" s="1"/>
      <c r="AG242" s="1"/>
      <c r="AH242" s="1"/>
      <c r="AK242" s="1"/>
      <c r="AL242" s="1"/>
      <c r="AM242" s="2"/>
      <c r="AN242" s="2"/>
      <c r="AQ242" s="1"/>
      <c r="BG242" s="1"/>
    </row>
    <row r="243" spans="15:59">
      <c r="O243" s="1"/>
      <c r="P243" s="1"/>
      <c r="AA243" s="1"/>
      <c r="AB243" s="1"/>
      <c r="AG243" s="1"/>
      <c r="AH243" s="1"/>
      <c r="AK243" s="1"/>
      <c r="AL243" s="1"/>
      <c r="AM243" s="2"/>
      <c r="AN243" s="2"/>
      <c r="AQ243" s="1"/>
      <c r="BG243" s="1"/>
    </row>
    <row r="244" spans="15:59">
      <c r="O244" s="1"/>
      <c r="P244" s="1"/>
      <c r="AA244" s="1"/>
      <c r="AB244" s="1"/>
      <c r="AG244" s="1"/>
      <c r="AH244" s="1"/>
      <c r="AK244" s="1"/>
      <c r="AL244" s="1"/>
      <c r="AM244" s="2"/>
      <c r="AN244" s="2"/>
      <c r="AQ244" s="1"/>
      <c r="BG244" s="1"/>
    </row>
    <row r="245" spans="15:59">
      <c r="O245" s="1"/>
      <c r="P245" s="1"/>
      <c r="AA245" s="1"/>
      <c r="AB245" s="1"/>
      <c r="AG245" s="1"/>
      <c r="AH245" s="1"/>
      <c r="AK245" s="1"/>
      <c r="AL245" s="1"/>
      <c r="AM245" s="2"/>
      <c r="AN245" s="2"/>
      <c r="AQ245" s="1"/>
      <c r="BG245" s="1"/>
    </row>
    <row r="246" spans="15:59">
      <c r="O246" s="1"/>
      <c r="P246" s="1"/>
      <c r="AA246" s="1"/>
      <c r="AB246" s="1"/>
      <c r="AG246" s="1"/>
      <c r="AH246" s="1"/>
      <c r="AK246" s="1"/>
      <c r="AL246" s="1"/>
      <c r="AM246" s="2"/>
      <c r="AN246" s="2"/>
      <c r="AQ246" s="1"/>
      <c r="BG246" s="1"/>
    </row>
    <row r="247" spans="15:59">
      <c r="O247" s="1"/>
      <c r="P247" s="1"/>
      <c r="AA247" s="1"/>
      <c r="AB247" s="1"/>
      <c r="AG247" s="1"/>
      <c r="AH247" s="1"/>
      <c r="AK247" s="1"/>
      <c r="AL247" s="1"/>
      <c r="AM247" s="2"/>
      <c r="AN247" s="2"/>
      <c r="AQ247" s="1"/>
      <c r="BG247" s="1"/>
    </row>
    <row r="248" spans="15:59">
      <c r="O248" s="1"/>
      <c r="P248" s="1"/>
      <c r="AA248" s="1"/>
      <c r="AB248" s="1"/>
      <c r="AG248" s="1"/>
      <c r="AH248" s="1"/>
      <c r="AK248" s="1"/>
      <c r="AL248" s="1"/>
      <c r="AM248" s="2"/>
      <c r="AN248" s="2"/>
      <c r="AQ248" s="1"/>
      <c r="BG248" s="1"/>
    </row>
    <row r="249" spans="15:59">
      <c r="O249" s="1"/>
      <c r="P249" s="1"/>
      <c r="AA249" s="1"/>
      <c r="AB249" s="1"/>
      <c r="AG249" s="1"/>
      <c r="AH249" s="1"/>
      <c r="AK249" s="1"/>
      <c r="AL249" s="1"/>
      <c r="AM249" s="2"/>
      <c r="AN249" s="2"/>
      <c r="AQ249" s="1"/>
      <c r="BG249" s="1"/>
    </row>
    <row r="250" spans="15:59">
      <c r="O250" s="1"/>
      <c r="P250" s="1"/>
      <c r="AA250" s="1"/>
      <c r="AB250" s="1"/>
      <c r="AG250" s="1"/>
      <c r="AH250" s="1"/>
      <c r="AK250" s="1"/>
      <c r="AL250" s="1"/>
      <c r="AM250" s="2"/>
      <c r="AN250" s="2"/>
      <c r="AQ250" s="1"/>
      <c r="BG250" s="1"/>
    </row>
    <row r="251" spans="15:59">
      <c r="O251" s="1"/>
      <c r="P251" s="1"/>
      <c r="AA251" s="1"/>
      <c r="AB251" s="1"/>
      <c r="AG251" s="1"/>
      <c r="AH251" s="1"/>
      <c r="AK251" s="1"/>
      <c r="AL251" s="1"/>
      <c r="AM251" s="2"/>
      <c r="AN251" s="2"/>
      <c r="AQ251" s="1"/>
      <c r="BG251" s="1"/>
    </row>
    <row r="252" spans="15:59">
      <c r="O252" s="1"/>
      <c r="P252" s="1"/>
      <c r="AA252" s="1"/>
      <c r="AB252" s="1"/>
      <c r="AG252" s="1"/>
      <c r="AH252" s="1"/>
      <c r="AK252" s="1"/>
      <c r="AL252" s="1"/>
      <c r="AM252" s="2"/>
      <c r="AN252" s="2"/>
      <c r="AQ252" s="1"/>
      <c r="BG252" s="1"/>
    </row>
    <row r="253" spans="15:59">
      <c r="O253" s="1"/>
      <c r="P253" s="1"/>
      <c r="AA253" s="1"/>
      <c r="AB253" s="1"/>
      <c r="AG253" s="1"/>
      <c r="AH253" s="1"/>
      <c r="AK253" s="1"/>
      <c r="AL253" s="1"/>
      <c r="AM253" s="2"/>
      <c r="AN253" s="2"/>
      <c r="AQ253" s="1"/>
      <c r="BG253" s="1"/>
    </row>
    <row r="254" spans="15:59">
      <c r="O254" s="1"/>
      <c r="P254" s="1"/>
      <c r="AA254" s="1"/>
      <c r="AB254" s="1"/>
      <c r="AG254" s="1"/>
      <c r="AH254" s="1"/>
      <c r="AK254" s="1"/>
      <c r="AL254" s="1"/>
      <c r="AM254" s="2"/>
      <c r="AN254" s="2"/>
      <c r="AQ254" s="1"/>
      <c r="BG254" s="1"/>
    </row>
    <row r="255" spans="15:59">
      <c r="O255" s="1"/>
      <c r="P255" s="1"/>
      <c r="AA255" s="1"/>
      <c r="AB255" s="1"/>
      <c r="AG255" s="1"/>
      <c r="AH255" s="1"/>
      <c r="AK255" s="1"/>
      <c r="AL255" s="1"/>
      <c r="AM255" s="2"/>
      <c r="AN255" s="2"/>
      <c r="AQ255" s="1"/>
      <c r="BG255" s="1"/>
    </row>
    <row r="256" spans="15:59">
      <c r="O256" s="1"/>
      <c r="P256" s="1"/>
      <c r="AA256" s="1"/>
      <c r="AB256" s="1"/>
      <c r="AG256" s="1"/>
      <c r="AH256" s="1"/>
      <c r="AK256" s="1"/>
      <c r="AL256" s="1"/>
      <c r="AM256" s="2"/>
      <c r="AN256" s="2"/>
      <c r="AQ256" s="1"/>
      <c r="BG256" s="1"/>
    </row>
    <row r="257" spans="15:59">
      <c r="O257" s="1"/>
      <c r="P257" s="1"/>
      <c r="AA257" s="1"/>
      <c r="AB257" s="1"/>
      <c r="AG257" s="1"/>
      <c r="AH257" s="1"/>
      <c r="AK257" s="1"/>
      <c r="AL257" s="1"/>
      <c r="AM257" s="2"/>
      <c r="AN257" s="2"/>
      <c r="AQ257" s="1"/>
      <c r="BG257" s="1"/>
    </row>
    <row r="258" spans="15:59">
      <c r="O258" s="1"/>
      <c r="P258" s="1"/>
      <c r="AA258" s="1"/>
      <c r="AB258" s="1"/>
      <c r="AG258" s="1"/>
      <c r="AH258" s="1"/>
      <c r="AK258" s="1"/>
      <c r="AL258" s="1"/>
      <c r="AM258" s="2"/>
      <c r="AN258" s="2"/>
      <c r="AQ258" s="1"/>
      <c r="BG258" s="1"/>
    </row>
    <row r="259" spans="15:59">
      <c r="O259" s="1"/>
      <c r="P259" s="1"/>
      <c r="AA259" s="1"/>
      <c r="AB259" s="1"/>
      <c r="AG259" s="1"/>
      <c r="AH259" s="1"/>
      <c r="AK259" s="1"/>
      <c r="AL259" s="1"/>
      <c r="AM259" s="2"/>
      <c r="AN259" s="2"/>
      <c r="AQ259" s="1"/>
      <c r="BG259" s="1"/>
    </row>
    <row r="260" spans="15:59">
      <c r="O260" s="1"/>
      <c r="P260" s="1"/>
      <c r="AA260" s="1"/>
      <c r="AB260" s="1"/>
      <c r="AG260" s="1"/>
      <c r="AH260" s="1"/>
      <c r="AK260" s="1"/>
      <c r="AL260" s="1"/>
      <c r="AM260" s="2"/>
      <c r="AN260" s="2"/>
      <c r="AQ260" s="1"/>
      <c r="BG260" s="1"/>
    </row>
    <row r="261" spans="15:59">
      <c r="O261" s="1"/>
      <c r="P261" s="1"/>
      <c r="AA261" s="1"/>
      <c r="AB261" s="1"/>
      <c r="AG261" s="1"/>
      <c r="AH261" s="1"/>
      <c r="AK261" s="1"/>
      <c r="AL261" s="1"/>
      <c r="AM261" s="2"/>
      <c r="AN261" s="2"/>
      <c r="AQ261" s="1"/>
      <c r="BG261" s="1"/>
    </row>
    <row r="262" spans="15:59">
      <c r="O262" s="1"/>
      <c r="P262" s="1"/>
      <c r="AA262" s="1"/>
      <c r="AB262" s="1"/>
      <c r="AG262" s="1"/>
      <c r="AH262" s="1"/>
      <c r="AK262" s="1"/>
      <c r="AL262" s="1"/>
      <c r="AM262" s="2"/>
      <c r="AN262" s="2"/>
      <c r="AQ262" s="1"/>
      <c r="BG262" s="1"/>
    </row>
    <row r="263" spans="15:59">
      <c r="O263" s="1"/>
      <c r="P263" s="1"/>
      <c r="AA263" s="1"/>
      <c r="AB263" s="1"/>
      <c r="AG263" s="1"/>
      <c r="AH263" s="1"/>
      <c r="AK263" s="1"/>
      <c r="AL263" s="1"/>
      <c r="AM263" s="2"/>
      <c r="AN263" s="2"/>
      <c r="AQ263" s="1"/>
      <c r="BG263" s="1"/>
    </row>
    <row r="264" spans="15:59">
      <c r="O264" s="1"/>
      <c r="P264" s="1"/>
      <c r="AA264" s="1"/>
      <c r="AB264" s="1"/>
      <c r="AG264" s="1"/>
      <c r="AH264" s="1"/>
      <c r="AK264" s="1"/>
      <c r="AL264" s="1"/>
      <c r="AM264" s="2"/>
      <c r="AN264" s="2"/>
      <c r="AQ264" s="1"/>
      <c r="BG264" s="1"/>
    </row>
    <row r="265" spans="15:59">
      <c r="O265" s="1"/>
      <c r="P265" s="1"/>
      <c r="AA265" s="1"/>
      <c r="AB265" s="1"/>
      <c r="AG265" s="1"/>
      <c r="AH265" s="1"/>
      <c r="AK265" s="1"/>
      <c r="AL265" s="1"/>
      <c r="AM265" s="2"/>
      <c r="AN265" s="2"/>
      <c r="AQ265" s="1"/>
      <c r="BG265" s="1"/>
    </row>
    <row r="266" spans="15:59">
      <c r="O266" s="1"/>
      <c r="P266" s="1"/>
      <c r="AA266" s="1"/>
      <c r="AB266" s="1"/>
      <c r="AG266" s="1"/>
      <c r="AH266" s="1"/>
      <c r="AK266" s="1"/>
      <c r="AL266" s="1"/>
      <c r="AM266" s="2"/>
      <c r="AN266" s="2"/>
      <c r="AQ266" s="1"/>
      <c r="BG266" s="1"/>
    </row>
    <row r="267" spans="15:59">
      <c r="O267" s="1"/>
      <c r="P267" s="1"/>
      <c r="AA267" s="1"/>
      <c r="AB267" s="1"/>
      <c r="AG267" s="1"/>
      <c r="AH267" s="1"/>
      <c r="AK267" s="1"/>
      <c r="AL267" s="1"/>
      <c r="AM267" s="2"/>
      <c r="AN267" s="2"/>
      <c r="AQ267" s="1"/>
      <c r="BG267" s="1"/>
    </row>
    <row r="268" spans="15:59">
      <c r="O268" s="1"/>
      <c r="P268" s="1"/>
      <c r="AA268" s="1"/>
      <c r="AB268" s="1"/>
      <c r="AG268" s="1"/>
      <c r="AH268" s="1"/>
      <c r="AK268" s="1"/>
      <c r="AL268" s="1"/>
      <c r="AM268" s="2"/>
      <c r="AN268" s="2"/>
      <c r="AQ268" s="1"/>
      <c r="BG268" s="1"/>
    </row>
    <row r="269" spans="15:59">
      <c r="O269" s="1"/>
      <c r="P269" s="1"/>
      <c r="AA269" s="1"/>
      <c r="AB269" s="1"/>
      <c r="AG269" s="1"/>
      <c r="AH269" s="1"/>
      <c r="AK269" s="1"/>
      <c r="AL269" s="1"/>
      <c r="AM269" s="2"/>
      <c r="AN269" s="2"/>
      <c r="AQ269" s="1"/>
      <c r="BG269" s="1"/>
    </row>
    <row r="270" spans="15:59">
      <c r="O270" s="1"/>
      <c r="P270" s="1"/>
      <c r="AA270" s="1"/>
      <c r="AB270" s="1"/>
      <c r="AG270" s="1"/>
      <c r="AH270" s="1"/>
      <c r="AK270" s="1"/>
      <c r="AL270" s="1"/>
      <c r="AM270" s="2"/>
      <c r="AN270" s="2"/>
      <c r="AQ270" s="1"/>
      <c r="BG270" s="1"/>
    </row>
    <row r="271" spans="15:59">
      <c r="O271" s="1"/>
      <c r="P271" s="1"/>
      <c r="AA271" s="1"/>
      <c r="AB271" s="1"/>
      <c r="AG271" s="1"/>
      <c r="AH271" s="1"/>
      <c r="AK271" s="1"/>
      <c r="AL271" s="1"/>
      <c r="AM271" s="2"/>
      <c r="AN271" s="2"/>
      <c r="AQ271" s="1"/>
      <c r="BG271" s="1"/>
    </row>
    <row r="272" spans="15:59">
      <c r="O272" s="1"/>
      <c r="P272" s="1"/>
      <c r="AA272" s="1"/>
      <c r="AB272" s="1"/>
      <c r="AG272" s="1"/>
      <c r="AH272" s="1"/>
      <c r="AK272" s="1"/>
      <c r="AL272" s="1"/>
      <c r="AM272" s="2"/>
      <c r="AN272" s="2"/>
      <c r="AQ272" s="1"/>
      <c r="BG272" s="1"/>
    </row>
    <row r="273" spans="15:59">
      <c r="O273" s="1"/>
      <c r="P273" s="1"/>
      <c r="AA273" s="1"/>
      <c r="AB273" s="1"/>
      <c r="AG273" s="1"/>
      <c r="AH273" s="1"/>
      <c r="AK273" s="1"/>
      <c r="AL273" s="1"/>
      <c r="AM273" s="2"/>
      <c r="AN273" s="2"/>
      <c r="AQ273" s="1"/>
      <c r="BG273" s="1"/>
    </row>
    <row r="274" spans="15:59">
      <c r="O274" s="1"/>
      <c r="P274" s="1"/>
      <c r="AA274" s="1"/>
      <c r="AB274" s="1"/>
      <c r="AG274" s="1"/>
      <c r="AH274" s="1"/>
      <c r="AK274" s="1"/>
      <c r="AL274" s="1"/>
      <c r="AM274" s="2"/>
      <c r="AN274" s="2"/>
      <c r="AQ274" s="1"/>
      <c r="BG274" s="1"/>
    </row>
    <row r="275" spans="15:59">
      <c r="O275" s="1"/>
      <c r="P275" s="1"/>
      <c r="AA275" s="1"/>
      <c r="AB275" s="1"/>
      <c r="AG275" s="1"/>
      <c r="AH275" s="1"/>
      <c r="AK275" s="1"/>
      <c r="AL275" s="1"/>
      <c r="AM275" s="2"/>
      <c r="AN275" s="2"/>
      <c r="AQ275" s="1"/>
      <c r="BG275" s="1"/>
    </row>
    <row r="276" spans="15:59">
      <c r="O276" s="1"/>
      <c r="P276" s="1"/>
      <c r="AA276" s="1"/>
      <c r="AB276" s="1"/>
      <c r="AG276" s="1"/>
      <c r="AH276" s="1"/>
      <c r="AK276" s="1"/>
      <c r="AL276" s="1"/>
      <c r="AM276" s="2"/>
      <c r="AN276" s="2"/>
      <c r="AQ276" s="1"/>
      <c r="BG276" s="1"/>
    </row>
    <row r="277" spans="15:59">
      <c r="O277" s="1"/>
      <c r="P277" s="1"/>
      <c r="AA277" s="1"/>
      <c r="AB277" s="1"/>
      <c r="AG277" s="1"/>
      <c r="AH277" s="1"/>
      <c r="AK277" s="1"/>
      <c r="AL277" s="1"/>
      <c r="AM277" s="2"/>
      <c r="AN277" s="2"/>
      <c r="AQ277" s="1"/>
      <c r="BG277" s="1"/>
    </row>
    <row r="278" spans="15:59">
      <c r="O278" s="1"/>
      <c r="P278" s="1"/>
      <c r="AA278" s="1"/>
      <c r="AB278" s="1"/>
      <c r="AG278" s="1"/>
      <c r="AH278" s="1"/>
      <c r="AK278" s="1"/>
      <c r="AL278" s="1"/>
      <c r="AM278" s="2"/>
      <c r="AN278" s="2"/>
      <c r="AQ278" s="1"/>
      <c r="BG278" s="1"/>
    </row>
    <row r="279" spans="15:59">
      <c r="O279" s="1"/>
      <c r="P279" s="1"/>
      <c r="AA279" s="1"/>
      <c r="AB279" s="1"/>
      <c r="AG279" s="1"/>
      <c r="AH279" s="1"/>
      <c r="AK279" s="1"/>
      <c r="AL279" s="1"/>
      <c r="AM279" s="2"/>
      <c r="AN279" s="2"/>
      <c r="AQ279" s="1"/>
      <c r="BG279" s="1"/>
    </row>
    <row r="280" spans="15:59">
      <c r="O280" s="1"/>
      <c r="P280" s="1"/>
      <c r="AA280" s="1"/>
      <c r="AB280" s="1"/>
      <c r="AG280" s="1"/>
      <c r="AH280" s="1"/>
      <c r="AK280" s="1"/>
      <c r="AL280" s="1"/>
      <c r="AM280" s="2"/>
      <c r="AN280" s="2"/>
      <c r="AQ280" s="1"/>
      <c r="BG280" s="1"/>
    </row>
    <row r="281" spans="15:59">
      <c r="O281" s="1"/>
      <c r="P281" s="1"/>
      <c r="AA281" s="1"/>
      <c r="AB281" s="1"/>
      <c r="AG281" s="1"/>
      <c r="AH281" s="1"/>
      <c r="AK281" s="1"/>
      <c r="AL281" s="1"/>
      <c r="AM281" s="2"/>
      <c r="AN281" s="2"/>
      <c r="AQ281" s="1"/>
      <c r="BG281" s="1"/>
    </row>
    <row r="282" spans="15:59">
      <c r="O282" s="1"/>
      <c r="P282" s="1"/>
      <c r="AA282" s="1"/>
      <c r="AB282" s="1"/>
      <c r="AG282" s="1"/>
      <c r="AH282" s="1"/>
      <c r="AK282" s="1"/>
      <c r="AL282" s="1"/>
      <c r="AM282" s="2"/>
      <c r="AN282" s="2"/>
      <c r="AQ282" s="1"/>
      <c r="BG282" s="1"/>
    </row>
    <row r="283" spans="15:59">
      <c r="O283" s="1"/>
      <c r="P283" s="1"/>
      <c r="AA283" s="1"/>
      <c r="AB283" s="1"/>
      <c r="AG283" s="1"/>
      <c r="AH283" s="1"/>
      <c r="AK283" s="1"/>
      <c r="AL283" s="1"/>
      <c r="AM283" s="2"/>
      <c r="AN283" s="2"/>
      <c r="AQ283" s="1"/>
      <c r="BG283" s="1"/>
    </row>
    <row r="284" spans="15:59">
      <c r="O284" s="1"/>
      <c r="P284" s="1"/>
      <c r="AA284" s="1"/>
      <c r="AB284" s="1"/>
      <c r="AG284" s="1"/>
      <c r="AH284" s="1"/>
      <c r="AK284" s="1"/>
      <c r="AL284" s="1"/>
      <c r="AM284" s="2"/>
      <c r="AN284" s="2"/>
      <c r="AQ284" s="1"/>
      <c r="BG284" s="1"/>
    </row>
    <row r="285" spans="15:59">
      <c r="O285" s="1"/>
      <c r="P285" s="1"/>
      <c r="AA285" s="1"/>
      <c r="AB285" s="1"/>
      <c r="AG285" s="1"/>
      <c r="AH285" s="1"/>
      <c r="AK285" s="1"/>
      <c r="AL285" s="1"/>
      <c r="AM285" s="2"/>
      <c r="AN285" s="2"/>
      <c r="AQ285" s="1"/>
      <c r="BG285" s="1"/>
    </row>
    <row r="286" spans="15:59">
      <c r="O286" s="1"/>
      <c r="P286" s="1"/>
      <c r="AA286" s="1"/>
      <c r="AB286" s="1"/>
      <c r="AG286" s="1"/>
      <c r="AH286" s="1"/>
      <c r="AK286" s="1"/>
      <c r="AL286" s="1"/>
      <c r="AM286" s="2"/>
      <c r="AN286" s="2"/>
      <c r="AQ286" s="1"/>
      <c r="BG286" s="1"/>
    </row>
    <row r="287" spans="15:59">
      <c r="O287" s="1"/>
      <c r="P287" s="1"/>
      <c r="AA287" s="1"/>
      <c r="AB287" s="1"/>
      <c r="AG287" s="1"/>
      <c r="AH287" s="1"/>
      <c r="AK287" s="1"/>
      <c r="AL287" s="1"/>
      <c r="AM287" s="2"/>
      <c r="AN287" s="2"/>
      <c r="AQ287" s="1"/>
      <c r="BG287" s="1"/>
    </row>
    <row r="288" spans="15:59">
      <c r="O288" s="1"/>
      <c r="P288" s="1"/>
      <c r="AA288" s="1"/>
      <c r="AB288" s="1"/>
      <c r="AG288" s="1"/>
      <c r="AH288" s="1"/>
      <c r="AK288" s="1"/>
      <c r="AL288" s="1"/>
      <c r="AM288" s="2"/>
      <c r="AN288" s="2"/>
      <c r="AQ288" s="1"/>
      <c r="BG288" s="1"/>
    </row>
    <row r="289" spans="15:59">
      <c r="O289" s="1"/>
      <c r="P289" s="1"/>
      <c r="AA289" s="1"/>
      <c r="AB289" s="1"/>
      <c r="AG289" s="1"/>
      <c r="AH289" s="1"/>
      <c r="AK289" s="1"/>
      <c r="AL289" s="1"/>
      <c r="AM289" s="2"/>
      <c r="AN289" s="2"/>
      <c r="AQ289" s="1"/>
      <c r="BG289" s="1"/>
    </row>
    <row r="290" spans="15:59">
      <c r="O290" s="1"/>
      <c r="P290" s="1"/>
      <c r="AA290" s="1"/>
      <c r="AB290" s="1"/>
      <c r="AG290" s="1"/>
      <c r="AH290" s="1"/>
      <c r="AK290" s="1"/>
      <c r="AL290" s="1"/>
      <c r="AM290" s="2"/>
      <c r="AN290" s="2"/>
      <c r="AQ290" s="1"/>
      <c r="BG290" s="1"/>
    </row>
    <row r="291" spans="15:59">
      <c r="O291" s="1"/>
      <c r="P291" s="1"/>
      <c r="AA291" s="1"/>
      <c r="AB291" s="1"/>
      <c r="AG291" s="1"/>
      <c r="AH291" s="1"/>
      <c r="AK291" s="1"/>
      <c r="AL291" s="1"/>
      <c r="AM291" s="2"/>
      <c r="AN291" s="2"/>
      <c r="AQ291" s="1"/>
      <c r="BG291" s="1"/>
    </row>
    <row r="292" spans="15:59">
      <c r="O292" s="1"/>
      <c r="P292" s="1"/>
      <c r="AA292" s="1"/>
      <c r="AB292" s="1"/>
      <c r="AG292" s="1"/>
      <c r="AH292" s="1"/>
      <c r="AK292" s="1"/>
      <c r="AL292" s="1"/>
      <c r="AM292" s="2"/>
      <c r="AN292" s="2"/>
      <c r="AQ292" s="1"/>
      <c r="BG292" s="1"/>
    </row>
    <row r="293" spans="15:59">
      <c r="O293" s="1"/>
      <c r="P293" s="1"/>
      <c r="AA293" s="1"/>
      <c r="AB293" s="1"/>
      <c r="AG293" s="1"/>
      <c r="AH293" s="1"/>
      <c r="AK293" s="1"/>
      <c r="AL293" s="1"/>
      <c r="AM293" s="2"/>
      <c r="AN293" s="2"/>
      <c r="AQ293" s="1"/>
      <c r="BG293" s="1"/>
    </row>
    <row r="294" spans="15:59">
      <c r="O294" s="1"/>
      <c r="P294" s="1"/>
      <c r="AA294" s="1"/>
      <c r="AB294" s="1"/>
      <c r="AG294" s="1"/>
      <c r="AH294" s="1"/>
      <c r="AK294" s="1"/>
      <c r="AL294" s="1"/>
      <c r="AM294" s="2"/>
      <c r="AN294" s="2"/>
      <c r="AQ294" s="1"/>
      <c r="BG294" s="1"/>
    </row>
    <row r="295" spans="15:59">
      <c r="O295" s="1"/>
      <c r="P295" s="1"/>
      <c r="AA295" s="1"/>
      <c r="AB295" s="1"/>
      <c r="AG295" s="1"/>
      <c r="AH295" s="1"/>
      <c r="AK295" s="1"/>
      <c r="AL295" s="1"/>
      <c r="AM295" s="2"/>
      <c r="AN295" s="2"/>
      <c r="AQ295" s="1"/>
      <c r="BG295" s="1"/>
    </row>
    <row r="296" spans="15:59">
      <c r="O296" s="1"/>
      <c r="P296" s="1"/>
      <c r="AA296" s="1"/>
      <c r="AB296" s="1"/>
      <c r="AG296" s="1"/>
      <c r="AH296" s="1"/>
      <c r="AK296" s="1"/>
      <c r="AL296" s="1"/>
      <c r="AM296" s="2"/>
      <c r="AN296" s="2"/>
      <c r="AQ296" s="1"/>
      <c r="BG296" s="1"/>
    </row>
    <row r="297" spans="15:59">
      <c r="O297" s="1"/>
      <c r="P297" s="1"/>
      <c r="AA297" s="1"/>
      <c r="AB297" s="1"/>
      <c r="AG297" s="1"/>
      <c r="AH297" s="1"/>
      <c r="AK297" s="1"/>
      <c r="AL297" s="1"/>
      <c r="AM297" s="2"/>
      <c r="AN297" s="2"/>
      <c r="AQ297" s="1"/>
      <c r="BG297" s="1"/>
    </row>
    <row r="298" spans="15:59">
      <c r="O298" s="1"/>
      <c r="P298" s="1"/>
      <c r="AA298" s="1"/>
      <c r="AB298" s="1"/>
      <c r="AG298" s="1"/>
      <c r="AH298" s="1"/>
      <c r="AK298" s="1"/>
      <c r="AL298" s="1"/>
      <c r="AM298" s="2"/>
      <c r="AN298" s="2"/>
      <c r="AQ298" s="1"/>
      <c r="BG298" s="1"/>
    </row>
    <row r="299" spans="15:59">
      <c r="O299" s="1"/>
      <c r="P299" s="1"/>
      <c r="AA299" s="1"/>
      <c r="AB299" s="1"/>
      <c r="AG299" s="1"/>
      <c r="AH299" s="1"/>
      <c r="AK299" s="1"/>
      <c r="AL299" s="1"/>
      <c r="AM299" s="2"/>
      <c r="AN299" s="2"/>
      <c r="AQ299" s="1"/>
      <c r="BG299" s="1"/>
    </row>
    <row r="300" spans="15:59">
      <c r="O300" s="1"/>
      <c r="P300" s="1"/>
      <c r="AA300" s="1"/>
      <c r="AB300" s="1"/>
      <c r="AG300" s="1"/>
      <c r="AH300" s="1"/>
      <c r="AK300" s="1"/>
      <c r="AL300" s="1"/>
      <c r="AM300" s="2"/>
      <c r="AN300" s="2"/>
      <c r="AQ300" s="1"/>
      <c r="BG300" s="1"/>
    </row>
    <row r="301" spans="15:59">
      <c r="O301" s="1"/>
      <c r="P301" s="1"/>
      <c r="AA301" s="1"/>
      <c r="AB301" s="1"/>
      <c r="AG301" s="1"/>
      <c r="AH301" s="1"/>
      <c r="AK301" s="1"/>
      <c r="AL301" s="1"/>
      <c r="AM301" s="2"/>
      <c r="AN301" s="2"/>
      <c r="AQ301" s="1"/>
      <c r="BG301" s="1"/>
    </row>
    <row r="302" spans="15:59">
      <c r="O302" s="1"/>
      <c r="P302" s="1"/>
      <c r="AA302" s="1"/>
      <c r="AB302" s="1"/>
      <c r="AG302" s="1"/>
      <c r="AH302" s="1"/>
      <c r="AK302" s="1"/>
      <c r="AL302" s="1"/>
      <c r="AM302" s="2"/>
      <c r="AN302" s="2"/>
      <c r="AQ302" s="1"/>
      <c r="BG302" s="1"/>
    </row>
    <row r="303" spans="15:59">
      <c r="O303" s="1"/>
      <c r="P303" s="1"/>
      <c r="AA303" s="1"/>
      <c r="AB303" s="1"/>
      <c r="AG303" s="1"/>
      <c r="AH303" s="1"/>
      <c r="AK303" s="1"/>
      <c r="AL303" s="1"/>
      <c r="AM303" s="2"/>
      <c r="AN303" s="2"/>
      <c r="AQ303" s="1"/>
      <c r="BG303" s="1"/>
    </row>
    <row r="304" spans="15:59">
      <c r="O304" s="1"/>
      <c r="P304" s="1"/>
      <c r="AA304" s="1"/>
      <c r="AB304" s="1"/>
      <c r="AG304" s="1"/>
      <c r="AH304" s="1"/>
      <c r="AK304" s="1"/>
      <c r="AL304" s="1"/>
      <c r="AM304" s="2"/>
      <c r="AN304" s="2"/>
      <c r="AQ304" s="1"/>
      <c r="BG304" s="1"/>
    </row>
    <row r="305" spans="15:59">
      <c r="O305" s="1"/>
      <c r="P305" s="1"/>
      <c r="AA305" s="1"/>
      <c r="AB305" s="1"/>
      <c r="AG305" s="1"/>
      <c r="AH305" s="1"/>
      <c r="AK305" s="1"/>
      <c r="AL305" s="1"/>
      <c r="AM305" s="2"/>
      <c r="AN305" s="2"/>
      <c r="AQ305" s="1"/>
      <c r="BG305" s="1"/>
    </row>
    <row r="306" spans="15:59">
      <c r="O306" s="1"/>
      <c r="P306" s="1"/>
      <c r="AA306" s="1"/>
      <c r="AB306" s="1"/>
      <c r="AG306" s="1"/>
      <c r="AH306" s="1"/>
      <c r="AK306" s="1"/>
      <c r="AL306" s="1"/>
      <c r="AM306" s="2"/>
      <c r="AN306" s="2"/>
      <c r="AQ306" s="1"/>
      <c r="BG306" s="1"/>
    </row>
    <row r="307" spans="15:59">
      <c r="O307" s="1"/>
      <c r="P307" s="1"/>
      <c r="AA307" s="1"/>
      <c r="AB307" s="1"/>
      <c r="AG307" s="1"/>
      <c r="AH307" s="1"/>
      <c r="AK307" s="1"/>
      <c r="AL307" s="1"/>
      <c r="AM307" s="2"/>
      <c r="AN307" s="2"/>
      <c r="AQ307" s="1"/>
      <c r="BG307" s="1"/>
    </row>
    <row r="308" spans="15:59">
      <c r="O308" s="1"/>
      <c r="P308" s="1"/>
      <c r="AA308" s="1"/>
      <c r="AB308" s="1"/>
      <c r="AG308" s="1"/>
      <c r="AH308" s="1"/>
      <c r="AK308" s="1"/>
      <c r="AL308" s="1"/>
      <c r="AM308" s="2"/>
      <c r="AN308" s="2"/>
      <c r="AQ308" s="1"/>
      <c r="BG308" s="1"/>
    </row>
    <row r="309" spans="15:59">
      <c r="O309" s="1"/>
      <c r="P309" s="1"/>
      <c r="AA309" s="1"/>
      <c r="AB309" s="1"/>
      <c r="AG309" s="1"/>
      <c r="AH309" s="1"/>
      <c r="AK309" s="1"/>
      <c r="AL309" s="1"/>
      <c r="AM309" s="2"/>
      <c r="AN309" s="2"/>
      <c r="AQ309" s="1"/>
      <c r="BG309" s="1"/>
    </row>
    <row r="310" spans="15:59">
      <c r="O310" s="1"/>
      <c r="P310" s="1"/>
      <c r="AA310" s="1"/>
      <c r="AB310" s="1"/>
      <c r="AG310" s="1"/>
      <c r="AH310" s="1"/>
      <c r="AK310" s="1"/>
      <c r="AL310" s="1"/>
      <c r="AM310" s="2"/>
      <c r="AN310" s="2"/>
      <c r="AQ310" s="1"/>
      <c r="BG310" s="1"/>
    </row>
    <row r="311" spans="15:59">
      <c r="O311" s="1"/>
      <c r="P311" s="1"/>
      <c r="AA311" s="1"/>
      <c r="AB311" s="1"/>
      <c r="AG311" s="1"/>
      <c r="AH311" s="1"/>
      <c r="AK311" s="1"/>
      <c r="AL311" s="1"/>
      <c r="AM311" s="2"/>
      <c r="AN311" s="2"/>
      <c r="AQ311" s="1"/>
      <c r="BG311" s="1"/>
    </row>
    <row r="312" spans="15:59">
      <c r="O312" s="1"/>
      <c r="P312" s="1"/>
      <c r="AA312" s="1"/>
      <c r="AB312" s="1"/>
      <c r="AG312" s="1"/>
      <c r="AH312" s="1"/>
      <c r="AK312" s="1"/>
      <c r="AL312" s="1"/>
      <c r="AM312" s="2"/>
      <c r="AN312" s="2"/>
      <c r="AQ312" s="1"/>
      <c r="BG312" s="1"/>
    </row>
    <row r="313" spans="15:59">
      <c r="O313" s="1"/>
      <c r="P313" s="1"/>
      <c r="AA313" s="1"/>
      <c r="AB313" s="1"/>
      <c r="AG313" s="1"/>
      <c r="AH313" s="1"/>
      <c r="AK313" s="1"/>
      <c r="AL313" s="1"/>
      <c r="AM313" s="2"/>
      <c r="AN313" s="2"/>
      <c r="AQ313" s="1"/>
      <c r="BG313" s="1"/>
    </row>
    <row r="314" spans="15:59">
      <c r="O314" s="1"/>
      <c r="P314" s="1"/>
      <c r="AA314" s="1"/>
      <c r="AB314" s="1"/>
      <c r="AG314" s="1"/>
      <c r="AH314" s="1"/>
      <c r="AK314" s="1"/>
      <c r="AL314" s="1"/>
      <c r="AM314" s="2"/>
      <c r="AN314" s="2"/>
      <c r="AQ314" s="1"/>
      <c r="BG314" s="1"/>
    </row>
    <row r="315" spans="15:59">
      <c r="O315" s="1"/>
      <c r="P315" s="1"/>
      <c r="AA315" s="1"/>
      <c r="AB315" s="1"/>
      <c r="AG315" s="1"/>
      <c r="AH315" s="1"/>
      <c r="AK315" s="1"/>
      <c r="AL315" s="1"/>
      <c r="AM315" s="2"/>
      <c r="AN315" s="2"/>
      <c r="AQ315" s="1"/>
      <c r="BG315" s="1"/>
    </row>
    <row r="316" spans="15:59">
      <c r="O316" s="1"/>
      <c r="P316" s="1"/>
      <c r="AA316" s="1"/>
      <c r="AB316" s="1"/>
      <c r="AG316" s="1"/>
      <c r="AH316" s="1"/>
      <c r="AK316" s="1"/>
      <c r="AL316" s="1"/>
      <c r="AM316" s="2"/>
      <c r="AN316" s="2"/>
      <c r="AQ316" s="1"/>
      <c r="BG316" s="1"/>
    </row>
    <row r="317" spans="15:59">
      <c r="O317" s="1"/>
      <c r="P317" s="1"/>
      <c r="AA317" s="1"/>
      <c r="AB317" s="1"/>
      <c r="AG317" s="1"/>
      <c r="AH317" s="1"/>
      <c r="AK317" s="1"/>
      <c r="AL317" s="1"/>
      <c r="AM317" s="2"/>
      <c r="AN317" s="2"/>
      <c r="AQ317" s="1"/>
      <c r="BG317" s="1"/>
    </row>
    <row r="318" spans="15:59">
      <c r="O318" s="1"/>
      <c r="P318" s="1"/>
      <c r="AA318" s="1"/>
      <c r="AB318" s="1"/>
      <c r="AG318" s="1"/>
      <c r="AH318" s="1"/>
      <c r="AK318" s="1"/>
      <c r="AL318" s="1"/>
      <c r="AM318" s="2"/>
      <c r="AN318" s="2"/>
      <c r="AQ318" s="1"/>
      <c r="BG318" s="1"/>
    </row>
    <row r="319" spans="15:59">
      <c r="O319" s="1"/>
      <c r="P319" s="1"/>
      <c r="AA319" s="1"/>
      <c r="AB319" s="1"/>
      <c r="AG319" s="1"/>
      <c r="AH319" s="1"/>
      <c r="AK319" s="1"/>
      <c r="AL319" s="1"/>
      <c r="AM319" s="2"/>
      <c r="AN319" s="2"/>
      <c r="AQ319" s="1"/>
      <c r="BG319" s="1"/>
    </row>
    <row r="320" spans="15:59">
      <c r="O320" s="1"/>
      <c r="P320" s="1"/>
      <c r="AA320" s="1"/>
      <c r="AB320" s="1"/>
      <c r="AG320" s="1"/>
      <c r="AH320" s="1"/>
      <c r="AK320" s="1"/>
      <c r="AL320" s="1"/>
      <c r="AM320" s="2"/>
      <c r="AN320" s="2"/>
      <c r="AQ320" s="1"/>
      <c r="BG320" s="1"/>
    </row>
    <row r="321" spans="15:59">
      <c r="O321" s="1"/>
      <c r="P321" s="1"/>
      <c r="AA321" s="1"/>
      <c r="AB321" s="1"/>
      <c r="AG321" s="1"/>
      <c r="AH321" s="1"/>
      <c r="AK321" s="1"/>
      <c r="AL321" s="1"/>
      <c r="AM321" s="2"/>
      <c r="AN321" s="2"/>
      <c r="AQ321" s="1"/>
      <c r="BG321" s="1"/>
    </row>
    <row r="322" spans="15:59">
      <c r="O322" s="1"/>
      <c r="P322" s="1"/>
      <c r="AA322" s="1"/>
      <c r="AB322" s="1"/>
      <c r="AG322" s="1"/>
      <c r="AH322" s="1"/>
      <c r="AK322" s="1"/>
      <c r="AL322" s="1"/>
      <c r="AM322" s="2"/>
      <c r="AN322" s="2"/>
      <c r="AQ322" s="1"/>
      <c r="BG322" s="1"/>
    </row>
    <row r="323" spans="15:59">
      <c r="O323" s="1"/>
      <c r="P323" s="1"/>
      <c r="AA323" s="1"/>
      <c r="AB323" s="1"/>
      <c r="AG323" s="1"/>
      <c r="AH323" s="1"/>
      <c r="AK323" s="1"/>
      <c r="AL323" s="1"/>
      <c r="AM323" s="2"/>
      <c r="AN323" s="2"/>
      <c r="AQ323" s="1"/>
      <c r="BG323" s="1"/>
    </row>
    <row r="324" spans="15:59">
      <c r="O324" s="1"/>
      <c r="P324" s="1"/>
      <c r="AA324" s="1"/>
      <c r="AB324" s="1"/>
      <c r="AG324" s="1"/>
      <c r="AH324" s="1"/>
      <c r="AK324" s="1"/>
      <c r="AL324" s="1"/>
      <c r="AM324" s="2"/>
      <c r="AN324" s="2"/>
      <c r="AQ324" s="1"/>
      <c r="BG324" s="1"/>
    </row>
    <row r="325" spans="15:59">
      <c r="O325" s="1"/>
      <c r="P325" s="1"/>
      <c r="AA325" s="1"/>
      <c r="AB325" s="1"/>
      <c r="AG325" s="1"/>
      <c r="AH325" s="1"/>
      <c r="AK325" s="1"/>
      <c r="AL325" s="1"/>
      <c r="AM325" s="2"/>
      <c r="AN325" s="2"/>
      <c r="AQ325" s="1"/>
      <c r="BG325" s="1"/>
    </row>
    <row r="326" spans="15:59">
      <c r="O326" s="1"/>
      <c r="P326" s="1"/>
      <c r="AA326" s="1"/>
      <c r="AB326" s="1"/>
      <c r="AG326" s="1"/>
      <c r="AH326" s="1"/>
      <c r="AK326" s="1"/>
      <c r="AL326" s="1"/>
      <c r="AM326" s="2"/>
      <c r="AN326" s="2"/>
      <c r="AQ326" s="1"/>
      <c r="BG326" s="1"/>
    </row>
    <row r="327" spans="15:59">
      <c r="O327" s="1"/>
      <c r="P327" s="1"/>
      <c r="AA327" s="1"/>
      <c r="AB327" s="1"/>
      <c r="AG327" s="1"/>
      <c r="AH327" s="1"/>
      <c r="AK327" s="1"/>
      <c r="AL327" s="1"/>
      <c r="AM327" s="2"/>
      <c r="AN327" s="2"/>
      <c r="AQ327" s="1"/>
      <c r="BG327" s="1"/>
    </row>
    <row r="328" spans="15:59">
      <c r="O328" s="1"/>
      <c r="P328" s="1"/>
      <c r="AA328" s="1"/>
      <c r="AB328" s="1"/>
      <c r="AG328" s="1"/>
      <c r="AH328" s="1"/>
      <c r="AK328" s="1"/>
      <c r="AL328" s="1"/>
      <c r="AM328" s="2"/>
      <c r="AN328" s="2"/>
      <c r="AQ328" s="1"/>
      <c r="BG328" s="1"/>
    </row>
    <row r="329" spans="15:59">
      <c r="O329" s="1"/>
      <c r="P329" s="1"/>
      <c r="AA329" s="1"/>
      <c r="AB329" s="1"/>
      <c r="AG329" s="1"/>
      <c r="AH329" s="1"/>
      <c r="AK329" s="1"/>
      <c r="AL329" s="1"/>
      <c r="AM329" s="2"/>
      <c r="AN329" s="2"/>
      <c r="AQ329" s="1"/>
      <c r="BG329" s="1"/>
    </row>
    <row r="330" spans="15:59">
      <c r="O330" s="1"/>
      <c r="P330" s="1"/>
      <c r="AA330" s="1"/>
      <c r="AB330" s="1"/>
      <c r="AG330" s="1"/>
      <c r="AH330" s="1"/>
      <c r="AK330" s="1"/>
      <c r="AL330" s="1"/>
      <c r="AM330" s="2"/>
      <c r="AN330" s="2"/>
      <c r="AQ330" s="1"/>
      <c r="BG330" s="1"/>
    </row>
    <row r="331" spans="15:59">
      <c r="O331" s="1"/>
      <c r="P331" s="1"/>
      <c r="AA331" s="1"/>
      <c r="AB331" s="1"/>
      <c r="AG331" s="1"/>
      <c r="AH331" s="1"/>
      <c r="AK331" s="1"/>
      <c r="AL331" s="1"/>
      <c r="AM331" s="2"/>
      <c r="AN331" s="2"/>
      <c r="AQ331" s="1"/>
      <c r="BG331" s="1"/>
    </row>
    <row r="332" spans="15:59">
      <c r="O332" s="1"/>
      <c r="P332" s="1"/>
      <c r="AA332" s="1"/>
      <c r="AB332" s="1"/>
      <c r="AG332" s="1"/>
      <c r="AH332" s="1"/>
      <c r="AK332" s="1"/>
      <c r="AL332" s="1"/>
      <c r="AM332" s="2"/>
      <c r="AN332" s="2"/>
      <c r="AQ332" s="1"/>
      <c r="BG332" s="1"/>
    </row>
    <row r="333" spans="15:59">
      <c r="O333" s="1"/>
      <c r="P333" s="1"/>
      <c r="AA333" s="1"/>
      <c r="AB333" s="1"/>
      <c r="AG333" s="1"/>
      <c r="AH333" s="1"/>
      <c r="AK333" s="1"/>
      <c r="AL333" s="1"/>
      <c r="AM333" s="2"/>
      <c r="AN333" s="2"/>
      <c r="AQ333" s="1"/>
      <c r="BG333" s="1"/>
    </row>
    <row r="334" spans="15:59">
      <c r="O334" s="1"/>
      <c r="P334" s="1"/>
      <c r="AA334" s="1"/>
      <c r="AB334" s="1"/>
      <c r="AG334" s="1"/>
      <c r="AH334" s="1"/>
      <c r="AK334" s="1"/>
      <c r="AL334" s="1"/>
      <c r="AM334" s="2"/>
      <c r="AN334" s="2"/>
      <c r="AQ334" s="1"/>
      <c r="BG334" s="1"/>
    </row>
    <row r="335" spans="15:59">
      <c r="O335" s="1"/>
      <c r="P335" s="1"/>
      <c r="AA335" s="1"/>
      <c r="AB335" s="1"/>
      <c r="AG335" s="1"/>
      <c r="AH335" s="1"/>
      <c r="AK335" s="1"/>
      <c r="AL335" s="1"/>
      <c r="AM335" s="2"/>
      <c r="AN335" s="2"/>
      <c r="AQ335" s="1"/>
      <c r="BG335" s="1"/>
    </row>
    <row r="336" spans="15:59">
      <c r="O336" s="1"/>
      <c r="P336" s="1"/>
      <c r="AA336" s="1"/>
      <c r="AB336" s="1"/>
      <c r="AG336" s="1"/>
      <c r="AH336" s="1"/>
      <c r="AK336" s="1"/>
      <c r="AL336" s="1"/>
      <c r="AM336" s="2"/>
      <c r="AN336" s="2"/>
      <c r="AQ336" s="1"/>
      <c r="BG336" s="1"/>
    </row>
    <row r="337" spans="15:59">
      <c r="O337" s="1"/>
      <c r="P337" s="1"/>
      <c r="AA337" s="1"/>
      <c r="AB337" s="1"/>
      <c r="AG337" s="1"/>
      <c r="AH337" s="1"/>
      <c r="AK337" s="1"/>
      <c r="AL337" s="1"/>
      <c r="AM337" s="2"/>
      <c r="AN337" s="2"/>
      <c r="AQ337" s="1"/>
      <c r="BG337" s="1"/>
    </row>
    <row r="338" spans="15:59">
      <c r="O338" s="1"/>
      <c r="P338" s="1"/>
      <c r="AA338" s="1"/>
      <c r="AB338" s="1"/>
      <c r="AG338" s="1"/>
      <c r="AH338" s="1"/>
      <c r="AK338" s="1"/>
      <c r="AL338" s="1"/>
      <c r="AM338" s="2"/>
      <c r="AN338" s="2"/>
      <c r="AQ338" s="1"/>
      <c r="BG338" s="1"/>
    </row>
    <row r="339" spans="15:59">
      <c r="O339" s="1"/>
      <c r="P339" s="1"/>
      <c r="AA339" s="1"/>
      <c r="AB339" s="1"/>
      <c r="AG339" s="1"/>
      <c r="AH339" s="1"/>
      <c r="AK339" s="1"/>
      <c r="AL339" s="1"/>
      <c r="AM339" s="2"/>
      <c r="AN339" s="2"/>
      <c r="AQ339" s="1"/>
      <c r="BG339" s="1"/>
    </row>
    <row r="340" spans="15:59">
      <c r="O340" s="1"/>
      <c r="P340" s="1"/>
      <c r="AA340" s="1"/>
      <c r="AB340" s="1"/>
      <c r="AG340" s="1"/>
      <c r="AH340" s="1"/>
      <c r="AK340" s="1"/>
      <c r="AL340" s="1"/>
      <c r="AM340" s="2"/>
      <c r="AN340" s="2"/>
      <c r="AQ340" s="1"/>
      <c r="BG340" s="1"/>
    </row>
    <row r="341" spans="15:59">
      <c r="O341" s="1"/>
      <c r="P341" s="1"/>
      <c r="AA341" s="1"/>
      <c r="AB341" s="1"/>
      <c r="AG341" s="1"/>
      <c r="AH341" s="1"/>
      <c r="AK341" s="1"/>
      <c r="AL341" s="1"/>
      <c r="AM341" s="2"/>
      <c r="AN341" s="2"/>
      <c r="AQ341" s="1"/>
      <c r="BG341" s="1"/>
    </row>
    <row r="342" spans="15:59">
      <c r="O342" s="1"/>
      <c r="P342" s="1"/>
      <c r="AA342" s="1"/>
      <c r="AB342" s="1"/>
      <c r="AG342" s="1"/>
      <c r="AH342" s="1"/>
      <c r="AK342" s="1"/>
      <c r="AL342" s="1"/>
      <c r="AM342" s="2"/>
      <c r="AN342" s="2"/>
      <c r="AQ342" s="1"/>
      <c r="BG342" s="1"/>
    </row>
    <row r="343" spans="15:59">
      <c r="O343" s="1"/>
      <c r="P343" s="1"/>
      <c r="AA343" s="1"/>
      <c r="AB343" s="1"/>
      <c r="AG343" s="1"/>
      <c r="AH343" s="1"/>
      <c r="AK343" s="1"/>
      <c r="AL343" s="1"/>
      <c r="AM343" s="2"/>
      <c r="AN343" s="2"/>
      <c r="AQ343" s="1"/>
      <c r="BG343" s="1"/>
    </row>
    <row r="344" spans="15:59">
      <c r="O344" s="1"/>
      <c r="P344" s="1"/>
      <c r="AA344" s="1"/>
      <c r="AB344" s="1"/>
      <c r="AG344" s="1"/>
      <c r="AH344" s="1"/>
      <c r="AK344" s="1"/>
      <c r="AL344" s="1"/>
      <c r="AM344" s="2"/>
      <c r="AN344" s="2"/>
      <c r="AQ344" s="1"/>
      <c r="BG344" s="1"/>
    </row>
    <row r="345" spans="15:59">
      <c r="O345" s="1"/>
      <c r="P345" s="1"/>
      <c r="AA345" s="1"/>
      <c r="AB345" s="1"/>
      <c r="AG345" s="1"/>
      <c r="AH345" s="1"/>
      <c r="AK345" s="1"/>
      <c r="AL345" s="1"/>
      <c r="AM345" s="2"/>
      <c r="AN345" s="2"/>
      <c r="AQ345" s="1"/>
      <c r="BG345" s="1"/>
    </row>
    <row r="346" spans="15:59">
      <c r="O346" s="1"/>
      <c r="P346" s="1"/>
      <c r="AA346" s="1"/>
      <c r="AB346" s="1"/>
      <c r="AG346" s="1"/>
      <c r="AH346" s="1"/>
      <c r="AK346" s="1"/>
      <c r="AL346" s="1"/>
      <c r="AM346" s="2"/>
      <c r="AN346" s="2"/>
      <c r="AQ346" s="1"/>
      <c r="BG346" s="1"/>
    </row>
    <row r="347" spans="15:59">
      <c r="O347" s="1"/>
      <c r="P347" s="1"/>
      <c r="AA347" s="1"/>
      <c r="AB347" s="1"/>
      <c r="AG347" s="1"/>
      <c r="AH347" s="1"/>
      <c r="AK347" s="1"/>
      <c r="AL347" s="1"/>
      <c r="AM347" s="2"/>
      <c r="AN347" s="2"/>
      <c r="AQ347" s="1"/>
      <c r="BG347" s="1"/>
    </row>
    <row r="348" spans="15:59">
      <c r="O348" s="1"/>
      <c r="P348" s="1"/>
      <c r="AA348" s="1"/>
      <c r="AB348" s="1"/>
      <c r="AG348" s="1"/>
      <c r="AH348" s="1"/>
      <c r="AK348" s="1"/>
      <c r="AL348" s="1"/>
      <c r="AM348" s="2"/>
      <c r="AN348" s="2"/>
      <c r="AQ348" s="1"/>
      <c r="BG348" s="1"/>
    </row>
    <row r="349" spans="15:59">
      <c r="O349" s="1"/>
      <c r="P349" s="1"/>
      <c r="AA349" s="1"/>
      <c r="AB349" s="1"/>
      <c r="AG349" s="1"/>
      <c r="AH349" s="1"/>
      <c r="AK349" s="1"/>
      <c r="AL349" s="1"/>
      <c r="AM349" s="2"/>
      <c r="AN349" s="2"/>
      <c r="AQ349" s="1"/>
      <c r="BG349" s="1"/>
    </row>
    <row r="350" spans="15:59">
      <c r="O350" s="1"/>
      <c r="P350" s="1"/>
      <c r="AA350" s="1"/>
      <c r="AB350" s="1"/>
      <c r="AG350" s="1"/>
      <c r="AH350" s="1"/>
      <c r="AK350" s="1"/>
      <c r="AL350" s="1"/>
      <c r="AM350" s="2"/>
      <c r="AN350" s="2"/>
      <c r="AQ350" s="1"/>
      <c r="BG350" s="1"/>
    </row>
    <row r="351" spans="15:59">
      <c r="O351" s="1"/>
      <c r="P351" s="1"/>
      <c r="AA351" s="1"/>
      <c r="AB351" s="1"/>
      <c r="AG351" s="1"/>
      <c r="AH351" s="1"/>
      <c r="AK351" s="1"/>
      <c r="AL351" s="1"/>
      <c r="AM351" s="2"/>
      <c r="AN351" s="2"/>
      <c r="AQ351" s="1"/>
      <c r="BG351" s="1"/>
    </row>
    <row r="352" spans="15:59">
      <c r="O352" s="1"/>
      <c r="P352" s="1"/>
      <c r="AA352" s="1"/>
      <c r="AB352" s="1"/>
      <c r="AG352" s="1"/>
      <c r="AH352" s="1"/>
      <c r="AK352" s="1"/>
      <c r="AL352" s="1"/>
      <c r="AM352" s="2"/>
      <c r="AN352" s="2"/>
      <c r="AQ352" s="1"/>
      <c r="BG352" s="1"/>
    </row>
    <row r="353" spans="15:59">
      <c r="O353" s="1"/>
      <c r="P353" s="1"/>
      <c r="AA353" s="1"/>
      <c r="AB353" s="1"/>
      <c r="AG353" s="1"/>
      <c r="AH353" s="1"/>
      <c r="AK353" s="1"/>
      <c r="AL353" s="1"/>
      <c r="AM353" s="2"/>
      <c r="AN353" s="2"/>
      <c r="AQ353" s="1"/>
      <c r="BG353" s="1"/>
    </row>
    <row r="354" spans="15:59">
      <c r="O354" s="1"/>
      <c r="P354" s="1"/>
      <c r="AA354" s="1"/>
      <c r="AB354" s="1"/>
      <c r="AG354" s="1"/>
      <c r="AH354" s="1"/>
      <c r="AK354" s="1"/>
      <c r="AL354" s="1"/>
      <c r="AM354" s="2"/>
      <c r="AN354" s="2"/>
      <c r="AQ354" s="1"/>
      <c r="BG354" s="1"/>
    </row>
    <row r="355" spans="15:59">
      <c r="O355" s="1"/>
      <c r="P355" s="1"/>
      <c r="AA355" s="1"/>
      <c r="AB355" s="1"/>
      <c r="AG355" s="1"/>
      <c r="AH355" s="1"/>
      <c r="AK355" s="1"/>
      <c r="AL355" s="1"/>
      <c r="AM355" s="2"/>
      <c r="AN355" s="2"/>
      <c r="AQ355" s="1"/>
      <c r="BG355" s="1"/>
    </row>
    <row r="356" spans="15:59">
      <c r="O356" s="1"/>
      <c r="P356" s="1"/>
      <c r="AA356" s="1"/>
      <c r="AB356" s="1"/>
      <c r="AG356" s="1"/>
      <c r="AH356" s="1"/>
      <c r="AK356" s="1"/>
      <c r="AL356" s="1"/>
      <c r="AM356" s="2"/>
      <c r="AN356" s="2"/>
      <c r="AQ356" s="1"/>
      <c r="BG356" s="1"/>
    </row>
    <row r="357" spans="15:59">
      <c r="O357" s="1"/>
      <c r="P357" s="1"/>
      <c r="AA357" s="1"/>
      <c r="AB357" s="1"/>
      <c r="AG357" s="1"/>
      <c r="AH357" s="1"/>
      <c r="AK357" s="1"/>
      <c r="AL357" s="1"/>
      <c r="AM357" s="2"/>
      <c r="AN357" s="2"/>
      <c r="AQ357" s="1"/>
      <c r="BG357" s="1"/>
    </row>
    <row r="358" spans="15:59">
      <c r="O358" s="1"/>
      <c r="P358" s="1"/>
      <c r="AA358" s="1"/>
      <c r="AB358" s="1"/>
      <c r="AG358" s="1"/>
      <c r="AH358" s="1"/>
      <c r="AK358" s="1"/>
      <c r="AL358" s="1"/>
      <c r="AM358" s="2"/>
      <c r="AN358" s="2"/>
      <c r="AQ358" s="1"/>
      <c r="BG358" s="1"/>
    </row>
    <row r="359" spans="15:59">
      <c r="O359" s="1"/>
      <c r="P359" s="1"/>
      <c r="AA359" s="1"/>
      <c r="AB359" s="1"/>
      <c r="AG359" s="1"/>
      <c r="AH359" s="1"/>
      <c r="AK359" s="1"/>
      <c r="AL359" s="1"/>
      <c r="AM359" s="2"/>
      <c r="AN359" s="2"/>
      <c r="AQ359" s="1"/>
      <c r="BG359" s="1"/>
    </row>
    <row r="360" spans="15:59">
      <c r="O360" s="1"/>
      <c r="P360" s="1"/>
      <c r="AA360" s="1"/>
      <c r="AB360" s="1"/>
      <c r="AG360" s="1"/>
      <c r="AH360" s="1"/>
      <c r="AK360" s="1"/>
      <c r="AL360" s="1"/>
      <c r="AM360" s="2"/>
      <c r="AN360" s="2"/>
      <c r="AQ360" s="1"/>
      <c r="BG360" s="1"/>
    </row>
    <row r="361" spans="15:59">
      <c r="O361" s="1"/>
      <c r="P361" s="1"/>
      <c r="AA361" s="1"/>
      <c r="AB361" s="1"/>
      <c r="AG361" s="1"/>
      <c r="AH361" s="1"/>
      <c r="AK361" s="1"/>
      <c r="AL361" s="1"/>
      <c r="AM361" s="2"/>
      <c r="AN361" s="2"/>
      <c r="AQ361" s="1"/>
      <c r="BG361" s="1"/>
    </row>
    <row r="362" spans="15:59">
      <c r="O362" s="1"/>
      <c r="P362" s="1"/>
      <c r="AA362" s="1"/>
      <c r="AB362" s="1"/>
      <c r="AG362" s="1"/>
      <c r="AH362" s="1"/>
      <c r="AK362" s="1"/>
      <c r="AL362" s="1"/>
      <c r="AM362" s="2"/>
      <c r="AN362" s="2"/>
      <c r="AQ362" s="1"/>
      <c r="BG362" s="1"/>
    </row>
    <row r="363" spans="15:59">
      <c r="O363" s="1"/>
      <c r="P363" s="1"/>
      <c r="AA363" s="1"/>
      <c r="AB363" s="1"/>
      <c r="AG363" s="1"/>
      <c r="AH363" s="1"/>
      <c r="AK363" s="1"/>
      <c r="AL363" s="1"/>
      <c r="AM363" s="2"/>
      <c r="AN363" s="2"/>
      <c r="AQ363" s="1"/>
      <c r="BG363" s="1"/>
    </row>
    <row r="364" spans="15:59">
      <c r="O364" s="1"/>
      <c r="P364" s="1"/>
      <c r="AA364" s="1"/>
      <c r="AB364" s="1"/>
      <c r="AG364" s="1"/>
      <c r="AH364" s="1"/>
      <c r="AK364" s="1"/>
      <c r="AL364" s="1"/>
      <c r="AM364" s="2"/>
      <c r="AN364" s="2"/>
      <c r="AQ364" s="1"/>
      <c r="BG364" s="1"/>
    </row>
    <row r="365" spans="15:59">
      <c r="O365" s="1"/>
      <c r="P365" s="1"/>
      <c r="AA365" s="1"/>
      <c r="AB365" s="1"/>
      <c r="AG365" s="1"/>
      <c r="AH365" s="1"/>
      <c r="AK365" s="1"/>
      <c r="AL365" s="1"/>
      <c r="AM365" s="2"/>
      <c r="AN365" s="2"/>
      <c r="AQ365" s="1"/>
      <c r="BG365" s="1"/>
    </row>
    <row r="366" spans="15:59">
      <c r="O366" s="1"/>
      <c r="P366" s="1"/>
      <c r="AA366" s="1"/>
      <c r="AB366" s="1"/>
      <c r="AG366" s="1"/>
      <c r="AH366" s="1"/>
      <c r="AK366" s="1"/>
      <c r="AL366" s="1"/>
      <c r="AM366" s="2"/>
      <c r="AN366" s="2"/>
      <c r="AQ366" s="1"/>
      <c r="BG366" s="1"/>
    </row>
    <row r="367" spans="15:59">
      <c r="O367" s="1"/>
      <c r="P367" s="1"/>
      <c r="AA367" s="1"/>
      <c r="AB367" s="1"/>
      <c r="AG367" s="1"/>
      <c r="AH367" s="1"/>
      <c r="AK367" s="1"/>
      <c r="AL367" s="1"/>
      <c r="AM367" s="2"/>
      <c r="AN367" s="2"/>
      <c r="AQ367" s="1"/>
      <c r="BG367" s="1"/>
    </row>
    <row r="368" spans="15:59">
      <c r="O368" s="1"/>
      <c r="P368" s="1"/>
      <c r="AA368" s="1"/>
      <c r="AB368" s="1"/>
      <c r="AG368" s="1"/>
      <c r="AH368" s="1"/>
      <c r="AK368" s="1"/>
      <c r="AL368" s="1"/>
      <c r="AM368" s="2"/>
      <c r="AN368" s="2"/>
      <c r="AQ368" s="1"/>
      <c r="BG368" s="1"/>
    </row>
    <row r="369" spans="15:59">
      <c r="O369" s="1"/>
      <c r="P369" s="1"/>
      <c r="AA369" s="1"/>
      <c r="AB369" s="1"/>
      <c r="AG369" s="1"/>
      <c r="AH369" s="1"/>
      <c r="AK369" s="1"/>
      <c r="AL369" s="1"/>
      <c r="AM369" s="2"/>
      <c r="AN369" s="2"/>
      <c r="AQ369" s="1"/>
      <c r="BG369" s="1"/>
    </row>
    <row r="370" spans="15:59">
      <c r="O370" s="1"/>
      <c r="P370" s="1"/>
      <c r="AA370" s="1"/>
      <c r="AB370" s="1"/>
      <c r="AG370" s="1"/>
      <c r="AH370" s="1"/>
      <c r="AK370" s="1"/>
      <c r="AL370" s="1"/>
      <c r="AM370" s="2"/>
      <c r="AN370" s="2"/>
      <c r="AQ370" s="1"/>
      <c r="BG370" s="1"/>
    </row>
    <row r="371" spans="15:59">
      <c r="O371" s="1"/>
      <c r="P371" s="1"/>
      <c r="AA371" s="1"/>
      <c r="AB371" s="1"/>
      <c r="AG371" s="1"/>
      <c r="AH371" s="1"/>
      <c r="AK371" s="1"/>
      <c r="AL371" s="1"/>
      <c r="AM371" s="2"/>
      <c r="AN371" s="2"/>
      <c r="AQ371" s="1"/>
      <c r="BG371" s="1"/>
    </row>
    <row r="372" spans="15:59">
      <c r="O372" s="1"/>
      <c r="P372" s="1"/>
      <c r="AA372" s="1"/>
      <c r="AB372" s="1"/>
      <c r="AG372" s="1"/>
      <c r="AH372" s="1"/>
      <c r="AK372" s="1"/>
      <c r="AL372" s="1"/>
      <c r="AM372" s="2"/>
      <c r="AN372" s="2"/>
      <c r="AQ372" s="1"/>
      <c r="BG372" s="1"/>
    </row>
    <row r="373" spans="15:59">
      <c r="O373" s="1"/>
      <c r="P373" s="1"/>
      <c r="AA373" s="1"/>
      <c r="AB373" s="1"/>
      <c r="AG373" s="1"/>
      <c r="AH373" s="1"/>
      <c r="AK373" s="1"/>
      <c r="AL373" s="1"/>
      <c r="AM373" s="2"/>
      <c r="AN373" s="2"/>
      <c r="AQ373" s="1"/>
      <c r="BG373" s="1"/>
    </row>
    <row r="374" spans="15:59">
      <c r="O374" s="1"/>
      <c r="P374" s="1"/>
      <c r="AA374" s="1"/>
      <c r="AB374" s="1"/>
      <c r="AG374" s="1"/>
      <c r="AH374" s="1"/>
      <c r="AK374" s="1"/>
      <c r="AL374" s="1"/>
      <c r="AM374" s="2"/>
      <c r="AN374" s="2"/>
      <c r="AQ374" s="1"/>
      <c r="BG374" s="1"/>
    </row>
    <row r="375" spans="15:59">
      <c r="O375" s="1"/>
      <c r="P375" s="1"/>
      <c r="AA375" s="1"/>
      <c r="AB375" s="1"/>
      <c r="AG375" s="1"/>
      <c r="AH375" s="1"/>
      <c r="AK375" s="1"/>
      <c r="AL375" s="1"/>
      <c r="AM375" s="2"/>
      <c r="AN375" s="2"/>
      <c r="AQ375" s="1"/>
      <c r="BG375" s="1"/>
    </row>
    <row r="376" spans="15:59">
      <c r="O376" s="1"/>
      <c r="P376" s="1"/>
      <c r="AA376" s="1"/>
      <c r="AB376" s="1"/>
      <c r="AG376" s="1"/>
      <c r="AH376" s="1"/>
      <c r="AK376" s="1"/>
      <c r="AL376" s="1"/>
      <c r="AM376" s="2"/>
      <c r="AN376" s="2"/>
      <c r="AQ376" s="1"/>
      <c r="BG376" s="1"/>
    </row>
    <row r="377" spans="15:59">
      <c r="O377" s="1"/>
      <c r="P377" s="1"/>
      <c r="AA377" s="1"/>
      <c r="AB377" s="1"/>
      <c r="AG377" s="1"/>
      <c r="AH377" s="1"/>
      <c r="AK377" s="1"/>
      <c r="AL377" s="1"/>
      <c r="AM377" s="2"/>
      <c r="AN377" s="2"/>
      <c r="AQ377" s="1"/>
      <c r="BG377" s="1"/>
    </row>
    <row r="378" spans="15:59">
      <c r="O378" s="1"/>
      <c r="P378" s="1"/>
      <c r="AA378" s="1"/>
      <c r="AB378" s="1"/>
      <c r="AG378" s="1"/>
      <c r="AH378" s="1"/>
      <c r="AK378" s="1"/>
      <c r="AL378" s="1"/>
      <c r="AM378" s="2"/>
      <c r="AN378" s="2"/>
      <c r="AQ378" s="1"/>
      <c r="BG378" s="1"/>
    </row>
    <row r="379" spans="15:59">
      <c r="O379" s="1"/>
      <c r="P379" s="1"/>
      <c r="AA379" s="1"/>
      <c r="AB379" s="1"/>
      <c r="AG379" s="1"/>
      <c r="AH379" s="1"/>
      <c r="AK379" s="1"/>
      <c r="AL379" s="1"/>
      <c r="AM379" s="2"/>
      <c r="AN379" s="2"/>
      <c r="AQ379" s="1"/>
      <c r="BG379" s="1"/>
    </row>
    <row r="380" spans="15:59">
      <c r="O380" s="1"/>
      <c r="P380" s="1"/>
      <c r="AA380" s="1"/>
      <c r="AB380" s="1"/>
      <c r="AG380" s="1"/>
      <c r="AH380" s="1"/>
      <c r="AK380" s="1"/>
      <c r="AL380" s="1"/>
      <c r="AM380" s="2"/>
      <c r="AN380" s="2"/>
      <c r="AQ380" s="1"/>
      <c r="BG380" s="1"/>
    </row>
    <row r="381" spans="15:59">
      <c r="O381" s="1"/>
      <c r="P381" s="1"/>
      <c r="AA381" s="1"/>
      <c r="AB381" s="1"/>
      <c r="AG381" s="1"/>
      <c r="AH381" s="1"/>
      <c r="AK381" s="1"/>
      <c r="AL381" s="1"/>
      <c r="AM381" s="2"/>
      <c r="AN381" s="2"/>
      <c r="AQ381" s="1"/>
      <c r="BG381" s="1"/>
    </row>
    <row r="382" spans="15:59">
      <c r="O382" s="1"/>
      <c r="P382" s="1"/>
      <c r="AA382" s="1"/>
      <c r="AB382" s="1"/>
      <c r="AG382" s="1"/>
      <c r="AH382" s="1"/>
      <c r="AK382" s="1"/>
      <c r="AL382" s="1"/>
      <c r="AM382" s="2"/>
      <c r="AN382" s="2"/>
      <c r="AQ382" s="1"/>
      <c r="BG382" s="1"/>
    </row>
    <row r="383" spans="15:59">
      <c r="O383" s="1"/>
      <c r="P383" s="1"/>
      <c r="AA383" s="1"/>
      <c r="AB383" s="1"/>
      <c r="AG383" s="1"/>
      <c r="AH383" s="1"/>
      <c r="AK383" s="1"/>
      <c r="AL383" s="1"/>
      <c r="AM383" s="2"/>
      <c r="AN383" s="2"/>
      <c r="AQ383" s="1"/>
      <c r="BG383" s="1"/>
    </row>
    <row r="384" spans="15:59">
      <c r="O384" s="1"/>
      <c r="P384" s="1"/>
      <c r="AA384" s="1"/>
      <c r="AB384" s="1"/>
      <c r="AG384" s="1"/>
      <c r="AH384" s="1"/>
      <c r="AK384" s="1"/>
      <c r="AL384" s="1"/>
      <c r="AM384" s="2"/>
      <c r="AN384" s="2"/>
      <c r="AQ384" s="1"/>
      <c r="BG384" s="1"/>
    </row>
    <row r="385" spans="15:59">
      <c r="O385" s="1"/>
      <c r="P385" s="1"/>
      <c r="AA385" s="1"/>
      <c r="AB385" s="1"/>
      <c r="AG385" s="1"/>
      <c r="AH385" s="1"/>
      <c r="AK385" s="1"/>
      <c r="AL385" s="1"/>
      <c r="AM385" s="2"/>
      <c r="AN385" s="2"/>
      <c r="AQ385" s="1"/>
      <c r="BG385" s="1"/>
    </row>
    <row r="386" spans="15:59">
      <c r="O386" s="1"/>
      <c r="P386" s="1"/>
      <c r="AA386" s="1"/>
      <c r="AB386" s="1"/>
      <c r="AG386" s="1"/>
      <c r="AH386" s="1"/>
      <c r="AK386" s="1"/>
      <c r="AL386" s="1"/>
      <c r="AM386" s="2"/>
      <c r="AN386" s="2"/>
      <c r="AQ386" s="1"/>
      <c r="BG386" s="1"/>
    </row>
    <row r="387" spans="15:59">
      <c r="O387" s="1"/>
      <c r="P387" s="1"/>
      <c r="AA387" s="1"/>
      <c r="AB387" s="1"/>
      <c r="AG387" s="1"/>
      <c r="AH387" s="1"/>
      <c r="AK387" s="1"/>
      <c r="AL387" s="1"/>
      <c r="AM387" s="2"/>
      <c r="AN387" s="2"/>
      <c r="AQ387" s="1"/>
      <c r="BG387" s="1"/>
    </row>
    <row r="388" spans="15:59">
      <c r="O388" s="1"/>
      <c r="P388" s="1"/>
      <c r="AA388" s="1"/>
      <c r="AB388" s="1"/>
      <c r="AG388" s="1"/>
      <c r="AH388" s="1"/>
      <c r="AK388" s="1"/>
      <c r="AL388" s="1"/>
      <c r="AM388" s="2"/>
      <c r="AN388" s="2"/>
      <c r="AQ388" s="1"/>
      <c r="BG388" s="1"/>
    </row>
    <row r="389" spans="15:59">
      <c r="O389" s="1"/>
      <c r="P389" s="1"/>
      <c r="AA389" s="1"/>
      <c r="AB389" s="1"/>
      <c r="AG389" s="1"/>
      <c r="AH389" s="1"/>
      <c r="AK389" s="1"/>
      <c r="AL389" s="1"/>
      <c r="AM389" s="2"/>
      <c r="AN389" s="2"/>
      <c r="AQ389" s="1"/>
      <c r="BG389" s="1"/>
    </row>
    <row r="390" spans="15:59">
      <c r="O390" s="1"/>
      <c r="P390" s="1"/>
      <c r="AA390" s="1"/>
      <c r="AB390" s="1"/>
      <c r="AG390" s="1"/>
      <c r="AH390" s="1"/>
      <c r="AK390" s="1"/>
      <c r="AL390" s="1"/>
      <c r="AM390" s="2"/>
      <c r="AN390" s="2"/>
      <c r="AQ390" s="1"/>
      <c r="BG390" s="1"/>
    </row>
    <row r="391" spans="15:59">
      <c r="O391" s="1"/>
      <c r="P391" s="1"/>
      <c r="AA391" s="1"/>
      <c r="AB391" s="1"/>
      <c r="AG391" s="1"/>
      <c r="AH391" s="1"/>
      <c r="AK391" s="1"/>
      <c r="AL391" s="1"/>
      <c r="AM391" s="2"/>
      <c r="AN391" s="2"/>
      <c r="AQ391" s="1"/>
      <c r="BG391" s="1"/>
    </row>
    <row r="392" spans="15:59">
      <c r="O392" s="1"/>
      <c r="P392" s="1"/>
      <c r="AA392" s="1"/>
      <c r="AB392" s="1"/>
      <c r="AG392" s="1"/>
      <c r="AH392" s="1"/>
      <c r="AK392" s="1"/>
      <c r="AL392" s="1"/>
      <c r="AM392" s="2"/>
      <c r="AN392" s="2"/>
      <c r="AQ392" s="1"/>
      <c r="BG392" s="1"/>
    </row>
    <row r="393" spans="15:59">
      <c r="O393" s="1"/>
      <c r="P393" s="1"/>
      <c r="AA393" s="1"/>
      <c r="AB393" s="1"/>
      <c r="AG393" s="1"/>
      <c r="AH393" s="1"/>
      <c r="AK393" s="1"/>
      <c r="AL393" s="1"/>
      <c r="AM393" s="2"/>
      <c r="AN393" s="2"/>
      <c r="AQ393" s="1"/>
      <c r="BG393" s="1"/>
    </row>
    <row r="394" spans="15:59">
      <c r="O394" s="1"/>
      <c r="P394" s="1"/>
      <c r="AA394" s="1"/>
      <c r="AB394" s="1"/>
      <c r="AG394" s="1"/>
      <c r="AH394" s="1"/>
      <c r="AK394" s="1"/>
      <c r="AL394" s="1"/>
      <c r="AM394" s="2"/>
      <c r="AN394" s="2"/>
      <c r="AQ394" s="1"/>
      <c r="BG394" s="1"/>
    </row>
    <row r="395" spans="15:59">
      <c r="O395" s="1"/>
      <c r="P395" s="1"/>
      <c r="AA395" s="1"/>
      <c r="AB395" s="1"/>
      <c r="AG395" s="1"/>
      <c r="AH395" s="1"/>
      <c r="AK395" s="1"/>
      <c r="AL395" s="1"/>
      <c r="AM395" s="2"/>
      <c r="AN395" s="2"/>
      <c r="AQ395" s="1"/>
      <c r="BG395" s="1"/>
    </row>
    <row r="396" spans="15:59">
      <c r="O396" s="1"/>
      <c r="P396" s="1"/>
      <c r="AA396" s="1"/>
      <c r="AB396" s="1"/>
      <c r="AG396" s="1"/>
      <c r="AH396" s="1"/>
      <c r="AK396" s="1"/>
      <c r="AL396" s="1"/>
      <c r="AM396" s="2"/>
      <c r="AN396" s="2"/>
      <c r="AQ396" s="1"/>
      <c r="BG396" s="1"/>
    </row>
    <row r="397" spans="15:59">
      <c r="O397" s="1"/>
      <c r="P397" s="1"/>
      <c r="AA397" s="1"/>
      <c r="AB397" s="1"/>
      <c r="AG397" s="1"/>
      <c r="AH397" s="1"/>
      <c r="AK397" s="1"/>
      <c r="AL397" s="1"/>
      <c r="AM397" s="2"/>
      <c r="AN397" s="2"/>
      <c r="AQ397" s="1"/>
      <c r="BG397" s="1"/>
    </row>
    <row r="398" spans="15:59">
      <c r="O398" s="1"/>
      <c r="P398" s="1"/>
      <c r="AA398" s="1"/>
      <c r="AB398" s="1"/>
      <c r="AG398" s="1"/>
      <c r="AH398" s="1"/>
      <c r="AK398" s="1"/>
      <c r="AL398" s="1"/>
      <c r="AM398" s="2"/>
      <c r="AN398" s="2"/>
      <c r="AQ398" s="1"/>
      <c r="BG398" s="1"/>
    </row>
    <row r="399" spans="15:59">
      <c r="O399" s="1"/>
      <c r="P399" s="1"/>
      <c r="AA399" s="1"/>
      <c r="AB399" s="1"/>
      <c r="AG399" s="1"/>
      <c r="AH399" s="1"/>
      <c r="AK399" s="1"/>
      <c r="AL399" s="1"/>
      <c r="AM399" s="2"/>
      <c r="AN399" s="2"/>
      <c r="AQ399" s="1"/>
      <c r="BG399" s="1"/>
    </row>
    <row r="400" spans="15:59">
      <c r="O400" s="1"/>
      <c r="P400" s="1"/>
      <c r="AA400" s="1"/>
      <c r="AB400" s="1"/>
      <c r="AG400" s="1"/>
      <c r="AH400" s="1"/>
      <c r="AK400" s="1"/>
      <c r="AL400" s="1"/>
      <c r="AM400" s="2"/>
      <c r="AN400" s="2"/>
      <c r="AQ400" s="1"/>
      <c r="BG400" s="1"/>
    </row>
    <row r="401" spans="15:59">
      <c r="O401" s="1"/>
      <c r="P401" s="1"/>
      <c r="AA401" s="1"/>
      <c r="AB401" s="1"/>
      <c r="AG401" s="1"/>
      <c r="AH401" s="1"/>
      <c r="AK401" s="1"/>
      <c r="AL401" s="1"/>
      <c r="AM401" s="2"/>
      <c r="AN401" s="2"/>
      <c r="AQ401" s="1"/>
      <c r="BG401" s="1"/>
    </row>
    <row r="402" spans="15:59">
      <c r="O402" s="1"/>
      <c r="P402" s="1"/>
      <c r="AA402" s="1"/>
      <c r="AB402" s="1"/>
      <c r="AG402" s="1"/>
      <c r="AH402" s="1"/>
      <c r="AK402" s="1"/>
      <c r="AL402" s="1"/>
      <c r="AM402" s="2"/>
      <c r="AN402" s="2"/>
      <c r="AQ402" s="1"/>
      <c r="BG402" s="1"/>
    </row>
    <row r="403" spans="15:59">
      <c r="O403" s="1"/>
      <c r="P403" s="1"/>
      <c r="AA403" s="1"/>
      <c r="AB403" s="1"/>
      <c r="AG403" s="1"/>
      <c r="AH403" s="1"/>
      <c r="AK403" s="1"/>
      <c r="AL403" s="1"/>
      <c r="AM403" s="2"/>
      <c r="AN403" s="2"/>
      <c r="AQ403" s="1"/>
      <c r="BG403" s="1"/>
    </row>
    <row r="404" spans="15:59">
      <c r="O404" s="1"/>
      <c r="P404" s="1"/>
      <c r="AA404" s="1"/>
      <c r="AB404" s="1"/>
      <c r="AG404" s="1"/>
      <c r="AH404" s="1"/>
      <c r="AK404" s="1"/>
      <c r="AL404" s="1"/>
      <c r="AM404" s="2"/>
      <c r="AN404" s="2"/>
      <c r="AQ404" s="1"/>
      <c r="BG404" s="1"/>
    </row>
    <row r="405" spans="15:59">
      <c r="O405" s="1"/>
      <c r="P405" s="1"/>
      <c r="AA405" s="1"/>
      <c r="AB405" s="1"/>
      <c r="AG405" s="1"/>
      <c r="AH405" s="1"/>
      <c r="AK405" s="1"/>
      <c r="AL405" s="1"/>
      <c r="AM405" s="2"/>
      <c r="AN405" s="2"/>
      <c r="AQ405" s="1"/>
      <c r="BG405" s="1"/>
    </row>
    <row r="406" spans="15:59">
      <c r="O406" s="1"/>
      <c r="P406" s="1"/>
      <c r="AA406" s="1"/>
      <c r="AB406" s="1"/>
      <c r="AG406" s="1"/>
      <c r="AH406" s="1"/>
      <c r="AK406" s="1"/>
      <c r="AL406" s="1"/>
      <c r="AM406" s="2"/>
      <c r="AN406" s="2"/>
      <c r="AQ406" s="1"/>
      <c r="BG406" s="1"/>
    </row>
    <row r="407" spans="15:59">
      <c r="O407" s="1"/>
      <c r="P407" s="1"/>
      <c r="AA407" s="1"/>
      <c r="AB407" s="1"/>
      <c r="AG407" s="1"/>
      <c r="AH407" s="1"/>
      <c r="AK407" s="1"/>
      <c r="AL407" s="1"/>
      <c r="AM407" s="2"/>
      <c r="AN407" s="2"/>
      <c r="AQ407" s="1"/>
      <c r="BG407" s="1"/>
    </row>
    <row r="408" spans="15:59">
      <c r="O408" s="1"/>
      <c r="P408" s="1"/>
      <c r="AA408" s="1"/>
      <c r="AB408" s="1"/>
      <c r="AG408" s="1"/>
      <c r="AH408" s="1"/>
      <c r="AK408" s="1"/>
      <c r="AL408" s="1"/>
      <c r="AM408" s="2"/>
      <c r="AN408" s="2"/>
      <c r="AQ408" s="1"/>
      <c r="BG408" s="1"/>
    </row>
    <row r="409" spans="15:59">
      <c r="O409" s="1"/>
      <c r="P409" s="1"/>
      <c r="AA409" s="1"/>
      <c r="AB409" s="1"/>
      <c r="AG409" s="1"/>
      <c r="AH409" s="1"/>
      <c r="AK409" s="1"/>
      <c r="AL409" s="1"/>
      <c r="AM409" s="2"/>
      <c r="AN409" s="2"/>
      <c r="AQ409" s="1"/>
      <c r="BG409" s="1"/>
    </row>
    <row r="410" spans="15:59">
      <c r="O410" s="1"/>
      <c r="P410" s="1"/>
      <c r="AA410" s="1"/>
      <c r="AB410" s="1"/>
      <c r="AG410" s="1"/>
      <c r="AH410" s="1"/>
      <c r="AK410" s="1"/>
      <c r="AL410" s="1"/>
      <c r="AM410" s="2"/>
      <c r="AN410" s="2"/>
      <c r="AQ410" s="1"/>
      <c r="BG410" s="1"/>
    </row>
    <row r="411" spans="15:59">
      <c r="O411" s="1"/>
      <c r="P411" s="1"/>
      <c r="AA411" s="1"/>
      <c r="AB411" s="1"/>
      <c r="AG411" s="1"/>
      <c r="AH411" s="1"/>
      <c r="AK411" s="1"/>
      <c r="AL411" s="1"/>
      <c r="AM411" s="2"/>
      <c r="AN411" s="2"/>
      <c r="AQ411" s="1"/>
      <c r="BG411" s="1"/>
    </row>
    <row r="412" spans="15:59">
      <c r="O412" s="1"/>
      <c r="P412" s="1"/>
      <c r="AA412" s="1"/>
      <c r="AB412" s="1"/>
      <c r="AG412" s="1"/>
      <c r="AH412" s="1"/>
      <c r="AK412" s="1"/>
      <c r="AL412" s="1"/>
      <c r="AM412" s="2"/>
      <c r="AN412" s="2"/>
      <c r="AQ412" s="1"/>
      <c r="BG412" s="1"/>
    </row>
    <row r="413" spans="15:59">
      <c r="O413" s="1"/>
      <c r="P413" s="1"/>
      <c r="AA413" s="1"/>
      <c r="AB413" s="1"/>
      <c r="AG413" s="1"/>
      <c r="AH413" s="1"/>
      <c r="AK413" s="1"/>
      <c r="AL413" s="1"/>
      <c r="AM413" s="2"/>
      <c r="AN413" s="2"/>
      <c r="AQ413" s="1"/>
      <c r="BG413" s="1"/>
    </row>
    <row r="414" spans="15:59">
      <c r="O414" s="1"/>
      <c r="P414" s="1"/>
      <c r="AA414" s="1"/>
      <c r="AB414" s="1"/>
      <c r="AG414" s="1"/>
      <c r="AH414" s="1"/>
      <c r="AK414" s="1"/>
      <c r="AL414" s="1"/>
      <c r="AM414" s="2"/>
      <c r="AN414" s="2"/>
      <c r="AQ414" s="1"/>
      <c r="BG414" s="1"/>
    </row>
    <row r="415" spans="15:59">
      <c r="O415" s="1"/>
      <c r="P415" s="1"/>
      <c r="AA415" s="1"/>
      <c r="AB415" s="1"/>
      <c r="AG415" s="1"/>
      <c r="AH415" s="1"/>
      <c r="AK415" s="1"/>
      <c r="AL415" s="1"/>
      <c r="AM415" s="2"/>
      <c r="AN415" s="2"/>
      <c r="AQ415" s="1"/>
      <c r="BG415" s="1"/>
    </row>
    <row r="416" spans="15:59">
      <c r="O416" s="1"/>
      <c r="P416" s="1"/>
      <c r="AA416" s="1"/>
      <c r="AB416" s="1"/>
      <c r="AG416" s="1"/>
      <c r="AH416" s="1"/>
      <c r="AK416" s="1"/>
      <c r="AL416" s="1"/>
      <c r="AM416" s="2"/>
      <c r="AN416" s="2"/>
      <c r="AQ416" s="1"/>
      <c r="BG416" s="1"/>
    </row>
    <row r="417" spans="15:59">
      <c r="O417" s="1"/>
      <c r="P417" s="1"/>
      <c r="AA417" s="1"/>
      <c r="AB417" s="1"/>
      <c r="AG417" s="1"/>
      <c r="AH417" s="1"/>
      <c r="AK417" s="1"/>
      <c r="AL417" s="1"/>
      <c r="AM417" s="2"/>
      <c r="AN417" s="2"/>
      <c r="AQ417" s="1"/>
      <c r="BG417" s="1"/>
    </row>
    <row r="418" spans="15:59">
      <c r="O418" s="1"/>
      <c r="P418" s="1"/>
      <c r="AA418" s="1"/>
      <c r="AB418" s="1"/>
      <c r="AG418" s="1"/>
      <c r="AH418" s="1"/>
      <c r="AK418" s="1"/>
      <c r="AL418" s="1"/>
      <c r="AM418" s="2"/>
      <c r="AN418" s="2"/>
      <c r="AQ418" s="1"/>
      <c r="BG418" s="1"/>
    </row>
    <row r="419" spans="15:59">
      <c r="O419" s="1"/>
      <c r="P419" s="1"/>
      <c r="AA419" s="1"/>
      <c r="AB419" s="1"/>
      <c r="AG419" s="1"/>
      <c r="AH419" s="1"/>
      <c r="AK419" s="1"/>
      <c r="AL419" s="1"/>
      <c r="AM419" s="2"/>
      <c r="AN419" s="2"/>
      <c r="AQ419" s="1"/>
      <c r="BG419" s="1"/>
    </row>
    <row r="420" spans="15:59">
      <c r="O420" s="1"/>
      <c r="P420" s="1"/>
      <c r="AA420" s="1"/>
      <c r="AB420" s="1"/>
      <c r="AG420" s="1"/>
      <c r="AH420" s="1"/>
      <c r="AK420" s="1"/>
      <c r="AL420" s="1"/>
      <c r="AM420" s="2"/>
      <c r="AN420" s="2"/>
      <c r="AQ420" s="1"/>
      <c r="BG420" s="1"/>
    </row>
    <row r="421" spans="15:59">
      <c r="O421" s="1"/>
      <c r="P421" s="1"/>
      <c r="AA421" s="1"/>
      <c r="AB421" s="1"/>
      <c r="AG421" s="1"/>
      <c r="AH421" s="1"/>
      <c r="AK421" s="1"/>
      <c r="AL421" s="1"/>
      <c r="AM421" s="2"/>
      <c r="AN421" s="2"/>
      <c r="AQ421" s="1"/>
      <c r="BG421" s="1"/>
    </row>
    <row r="422" spans="15:59">
      <c r="O422" s="1"/>
      <c r="P422" s="1"/>
      <c r="AA422" s="1"/>
      <c r="AB422" s="1"/>
      <c r="AG422" s="1"/>
      <c r="AH422" s="1"/>
      <c r="AK422" s="1"/>
      <c r="AL422" s="1"/>
      <c r="AM422" s="2"/>
      <c r="AN422" s="2"/>
      <c r="AQ422" s="1"/>
      <c r="BG422" s="1"/>
    </row>
    <row r="423" spans="15:59">
      <c r="O423" s="1"/>
      <c r="P423" s="1"/>
      <c r="AA423" s="1"/>
      <c r="AB423" s="1"/>
      <c r="AG423" s="1"/>
      <c r="AH423" s="1"/>
      <c r="AK423" s="1"/>
      <c r="AL423" s="1"/>
      <c r="AM423" s="2"/>
      <c r="AN423" s="2"/>
      <c r="AQ423" s="1"/>
      <c r="BG423" s="1"/>
    </row>
    <row r="424" spans="15:59">
      <c r="O424" s="1"/>
      <c r="P424" s="1"/>
      <c r="AA424" s="1"/>
      <c r="AB424" s="1"/>
      <c r="AG424" s="1"/>
      <c r="AH424" s="1"/>
      <c r="AK424" s="1"/>
      <c r="AL424" s="1"/>
      <c r="AM424" s="2"/>
      <c r="AN424" s="2"/>
      <c r="AQ424" s="1"/>
      <c r="BG424" s="1"/>
    </row>
    <row r="425" spans="15:59">
      <c r="O425" s="1"/>
      <c r="P425" s="1"/>
      <c r="AA425" s="1"/>
      <c r="AB425" s="1"/>
      <c r="AG425" s="1"/>
      <c r="AH425" s="1"/>
      <c r="AK425" s="1"/>
      <c r="AL425" s="1"/>
      <c r="AM425" s="2"/>
      <c r="AN425" s="2"/>
      <c r="AQ425" s="1"/>
      <c r="BG425" s="1"/>
    </row>
    <row r="426" spans="15:59">
      <c r="O426" s="1"/>
      <c r="P426" s="1"/>
      <c r="AA426" s="1"/>
      <c r="AB426" s="1"/>
      <c r="AG426" s="1"/>
      <c r="AH426" s="1"/>
      <c r="AK426" s="1"/>
      <c r="AL426" s="1"/>
      <c r="AM426" s="2"/>
      <c r="AN426" s="2"/>
      <c r="AQ426" s="1"/>
      <c r="BG426" s="1"/>
    </row>
    <row r="427" spans="15:59">
      <c r="O427" s="1"/>
      <c r="P427" s="1"/>
      <c r="AA427" s="1"/>
      <c r="AB427" s="1"/>
      <c r="AG427" s="1"/>
      <c r="AH427" s="1"/>
      <c r="AK427" s="1"/>
      <c r="AL427" s="1"/>
      <c r="AM427" s="2"/>
      <c r="AN427" s="2"/>
      <c r="AQ427" s="1"/>
      <c r="BG427" s="1"/>
    </row>
    <row r="428" spans="15:59">
      <c r="O428" s="1"/>
      <c r="P428" s="1"/>
      <c r="AA428" s="1"/>
      <c r="AB428" s="1"/>
      <c r="AG428" s="1"/>
      <c r="AH428" s="1"/>
      <c r="AK428" s="1"/>
      <c r="AL428" s="1"/>
      <c r="AM428" s="2"/>
      <c r="AN428" s="2"/>
      <c r="AQ428" s="1"/>
      <c r="BG428" s="1"/>
    </row>
    <row r="429" spans="15:59">
      <c r="O429" s="1"/>
      <c r="P429" s="1"/>
      <c r="AA429" s="1"/>
      <c r="AB429" s="1"/>
      <c r="AG429" s="1"/>
      <c r="AH429" s="1"/>
      <c r="AK429" s="1"/>
      <c r="AL429" s="1"/>
      <c r="AM429" s="2"/>
      <c r="AN429" s="2"/>
      <c r="AQ429" s="1"/>
      <c r="BG429" s="1"/>
    </row>
    <row r="430" spans="15:59">
      <c r="O430" s="1"/>
      <c r="P430" s="1"/>
      <c r="AA430" s="1"/>
      <c r="AB430" s="1"/>
      <c r="AG430" s="1"/>
      <c r="AH430" s="1"/>
      <c r="AK430" s="1"/>
      <c r="AL430" s="1"/>
      <c r="AM430" s="2"/>
      <c r="AN430" s="2"/>
      <c r="AQ430" s="1"/>
      <c r="BG430" s="1"/>
    </row>
    <row r="431" spans="15:59">
      <c r="O431" s="1"/>
      <c r="P431" s="1"/>
      <c r="AA431" s="1"/>
      <c r="AB431" s="1"/>
      <c r="AG431" s="1"/>
      <c r="AH431" s="1"/>
      <c r="AK431" s="1"/>
      <c r="AL431" s="1"/>
      <c r="AM431" s="2"/>
      <c r="AN431" s="2"/>
      <c r="AQ431" s="1"/>
      <c r="BG431" s="1"/>
    </row>
    <row r="432" spans="15:59">
      <c r="O432" s="1"/>
      <c r="P432" s="1"/>
      <c r="AA432" s="1"/>
      <c r="AB432" s="1"/>
      <c r="AG432" s="1"/>
      <c r="AH432" s="1"/>
      <c r="AK432" s="1"/>
      <c r="AL432" s="1"/>
      <c r="AM432" s="2"/>
      <c r="AN432" s="2"/>
      <c r="AQ432" s="1"/>
      <c r="BG432" s="1"/>
    </row>
    <row r="433" spans="15:59">
      <c r="O433" s="1"/>
      <c r="P433" s="1"/>
      <c r="AA433" s="1"/>
      <c r="AB433" s="1"/>
      <c r="AG433" s="1"/>
      <c r="AH433" s="1"/>
      <c r="AK433" s="1"/>
      <c r="AL433" s="1"/>
      <c r="AM433" s="2"/>
      <c r="AN433" s="2"/>
      <c r="AQ433" s="1"/>
      <c r="BG433" s="1"/>
    </row>
    <row r="434" spans="15:59">
      <c r="O434" s="1"/>
      <c r="P434" s="1"/>
      <c r="AA434" s="1"/>
      <c r="AB434" s="1"/>
      <c r="AG434" s="1"/>
      <c r="AH434" s="1"/>
      <c r="AK434" s="1"/>
      <c r="AL434" s="1"/>
      <c r="AM434" s="2"/>
      <c r="AN434" s="2"/>
      <c r="AQ434" s="1"/>
      <c r="BG434" s="1"/>
    </row>
    <row r="435" spans="15:59">
      <c r="O435" s="1"/>
      <c r="P435" s="1"/>
      <c r="AA435" s="1"/>
      <c r="AB435" s="1"/>
      <c r="AG435" s="1"/>
      <c r="AH435" s="1"/>
      <c r="AK435" s="1"/>
      <c r="AL435" s="1"/>
      <c r="AM435" s="2"/>
      <c r="AN435" s="2"/>
      <c r="AQ435" s="1"/>
      <c r="BG435" s="1"/>
    </row>
    <row r="436" spans="15:59">
      <c r="O436" s="1"/>
      <c r="P436" s="1"/>
      <c r="AA436" s="1"/>
      <c r="AB436" s="1"/>
      <c r="AG436" s="1"/>
      <c r="AH436" s="1"/>
      <c r="AK436" s="1"/>
      <c r="AL436" s="1"/>
      <c r="AM436" s="2"/>
      <c r="AN436" s="2"/>
      <c r="AQ436" s="1"/>
      <c r="BG436" s="1"/>
    </row>
    <row r="437" spans="15:59">
      <c r="O437" s="1"/>
      <c r="P437" s="1"/>
      <c r="AA437" s="1"/>
      <c r="AB437" s="1"/>
      <c r="AG437" s="1"/>
      <c r="AH437" s="1"/>
      <c r="AK437" s="1"/>
      <c r="AL437" s="1"/>
      <c r="AM437" s="2"/>
      <c r="AN437" s="2"/>
      <c r="AQ437" s="1"/>
      <c r="BG437" s="1"/>
    </row>
    <row r="438" spans="15:59">
      <c r="O438" s="1"/>
      <c r="P438" s="1"/>
      <c r="AA438" s="1"/>
      <c r="AB438" s="1"/>
      <c r="AG438" s="1"/>
      <c r="AH438" s="1"/>
      <c r="AK438" s="1"/>
      <c r="AL438" s="1"/>
      <c r="AM438" s="2"/>
      <c r="AN438" s="2"/>
      <c r="AQ438" s="1"/>
      <c r="BG438" s="1"/>
    </row>
    <row r="439" spans="15:59">
      <c r="O439" s="1"/>
      <c r="P439" s="1"/>
      <c r="AA439" s="1"/>
      <c r="AB439" s="1"/>
      <c r="AG439" s="1"/>
      <c r="AH439" s="1"/>
      <c r="AK439" s="1"/>
      <c r="AL439" s="1"/>
      <c r="AM439" s="2"/>
      <c r="AN439" s="2"/>
      <c r="AQ439" s="1"/>
      <c r="BG439" s="1"/>
    </row>
    <row r="440" spans="15:59">
      <c r="O440" s="1"/>
      <c r="P440" s="1"/>
      <c r="AA440" s="1"/>
      <c r="AB440" s="1"/>
      <c r="AG440" s="1"/>
      <c r="AH440" s="1"/>
      <c r="AK440" s="1"/>
      <c r="AL440" s="1"/>
      <c r="AM440" s="2"/>
      <c r="AN440" s="2"/>
      <c r="AQ440" s="1"/>
      <c r="BG440" s="1"/>
    </row>
    <row r="441" spans="15:59">
      <c r="O441" s="1"/>
      <c r="P441" s="1"/>
      <c r="AA441" s="1"/>
      <c r="AB441" s="1"/>
      <c r="AG441" s="1"/>
      <c r="AH441" s="1"/>
      <c r="AK441" s="1"/>
      <c r="AL441" s="1"/>
      <c r="AM441" s="2"/>
      <c r="AN441" s="2"/>
      <c r="AQ441" s="1"/>
      <c r="BG441" s="1"/>
    </row>
    <row r="442" spans="15:59">
      <c r="O442" s="1"/>
      <c r="P442" s="1"/>
      <c r="AA442" s="1"/>
      <c r="AB442" s="1"/>
      <c r="AG442" s="1"/>
      <c r="AH442" s="1"/>
      <c r="AK442" s="1"/>
      <c r="AL442" s="1"/>
      <c r="AM442" s="2"/>
      <c r="AN442" s="2"/>
      <c r="AQ442" s="1"/>
      <c r="BG442" s="1"/>
    </row>
    <row r="443" spans="15:59">
      <c r="O443" s="1"/>
      <c r="P443" s="1"/>
      <c r="AA443" s="1"/>
      <c r="AB443" s="1"/>
      <c r="AG443" s="1"/>
      <c r="AH443" s="1"/>
      <c r="AK443" s="1"/>
      <c r="AL443" s="1"/>
      <c r="AM443" s="2"/>
      <c r="AN443" s="2"/>
      <c r="AQ443" s="1"/>
      <c r="BG443" s="1"/>
    </row>
    <row r="444" spans="15:59">
      <c r="O444" s="1"/>
      <c r="P444" s="1"/>
      <c r="AA444" s="1"/>
      <c r="AB444" s="1"/>
      <c r="AG444" s="1"/>
      <c r="AH444" s="1"/>
      <c r="AK444" s="1"/>
      <c r="AL444" s="1"/>
      <c r="AM444" s="2"/>
      <c r="AN444" s="2"/>
      <c r="AQ444" s="1"/>
      <c r="BG444" s="1"/>
    </row>
    <row r="445" spans="15:59">
      <c r="O445" s="1"/>
      <c r="P445" s="1"/>
      <c r="AA445" s="1"/>
      <c r="AB445" s="1"/>
      <c r="AG445" s="1"/>
      <c r="AH445" s="1"/>
      <c r="AK445" s="1"/>
      <c r="AL445" s="1"/>
      <c r="AM445" s="2"/>
      <c r="AN445" s="2"/>
      <c r="AQ445" s="1"/>
      <c r="BG445" s="1"/>
    </row>
    <row r="446" spans="15:59">
      <c r="O446" s="1"/>
      <c r="P446" s="1"/>
      <c r="AA446" s="1"/>
      <c r="AB446" s="1"/>
      <c r="AG446" s="1"/>
      <c r="AH446" s="1"/>
      <c r="AK446" s="1"/>
      <c r="AL446" s="1"/>
      <c r="AM446" s="2"/>
      <c r="AN446" s="2"/>
      <c r="AQ446" s="1"/>
      <c r="BG446" s="1"/>
    </row>
    <row r="447" spans="15:59">
      <c r="O447" s="1"/>
      <c r="P447" s="1"/>
      <c r="AA447" s="1"/>
      <c r="AB447" s="1"/>
      <c r="AG447" s="1"/>
      <c r="AH447" s="1"/>
      <c r="AK447" s="1"/>
      <c r="AL447" s="1"/>
      <c r="AM447" s="2"/>
      <c r="AN447" s="2"/>
      <c r="AQ447" s="1"/>
      <c r="BG447" s="1"/>
    </row>
    <row r="448" spans="15:59">
      <c r="O448" s="1"/>
      <c r="P448" s="1"/>
      <c r="AA448" s="1"/>
      <c r="AB448" s="1"/>
      <c r="AG448" s="1"/>
      <c r="AH448" s="1"/>
      <c r="AK448" s="1"/>
      <c r="AL448" s="1"/>
      <c r="AM448" s="2"/>
      <c r="AN448" s="2"/>
      <c r="AQ448" s="1"/>
      <c r="BG448" s="1"/>
    </row>
    <row r="449" spans="15:59">
      <c r="O449" s="1"/>
      <c r="P449" s="1"/>
      <c r="AA449" s="1"/>
      <c r="AB449" s="1"/>
      <c r="AG449" s="1"/>
      <c r="AH449" s="1"/>
      <c r="AK449" s="1"/>
      <c r="AL449" s="1"/>
      <c r="AM449" s="2"/>
      <c r="AN449" s="2"/>
      <c r="AQ449" s="1"/>
      <c r="BG449" s="1"/>
    </row>
    <row r="450" spans="15:59">
      <c r="O450" s="1"/>
      <c r="P450" s="1"/>
      <c r="AA450" s="1"/>
      <c r="AB450" s="1"/>
      <c r="AG450" s="1"/>
      <c r="AH450" s="1"/>
      <c r="AK450" s="1"/>
      <c r="AL450" s="1"/>
      <c r="AM450" s="2"/>
      <c r="AN450" s="2"/>
      <c r="AQ450" s="1"/>
      <c r="BG450" s="1"/>
    </row>
    <row r="451" spans="15:59">
      <c r="O451" s="1"/>
      <c r="P451" s="1"/>
      <c r="AA451" s="1"/>
      <c r="AB451" s="1"/>
      <c r="AG451" s="1"/>
      <c r="AH451" s="1"/>
      <c r="AK451" s="1"/>
      <c r="AL451" s="1"/>
      <c r="AM451" s="2"/>
      <c r="AN451" s="2"/>
      <c r="AQ451" s="1"/>
      <c r="BG451" s="1"/>
    </row>
    <row r="452" spans="15:59">
      <c r="O452" s="1"/>
      <c r="P452" s="1"/>
      <c r="AA452" s="1"/>
      <c r="AB452" s="1"/>
      <c r="AG452" s="1"/>
      <c r="AH452" s="1"/>
      <c r="AK452" s="1"/>
      <c r="AL452" s="1"/>
      <c r="AM452" s="2"/>
      <c r="AN452" s="2"/>
      <c r="AQ452" s="1"/>
      <c r="BG452" s="1"/>
    </row>
    <row r="453" spans="15:59">
      <c r="O453" s="1"/>
      <c r="P453" s="1"/>
      <c r="AA453" s="1"/>
      <c r="AB453" s="1"/>
      <c r="AG453" s="1"/>
      <c r="AH453" s="1"/>
      <c r="AK453" s="1"/>
      <c r="AL453" s="1"/>
      <c r="AM453" s="2"/>
      <c r="AN453" s="2"/>
      <c r="AQ453" s="1"/>
      <c r="BG453" s="1"/>
    </row>
    <row r="454" spans="15:59">
      <c r="O454" s="1"/>
      <c r="P454" s="1"/>
      <c r="AA454" s="1"/>
      <c r="AB454" s="1"/>
      <c r="AG454" s="1"/>
      <c r="AH454" s="1"/>
      <c r="AK454" s="1"/>
      <c r="AL454" s="1"/>
      <c r="AM454" s="2"/>
      <c r="AN454" s="2"/>
      <c r="AQ454" s="1"/>
      <c r="BG454" s="1"/>
    </row>
    <row r="455" spans="15:59">
      <c r="O455" s="1"/>
      <c r="P455" s="1"/>
      <c r="AA455" s="1"/>
      <c r="AB455" s="1"/>
      <c r="AG455" s="1"/>
      <c r="AH455" s="1"/>
      <c r="AK455" s="1"/>
      <c r="AL455" s="1"/>
      <c r="AM455" s="2"/>
      <c r="AN455" s="2"/>
      <c r="AQ455" s="1"/>
      <c r="BG455" s="1"/>
    </row>
    <row r="456" spans="15:59">
      <c r="O456" s="1"/>
      <c r="P456" s="1"/>
      <c r="AA456" s="1"/>
      <c r="AB456" s="1"/>
      <c r="AG456" s="1"/>
      <c r="AH456" s="1"/>
      <c r="AK456" s="1"/>
      <c r="AL456" s="1"/>
      <c r="AM456" s="2"/>
      <c r="AN456" s="2"/>
      <c r="AQ456" s="1"/>
      <c r="BG456" s="1"/>
    </row>
    <row r="457" spans="15:59">
      <c r="O457" s="1"/>
      <c r="P457" s="1"/>
      <c r="AA457" s="1"/>
      <c r="AB457" s="1"/>
      <c r="AG457" s="1"/>
      <c r="AH457" s="1"/>
      <c r="AK457" s="1"/>
      <c r="AL457" s="1"/>
      <c r="AM457" s="2"/>
      <c r="AN457" s="2"/>
      <c r="AQ457" s="1"/>
      <c r="BG457" s="1"/>
    </row>
    <row r="458" spans="15:59">
      <c r="O458" s="1"/>
      <c r="P458" s="1"/>
      <c r="AA458" s="1"/>
      <c r="AB458" s="1"/>
      <c r="AG458" s="1"/>
      <c r="AH458" s="1"/>
      <c r="AK458" s="1"/>
      <c r="AL458" s="1"/>
      <c r="AM458" s="2"/>
      <c r="AN458" s="2"/>
      <c r="AQ458" s="1"/>
      <c r="BG458" s="1"/>
    </row>
    <row r="459" spans="15:59">
      <c r="O459" s="1"/>
      <c r="P459" s="1"/>
      <c r="AA459" s="1"/>
      <c r="AB459" s="1"/>
      <c r="AG459" s="1"/>
      <c r="AH459" s="1"/>
      <c r="AK459" s="1"/>
      <c r="AL459" s="1"/>
      <c r="AM459" s="2"/>
      <c r="AN459" s="2"/>
      <c r="AQ459" s="1"/>
      <c r="BG459" s="1"/>
    </row>
    <row r="460" spans="15:59">
      <c r="O460" s="1"/>
      <c r="P460" s="1"/>
      <c r="AA460" s="1"/>
      <c r="AB460" s="1"/>
      <c r="AG460" s="1"/>
      <c r="AH460" s="1"/>
      <c r="AK460" s="1"/>
      <c r="AL460" s="1"/>
      <c r="AM460" s="2"/>
      <c r="AN460" s="2"/>
      <c r="AQ460" s="1"/>
      <c r="BG460" s="1"/>
    </row>
    <row r="461" spans="15:59">
      <c r="O461" s="1"/>
      <c r="P461" s="1"/>
      <c r="AA461" s="1"/>
      <c r="AB461" s="1"/>
      <c r="AG461" s="1"/>
      <c r="AH461" s="1"/>
      <c r="AK461" s="1"/>
      <c r="AL461" s="1"/>
      <c r="AM461" s="2"/>
      <c r="AN461" s="2"/>
      <c r="AQ461" s="1"/>
      <c r="BG461" s="1"/>
    </row>
    <row r="462" spans="15:59">
      <c r="O462" s="1"/>
      <c r="P462" s="1"/>
      <c r="AA462" s="1"/>
      <c r="AB462" s="1"/>
      <c r="AG462" s="1"/>
      <c r="AH462" s="1"/>
      <c r="AK462" s="1"/>
      <c r="AL462" s="1"/>
      <c r="AM462" s="2"/>
      <c r="AN462" s="2"/>
      <c r="AQ462" s="1"/>
      <c r="BG462" s="1"/>
    </row>
    <row r="463" spans="15:59">
      <c r="O463" s="1"/>
      <c r="P463" s="1"/>
      <c r="AA463" s="1"/>
      <c r="AB463" s="1"/>
      <c r="AG463" s="1"/>
      <c r="AH463" s="1"/>
      <c r="AK463" s="1"/>
      <c r="AL463" s="1"/>
      <c r="AM463" s="2"/>
      <c r="AN463" s="2"/>
      <c r="AQ463" s="1"/>
      <c r="BG463" s="1"/>
    </row>
    <row r="464" spans="15:59">
      <c r="O464" s="1"/>
      <c r="P464" s="1"/>
      <c r="AA464" s="1"/>
      <c r="AB464" s="1"/>
      <c r="AG464" s="1"/>
      <c r="AH464" s="1"/>
      <c r="AK464" s="1"/>
      <c r="AL464" s="1"/>
      <c r="AM464" s="2"/>
      <c r="AN464" s="2"/>
      <c r="AQ464" s="1"/>
      <c r="BG464" s="1"/>
    </row>
    <row r="465" spans="15:59">
      <c r="O465" s="1"/>
      <c r="P465" s="1"/>
      <c r="AA465" s="1"/>
      <c r="AB465" s="1"/>
      <c r="AG465" s="1"/>
      <c r="AH465" s="1"/>
      <c r="AK465" s="1"/>
      <c r="AL465" s="1"/>
      <c r="AM465" s="2"/>
      <c r="AN465" s="2"/>
      <c r="AQ465" s="1"/>
      <c r="BG465" s="1"/>
    </row>
    <row r="466" spans="15:59">
      <c r="O466" s="1"/>
      <c r="P466" s="1"/>
      <c r="AA466" s="1"/>
      <c r="AB466" s="1"/>
      <c r="AG466" s="1"/>
      <c r="AH466" s="1"/>
      <c r="AK466" s="1"/>
      <c r="AL466" s="1"/>
      <c r="AM466" s="2"/>
      <c r="AN466" s="2"/>
      <c r="AQ466" s="1"/>
      <c r="BG466" s="1"/>
    </row>
    <row r="467" spans="15:59">
      <c r="O467" s="1"/>
      <c r="P467" s="1"/>
      <c r="AA467" s="1"/>
      <c r="AB467" s="1"/>
      <c r="AG467" s="1"/>
      <c r="AH467" s="1"/>
      <c r="AK467" s="1"/>
      <c r="AL467" s="1"/>
      <c r="AM467" s="2"/>
      <c r="AN467" s="2"/>
      <c r="AQ467" s="1"/>
      <c r="BG467" s="1"/>
    </row>
    <row r="468" spans="15:59">
      <c r="O468" s="1"/>
      <c r="P468" s="1"/>
      <c r="AA468" s="1"/>
      <c r="AB468" s="1"/>
      <c r="AG468" s="1"/>
      <c r="AH468" s="1"/>
      <c r="AK468" s="1"/>
      <c r="AL468" s="1"/>
      <c r="AM468" s="2"/>
      <c r="AN468" s="2"/>
      <c r="AQ468" s="1"/>
      <c r="BG468" s="1"/>
    </row>
    <row r="469" spans="15:59">
      <c r="O469" s="1"/>
      <c r="P469" s="1"/>
      <c r="AA469" s="1"/>
      <c r="AB469" s="1"/>
      <c r="AG469" s="1"/>
      <c r="AH469" s="1"/>
      <c r="AK469" s="1"/>
      <c r="AL469" s="1"/>
      <c r="AM469" s="2"/>
      <c r="AN469" s="2"/>
      <c r="AQ469" s="1"/>
      <c r="BG469" s="1"/>
    </row>
    <row r="470" spans="15:59">
      <c r="O470" s="1"/>
      <c r="P470" s="1"/>
      <c r="AA470" s="1"/>
      <c r="AB470" s="1"/>
      <c r="AG470" s="1"/>
      <c r="AH470" s="1"/>
      <c r="AK470" s="1"/>
      <c r="AL470" s="1"/>
      <c r="AM470" s="2"/>
      <c r="AN470" s="2"/>
      <c r="AQ470" s="1"/>
      <c r="BG470" s="1"/>
    </row>
    <row r="471" spans="15:59">
      <c r="O471" s="1"/>
      <c r="P471" s="1"/>
      <c r="AA471" s="1"/>
      <c r="AB471" s="1"/>
      <c r="AG471" s="1"/>
      <c r="AH471" s="1"/>
      <c r="AK471" s="1"/>
      <c r="AL471" s="1"/>
      <c r="AM471" s="2"/>
      <c r="AN471" s="2"/>
      <c r="AQ471" s="1"/>
      <c r="BG471" s="1"/>
    </row>
    <row r="472" spans="15:59">
      <c r="O472" s="1"/>
      <c r="P472" s="1"/>
      <c r="AA472" s="1"/>
      <c r="AB472" s="1"/>
      <c r="AG472" s="1"/>
      <c r="AH472" s="1"/>
      <c r="AK472" s="1"/>
      <c r="AL472" s="1"/>
      <c r="AM472" s="2"/>
      <c r="AN472" s="2"/>
      <c r="AQ472" s="1"/>
      <c r="BG472" s="1"/>
    </row>
    <row r="473" spans="15:59">
      <c r="O473" s="1"/>
      <c r="P473" s="1"/>
      <c r="AA473" s="1"/>
      <c r="AB473" s="1"/>
      <c r="AG473" s="1"/>
      <c r="AH473" s="1"/>
      <c r="AK473" s="1"/>
      <c r="AL473" s="1"/>
      <c r="AM473" s="2"/>
      <c r="AN473" s="2"/>
      <c r="AQ473" s="1"/>
      <c r="BG473" s="1"/>
    </row>
    <row r="474" spans="15:59">
      <c r="O474" s="1"/>
      <c r="P474" s="1"/>
      <c r="AA474" s="1"/>
      <c r="AB474" s="1"/>
      <c r="AG474" s="1"/>
      <c r="AH474" s="1"/>
      <c r="AK474" s="1"/>
      <c r="AL474" s="1"/>
      <c r="AM474" s="2"/>
      <c r="AN474" s="2"/>
      <c r="AQ474" s="1"/>
      <c r="BG474" s="1"/>
    </row>
    <row r="475" spans="15:59">
      <c r="O475" s="1"/>
      <c r="P475" s="1"/>
      <c r="AA475" s="1"/>
      <c r="AB475" s="1"/>
      <c r="AG475" s="1"/>
      <c r="AH475" s="1"/>
      <c r="AK475" s="1"/>
      <c r="AL475" s="1"/>
      <c r="AM475" s="2"/>
      <c r="AN475" s="2"/>
      <c r="AQ475" s="1"/>
      <c r="BG475" s="1"/>
    </row>
    <row r="476" spans="15:59">
      <c r="O476" s="1"/>
      <c r="P476" s="1"/>
      <c r="AA476" s="1"/>
      <c r="AB476" s="1"/>
      <c r="AG476" s="1"/>
      <c r="AH476" s="1"/>
      <c r="AK476" s="1"/>
      <c r="AL476" s="1"/>
      <c r="AM476" s="2"/>
      <c r="AN476" s="2"/>
      <c r="AQ476" s="1"/>
      <c r="BG476" s="1"/>
    </row>
    <row r="477" spans="15:59">
      <c r="O477" s="1"/>
      <c r="P477" s="1"/>
      <c r="AA477" s="1"/>
      <c r="AB477" s="1"/>
      <c r="AG477" s="1"/>
      <c r="AH477" s="1"/>
      <c r="AK477" s="1"/>
      <c r="AL477" s="1"/>
      <c r="AM477" s="2"/>
      <c r="AN477" s="2"/>
      <c r="AQ477" s="1"/>
      <c r="BG477" s="1"/>
    </row>
    <row r="478" spans="15:59">
      <c r="O478" s="1"/>
      <c r="P478" s="1"/>
      <c r="AA478" s="1"/>
      <c r="AB478" s="1"/>
      <c r="AG478" s="1"/>
      <c r="AH478" s="1"/>
      <c r="AK478" s="1"/>
      <c r="AL478" s="1"/>
      <c r="AM478" s="2"/>
      <c r="AN478" s="2"/>
      <c r="AQ478" s="1"/>
      <c r="BG478" s="1"/>
    </row>
    <row r="479" spans="15:59">
      <c r="O479" s="1"/>
      <c r="P479" s="1"/>
      <c r="AA479" s="1"/>
      <c r="AB479" s="1"/>
      <c r="AG479" s="1"/>
      <c r="AH479" s="1"/>
      <c r="AK479" s="1"/>
      <c r="AL479" s="1"/>
      <c r="AM479" s="2"/>
      <c r="AN479" s="2"/>
      <c r="AQ479" s="1"/>
      <c r="BG479" s="1"/>
    </row>
    <row r="480" spans="15:59">
      <c r="O480" s="1"/>
      <c r="P480" s="1"/>
      <c r="AA480" s="1"/>
      <c r="AB480" s="1"/>
      <c r="AG480" s="1"/>
      <c r="AH480" s="1"/>
      <c r="AK480" s="1"/>
      <c r="AL480" s="1"/>
      <c r="AM480" s="2"/>
      <c r="AN480" s="2"/>
      <c r="AQ480" s="1"/>
      <c r="BG480" s="1"/>
    </row>
    <row r="481" spans="15:59">
      <c r="O481" s="1"/>
      <c r="P481" s="1"/>
      <c r="AA481" s="1"/>
      <c r="AB481" s="1"/>
      <c r="AG481" s="1"/>
      <c r="AH481" s="1"/>
      <c r="AK481" s="1"/>
      <c r="AL481" s="1"/>
      <c r="AM481" s="2"/>
      <c r="AN481" s="2"/>
      <c r="AQ481" s="1"/>
      <c r="BG481" s="1"/>
    </row>
    <row r="482" spans="15:59">
      <c r="O482" s="1"/>
      <c r="P482" s="1"/>
      <c r="AA482" s="1"/>
      <c r="AB482" s="1"/>
      <c r="AG482" s="1"/>
      <c r="AH482" s="1"/>
      <c r="AK482" s="1"/>
      <c r="AL482" s="1"/>
      <c r="AM482" s="2"/>
      <c r="AN482" s="2"/>
      <c r="AQ482" s="1"/>
      <c r="BG482" s="1"/>
    </row>
    <row r="483" spans="15:59">
      <c r="O483" s="1"/>
      <c r="P483" s="1"/>
      <c r="AA483" s="1"/>
      <c r="AB483" s="1"/>
      <c r="AG483" s="1"/>
      <c r="AH483" s="1"/>
      <c r="AK483" s="1"/>
      <c r="AL483" s="1"/>
      <c r="AM483" s="2"/>
      <c r="AN483" s="2"/>
      <c r="AQ483" s="1"/>
      <c r="BG483" s="1"/>
    </row>
    <row r="484" spans="15:59">
      <c r="O484" s="1"/>
      <c r="P484" s="1"/>
      <c r="AA484" s="1"/>
      <c r="AB484" s="1"/>
      <c r="AG484" s="1"/>
      <c r="AH484" s="1"/>
      <c r="AK484" s="1"/>
      <c r="AL484" s="1"/>
      <c r="AM484" s="2"/>
      <c r="AN484" s="2"/>
      <c r="AQ484" s="1"/>
      <c r="BG484" s="1"/>
    </row>
    <row r="485" spans="15:59">
      <c r="O485" s="1"/>
      <c r="P485" s="1"/>
      <c r="AA485" s="1"/>
      <c r="AB485" s="1"/>
      <c r="AG485" s="1"/>
      <c r="AH485" s="1"/>
      <c r="AK485" s="1"/>
      <c r="AL485" s="1"/>
      <c r="AM485" s="2"/>
      <c r="AN485" s="2"/>
      <c r="AQ485" s="1"/>
      <c r="BG485" s="1"/>
    </row>
    <row r="486" spans="15:59">
      <c r="O486" s="1"/>
      <c r="P486" s="1"/>
      <c r="AA486" s="1"/>
      <c r="AB486" s="1"/>
      <c r="AG486" s="1"/>
      <c r="AH486" s="1"/>
      <c r="AK486" s="1"/>
      <c r="AL486" s="1"/>
      <c r="AM486" s="2"/>
      <c r="AN486" s="2"/>
      <c r="AQ486" s="1"/>
      <c r="BG486" s="1"/>
    </row>
    <row r="487" spans="15:59">
      <c r="O487" s="1"/>
      <c r="P487" s="1"/>
      <c r="AA487" s="1"/>
      <c r="AB487" s="1"/>
      <c r="AG487" s="1"/>
      <c r="AH487" s="1"/>
      <c r="AK487" s="1"/>
      <c r="AL487" s="1"/>
      <c r="AM487" s="2"/>
      <c r="AN487" s="2"/>
      <c r="AQ487" s="1"/>
      <c r="BG487" s="1"/>
    </row>
    <row r="488" spans="15:59">
      <c r="O488" s="1"/>
      <c r="P488" s="1"/>
      <c r="AA488" s="1"/>
      <c r="AB488" s="1"/>
      <c r="AG488" s="1"/>
      <c r="AH488" s="1"/>
      <c r="AK488" s="1"/>
      <c r="AL488" s="1"/>
      <c r="AM488" s="2"/>
      <c r="AN488" s="2"/>
      <c r="AQ488" s="1"/>
      <c r="BG488" s="1"/>
    </row>
    <row r="489" spans="15:59">
      <c r="O489" s="1"/>
      <c r="P489" s="1"/>
      <c r="AA489" s="1"/>
      <c r="AB489" s="1"/>
      <c r="AG489" s="1"/>
      <c r="AH489" s="1"/>
      <c r="AK489" s="1"/>
      <c r="AL489" s="1"/>
      <c r="AM489" s="2"/>
      <c r="AN489" s="2"/>
      <c r="AQ489" s="1"/>
      <c r="BG489" s="1"/>
    </row>
    <row r="490" spans="15:59">
      <c r="O490" s="1"/>
      <c r="P490" s="1"/>
      <c r="AA490" s="1"/>
      <c r="AB490" s="1"/>
      <c r="AG490" s="1"/>
      <c r="AH490" s="1"/>
      <c r="AK490" s="1"/>
      <c r="AL490" s="1"/>
      <c r="AM490" s="2"/>
      <c r="AN490" s="2"/>
      <c r="AQ490" s="1"/>
      <c r="BG490" s="1"/>
    </row>
    <row r="491" spans="15:59">
      <c r="O491" s="1"/>
      <c r="P491" s="1"/>
      <c r="AA491" s="1"/>
      <c r="AB491" s="1"/>
      <c r="AG491" s="1"/>
      <c r="AH491" s="1"/>
      <c r="AK491" s="1"/>
      <c r="AL491" s="1"/>
      <c r="AM491" s="2"/>
      <c r="AN491" s="2"/>
      <c r="AQ491" s="1"/>
      <c r="BG491" s="1"/>
    </row>
    <row r="492" spans="15:59">
      <c r="O492" s="1"/>
      <c r="P492" s="1"/>
      <c r="AA492" s="1"/>
      <c r="AB492" s="1"/>
      <c r="AG492" s="1"/>
      <c r="AH492" s="1"/>
      <c r="AK492" s="1"/>
      <c r="AL492" s="1"/>
      <c r="AM492" s="2"/>
      <c r="AN492" s="2"/>
      <c r="AQ492" s="1"/>
      <c r="BG492" s="1"/>
    </row>
    <row r="493" spans="15:59">
      <c r="O493" s="1"/>
      <c r="P493" s="1"/>
      <c r="AA493" s="1"/>
      <c r="AB493" s="1"/>
      <c r="AG493" s="1"/>
      <c r="AH493" s="1"/>
      <c r="AK493" s="1"/>
      <c r="AL493" s="1"/>
      <c r="AM493" s="2"/>
      <c r="AN493" s="2"/>
      <c r="AQ493" s="1"/>
      <c r="BG493" s="1"/>
    </row>
    <row r="494" spans="15:59">
      <c r="O494" s="1"/>
      <c r="P494" s="1"/>
      <c r="AA494" s="1"/>
      <c r="AB494" s="1"/>
      <c r="AG494" s="1"/>
      <c r="AH494" s="1"/>
      <c r="AK494" s="1"/>
      <c r="AL494" s="1"/>
      <c r="AM494" s="2"/>
      <c r="AN494" s="2"/>
      <c r="AQ494" s="1"/>
      <c r="BG494" s="1"/>
    </row>
    <row r="495" spans="15:59">
      <c r="O495" s="1"/>
      <c r="P495" s="1"/>
      <c r="AA495" s="1"/>
      <c r="AB495" s="1"/>
      <c r="AG495" s="1"/>
      <c r="AH495" s="1"/>
      <c r="AK495" s="1"/>
      <c r="AL495" s="1"/>
      <c r="AM495" s="2"/>
      <c r="AN495" s="2"/>
      <c r="AQ495" s="1"/>
      <c r="BG495" s="1"/>
    </row>
    <row r="496" spans="15:59">
      <c r="O496" s="1"/>
      <c r="P496" s="1"/>
      <c r="AA496" s="1"/>
      <c r="AB496" s="1"/>
      <c r="AG496" s="1"/>
      <c r="AH496" s="1"/>
      <c r="AK496" s="1"/>
      <c r="AL496" s="1"/>
      <c r="AM496" s="2"/>
      <c r="AN496" s="2"/>
      <c r="AQ496" s="1"/>
      <c r="BG496" s="1"/>
    </row>
    <row r="497" spans="15:59">
      <c r="O497" s="1"/>
      <c r="P497" s="1"/>
      <c r="AA497" s="1"/>
      <c r="AB497" s="1"/>
      <c r="AG497" s="1"/>
      <c r="AH497" s="1"/>
      <c r="AK497" s="1"/>
      <c r="AL497" s="1"/>
      <c r="AM497" s="2"/>
      <c r="AN497" s="2"/>
      <c r="AQ497" s="1"/>
      <c r="BG497" s="1"/>
    </row>
    <row r="498" spans="15:59">
      <c r="O498" s="1"/>
      <c r="P498" s="1"/>
      <c r="AA498" s="1"/>
      <c r="AB498" s="1"/>
      <c r="AG498" s="1"/>
      <c r="AH498" s="1"/>
      <c r="AK498" s="1"/>
      <c r="AL498" s="1"/>
      <c r="AM498" s="2"/>
      <c r="AN498" s="2"/>
      <c r="AQ498" s="1"/>
      <c r="BG498" s="1"/>
    </row>
    <row r="499" spans="15:59">
      <c r="O499" s="1"/>
      <c r="P499" s="1"/>
      <c r="AA499" s="1"/>
      <c r="AB499" s="1"/>
      <c r="AG499" s="1"/>
      <c r="AH499" s="1"/>
      <c r="AK499" s="1"/>
      <c r="AL499" s="1"/>
      <c r="AM499" s="2"/>
      <c r="AN499" s="2"/>
      <c r="AQ499" s="1"/>
      <c r="BG499" s="1"/>
    </row>
    <row r="500" spans="15:59">
      <c r="O500" s="1"/>
      <c r="P500" s="1"/>
      <c r="AA500" s="1"/>
      <c r="AB500" s="1"/>
      <c r="AG500" s="1"/>
      <c r="AH500" s="1"/>
      <c r="AK500" s="1"/>
      <c r="AL500" s="1"/>
      <c r="AM500" s="2"/>
      <c r="AN500" s="2"/>
      <c r="AQ500" s="1"/>
      <c r="BG500" s="1"/>
    </row>
    <row r="501" spans="15:59">
      <c r="O501" s="1"/>
      <c r="P501" s="1"/>
      <c r="AA501" s="1"/>
      <c r="AB501" s="1"/>
      <c r="AG501" s="1"/>
      <c r="AH501" s="1"/>
      <c r="AK501" s="1"/>
      <c r="AL501" s="1"/>
      <c r="AM501" s="2"/>
      <c r="AN501" s="2"/>
      <c r="AQ501" s="1"/>
      <c r="BG501" s="1"/>
    </row>
    <row r="502" spans="15:59">
      <c r="O502" s="1"/>
      <c r="P502" s="1"/>
      <c r="AA502" s="1"/>
      <c r="AB502" s="1"/>
      <c r="AG502" s="1"/>
      <c r="AH502" s="1"/>
      <c r="AK502" s="1"/>
      <c r="AL502" s="1"/>
      <c r="AM502" s="2"/>
      <c r="AN502" s="2"/>
      <c r="AQ502" s="1"/>
      <c r="BG502" s="1"/>
    </row>
    <row r="503" spans="15:59">
      <c r="O503" s="1"/>
      <c r="P503" s="1"/>
      <c r="AA503" s="1"/>
      <c r="AB503" s="1"/>
      <c r="AG503" s="1"/>
      <c r="AH503" s="1"/>
      <c r="AK503" s="1"/>
      <c r="AL503" s="1"/>
      <c r="AM503" s="2"/>
      <c r="AN503" s="2"/>
      <c r="AQ503" s="1"/>
      <c r="BG503" s="1"/>
    </row>
    <row r="504" spans="15:59">
      <c r="O504" s="1"/>
      <c r="P504" s="1"/>
      <c r="AA504" s="1"/>
      <c r="AB504" s="1"/>
      <c r="AG504" s="1"/>
      <c r="AH504" s="1"/>
      <c r="AK504" s="1"/>
      <c r="AL504" s="1"/>
      <c r="AM504" s="2"/>
      <c r="AN504" s="2"/>
      <c r="AQ504" s="1"/>
      <c r="BG504" s="1"/>
    </row>
    <row r="505" spans="15:59">
      <c r="O505" s="1"/>
      <c r="P505" s="1"/>
      <c r="AA505" s="1"/>
      <c r="AB505" s="1"/>
      <c r="AG505" s="1"/>
      <c r="AH505" s="1"/>
      <c r="AK505" s="1"/>
      <c r="AL505" s="1"/>
      <c r="AM505" s="2"/>
      <c r="AN505" s="2"/>
      <c r="AQ505" s="1"/>
      <c r="BG505" s="1"/>
    </row>
    <row r="506" spans="15:59">
      <c r="O506" s="1"/>
      <c r="P506" s="1"/>
      <c r="AA506" s="1"/>
      <c r="AB506" s="1"/>
      <c r="AG506" s="1"/>
      <c r="AH506" s="1"/>
      <c r="AK506" s="1"/>
      <c r="AL506" s="1"/>
      <c r="AM506" s="2"/>
      <c r="AN506" s="2"/>
      <c r="AQ506" s="1"/>
      <c r="BG506" s="1"/>
    </row>
    <row r="507" spans="15:59">
      <c r="O507" s="1"/>
      <c r="P507" s="1"/>
      <c r="AA507" s="1"/>
      <c r="AB507" s="1"/>
      <c r="AG507" s="1"/>
      <c r="AH507" s="1"/>
      <c r="AK507" s="1"/>
      <c r="AL507" s="1"/>
      <c r="AM507" s="2"/>
      <c r="AN507" s="2"/>
      <c r="AQ507" s="1"/>
      <c r="BG507" s="1"/>
    </row>
    <row r="508" spans="15:59">
      <c r="O508" s="1"/>
      <c r="P508" s="1"/>
      <c r="AA508" s="1"/>
      <c r="AB508" s="1"/>
      <c r="AG508" s="1"/>
      <c r="AH508" s="1"/>
      <c r="AK508" s="1"/>
      <c r="AL508" s="1"/>
      <c r="AM508" s="2"/>
      <c r="AN508" s="2"/>
      <c r="AQ508" s="1"/>
      <c r="BG508" s="1"/>
    </row>
    <row r="509" spans="15:59">
      <c r="O509" s="1"/>
      <c r="P509" s="1"/>
      <c r="AA509" s="1"/>
      <c r="AB509" s="1"/>
      <c r="AG509" s="1"/>
      <c r="AH509" s="1"/>
      <c r="AK509" s="1"/>
      <c r="AL509" s="1"/>
      <c r="AM509" s="2"/>
      <c r="AN509" s="2"/>
      <c r="AQ509" s="1"/>
      <c r="BG509" s="1"/>
    </row>
    <row r="510" spans="15:59">
      <c r="O510" s="1"/>
      <c r="P510" s="1"/>
      <c r="AA510" s="1"/>
      <c r="AB510" s="1"/>
      <c r="AG510" s="1"/>
      <c r="AH510" s="1"/>
      <c r="AK510" s="1"/>
      <c r="AL510" s="1"/>
      <c r="AM510" s="2"/>
      <c r="AN510" s="2"/>
      <c r="AQ510" s="1"/>
      <c r="BG510" s="1"/>
    </row>
    <row r="511" spans="15:59">
      <c r="O511" s="1"/>
      <c r="P511" s="1"/>
      <c r="AA511" s="1"/>
      <c r="AB511" s="1"/>
      <c r="AG511" s="1"/>
      <c r="AH511" s="1"/>
      <c r="AK511" s="1"/>
      <c r="AL511" s="1"/>
      <c r="AM511" s="2"/>
      <c r="AN511" s="2"/>
      <c r="AQ511" s="1"/>
      <c r="BG511" s="1"/>
    </row>
    <row r="512" spans="15:59">
      <c r="O512" s="1"/>
      <c r="P512" s="1"/>
      <c r="AA512" s="1"/>
      <c r="AB512" s="1"/>
      <c r="AG512" s="1"/>
      <c r="AH512" s="1"/>
      <c r="AK512" s="1"/>
      <c r="AL512" s="1"/>
      <c r="AM512" s="2"/>
      <c r="AN512" s="2"/>
      <c r="AQ512" s="1"/>
      <c r="BG512" s="1"/>
    </row>
    <row r="513" spans="15:59">
      <c r="O513" s="1"/>
      <c r="P513" s="1"/>
      <c r="AA513" s="1"/>
      <c r="AB513" s="1"/>
      <c r="AG513" s="1"/>
      <c r="AH513" s="1"/>
      <c r="AK513" s="1"/>
      <c r="AL513" s="1"/>
      <c r="AM513" s="2"/>
      <c r="AN513" s="2"/>
      <c r="AQ513" s="1"/>
      <c r="BG513" s="1"/>
    </row>
    <row r="514" spans="15:59">
      <c r="O514" s="1"/>
      <c r="P514" s="1"/>
      <c r="AA514" s="1"/>
      <c r="AB514" s="1"/>
      <c r="AG514" s="1"/>
      <c r="AH514" s="1"/>
      <c r="AK514" s="1"/>
      <c r="AL514" s="1"/>
      <c r="AM514" s="2"/>
      <c r="AN514" s="2"/>
      <c r="AQ514" s="1"/>
      <c r="BG514" s="1"/>
    </row>
    <row r="515" spans="15:59">
      <c r="O515" s="1"/>
      <c r="P515" s="1"/>
      <c r="AA515" s="1"/>
      <c r="AB515" s="1"/>
      <c r="AG515" s="1"/>
      <c r="AH515" s="1"/>
      <c r="AK515" s="1"/>
      <c r="AL515" s="1"/>
      <c r="AM515" s="2"/>
      <c r="AN515" s="2"/>
      <c r="AQ515" s="1"/>
      <c r="BG515" s="1"/>
    </row>
    <row r="516" spans="15:59">
      <c r="O516" s="1"/>
      <c r="P516" s="1"/>
      <c r="AA516" s="1"/>
      <c r="AB516" s="1"/>
      <c r="AG516" s="1"/>
      <c r="AH516" s="1"/>
      <c r="AK516" s="1"/>
      <c r="AL516" s="1"/>
      <c r="AM516" s="2"/>
      <c r="AN516" s="2"/>
      <c r="AQ516" s="1"/>
      <c r="BG516" s="1"/>
    </row>
    <row r="517" spans="15:59">
      <c r="O517" s="1"/>
      <c r="P517" s="1"/>
      <c r="AA517" s="1"/>
      <c r="AB517" s="1"/>
      <c r="AG517" s="1"/>
      <c r="AH517" s="1"/>
      <c r="AK517" s="1"/>
      <c r="AL517" s="1"/>
      <c r="AM517" s="2"/>
      <c r="AN517" s="2"/>
      <c r="AQ517" s="1"/>
      <c r="BG517" s="1"/>
    </row>
    <row r="518" spans="15:59">
      <c r="O518" s="1"/>
      <c r="P518" s="1"/>
      <c r="AA518" s="1"/>
      <c r="AB518" s="1"/>
      <c r="AG518" s="1"/>
      <c r="AH518" s="1"/>
      <c r="AK518" s="1"/>
      <c r="AL518" s="1"/>
      <c r="AM518" s="2"/>
      <c r="AN518" s="2"/>
      <c r="AQ518" s="1"/>
      <c r="BG518" s="1"/>
    </row>
    <row r="519" spans="15:59">
      <c r="O519" s="1"/>
      <c r="P519" s="1"/>
      <c r="AA519" s="1"/>
      <c r="AB519" s="1"/>
      <c r="AG519" s="1"/>
      <c r="AH519" s="1"/>
      <c r="AK519" s="1"/>
      <c r="AL519" s="1"/>
      <c r="AM519" s="2"/>
      <c r="AN519" s="2"/>
      <c r="AQ519" s="1"/>
      <c r="BG519" s="1"/>
    </row>
    <row r="520" spans="15:59">
      <c r="O520" s="1"/>
      <c r="P520" s="1"/>
      <c r="AA520" s="1"/>
      <c r="AB520" s="1"/>
      <c r="AG520" s="1"/>
      <c r="AH520" s="1"/>
      <c r="AK520" s="1"/>
      <c r="AL520" s="1"/>
      <c r="AM520" s="2"/>
      <c r="AN520" s="2"/>
      <c r="AQ520" s="1"/>
      <c r="BG520" s="1"/>
    </row>
    <row r="521" spans="15:59">
      <c r="O521" s="1"/>
      <c r="P521" s="1"/>
      <c r="AA521" s="1"/>
      <c r="AB521" s="1"/>
      <c r="AG521" s="1"/>
      <c r="AH521" s="1"/>
      <c r="AK521" s="1"/>
      <c r="AL521" s="1"/>
      <c r="AM521" s="2"/>
      <c r="AN521" s="2"/>
      <c r="AQ521" s="1"/>
      <c r="BG521" s="1"/>
    </row>
    <row r="522" spans="15:59">
      <c r="O522" s="1"/>
      <c r="P522" s="1"/>
      <c r="AA522" s="1"/>
      <c r="AB522" s="1"/>
      <c r="AG522" s="1"/>
      <c r="AH522" s="1"/>
      <c r="AK522" s="1"/>
      <c r="AL522" s="1"/>
      <c r="AM522" s="2"/>
      <c r="AN522" s="2"/>
      <c r="AQ522" s="1"/>
      <c r="BG522" s="1"/>
    </row>
    <row r="523" spans="15:59">
      <c r="O523" s="1"/>
      <c r="P523" s="1"/>
      <c r="AA523" s="1"/>
      <c r="AB523" s="1"/>
      <c r="AG523" s="1"/>
      <c r="AH523" s="1"/>
      <c r="AK523" s="1"/>
      <c r="AL523" s="1"/>
      <c r="AM523" s="2"/>
      <c r="AN523" s="2"/>
      <c r="AQ523" s="1"/>
      <c r="BG523" s="1"/>
    </row>
    <row r="524" spans="15:59">
      <c r="O524" s="1"/>
      <c r="P524" s="1"/>
      <c r="AA524" s="1"/>
      <c r="AB524" s="1"/>
      <c r="AG524" s="1"/>
      <c r="AH524" s="1"/>
      <c r="AK524" s="1"/>
      <c r="AL524" s="1"/>
      <c r="AM524" s="2"/>
      <c r="AN524" s="2"/>
      <c r="AQ524" s="1"/>
      <c r="BG524" s="1"/>
    </row>
    <row r="525" spans="15:59">
      <c r="O525" s="1"/>
      <c r="P525" s="1"/>
      <c r="AA525" s="1"/>
      <c r="AB525" s="1"/>
      <c r="AG525" s="1"/>
      <c r="AH525" s="1"/>
      <c r="AK525" s="1"/>
      <c r="AL525" s="1"/>
      <c r="AM525" s="2"/>
      <c r="AN525" s="2"/>
      <c r="AQ525" s="1"/>
      <c r="BG525" s="1"/>
    </row>
    <row r="526" spans="15:59">
      <c r="O526" s="1"/>
      <c r="P526" s="1"/>
      <c r="AA526" s="1"/>
      <c r="AB526" s="1"/>
      <c r="AG526" s="1"/>
      <c r="AH526" s="1"/>
      <c r="AK526" s="1"/>
      <c r="AL526" s="1"/>
      <c r="AM526" s="2"/>
      <c r="AN526" s="2"/>
      <c r="AQ526" s="1"/>
      <c r="BG526" s="1"/>
    </row>
    <row r="527" spans="15:59">
      <c r="O527" s="1"/>
      <c r="P527" s="1"/>
      <c r="AA527" s="1"/>
      <c r="AB527" s="1"/>
      <c r="AG527" s="1"/>
      <c r="AH527" s="1"/>
      <c r="AK527" s="1"/>
      <c r="AL527" s="1"/>
      <c r="AM527" s="2"/>
      <c r="AN527" s="2"/>
      <c r="AQ527" s="1"/>
      <c r="BG527" s="1"/>
    </row>
    <row r="528" spans="15:59">
      <c r="O528" s="1"/>
      <c r="P528" s="1"/>
      <c r="AA528" s="1"/>
      <c r="AB528" s="1"/>
      <c r="AG528" s="1"/>
      <c r="AH528" s="1"/>
      <c r="AK528" s="1"/>
      <c r="AL528" s="1"/>
      <c r="AM528" s="2"/>
      <c r="AN528" s="2"/>
      <c r="AQ528" s="1"/>
      <c r="BG528" s="1"/>
    </row>
    <row r="529" spans="15:59">
      <c r="O529" s="1"/>
      <c r="P529" s="1"/>
      <c r="AA529" s="1"/>
      <c r="AB529" s="1"/>
      <c r="AG529" s="1"/>
      <c r="AH529" s="1"/>
      <c r="AK529" s="1"/>
      <c r="AL529" s="1"/>
      <c r="AM529" s="2"/>
      <c r="AN529" s="2"/>
      <c r="AQ529" s="1"/>
      <c r="BG529" s="1"/>
    </row>
    <row r="530" spans="15:59">
      <c r="O530" s="1"/>
      <c r="P530" s="1"/>
      <c r="AA530" s="1"/>
      <c r="AB530" s="1"/>
      <c r="AG530" s="1"/>
      <c r="AH530" s="1"/>
      <c r="AK530" s="1"/>
      <c r="AL530" s="1"/>
      <c r="AM530" s="2"/>
      <c r="AN530" s="2"/>
      <c r="AQ530" s="1"/>
      <c r="BG530" s="1"/>
    </row>
    <row r="531" spans="15:59">
      <c r="O531" s="1"/>
      <c r="P531" s="1"/>
      <c r="AA531" s="1"/>
      <c r="AB531" s="1"/>
      <c r="AG531" s="1"/>
      <c r="AH531" s="1"/>
      <c r="AK531" s="1"/>
      <c r="AL531" s="1"/>
      <c r="AM531" s="2"/>
      <c r="AN531" s="2"/>
      <c r="AQ531" s="1"/>
      <c r="BG531" s="1"/>
    </row>
    <row r="532" spans="15:59">
      <c r="O532" s="1"/>
      <c r="P532" s="1"/>
      <c r="AA532" s="1"/>
      <c r="AB532" s="1"/>
      <c r="AG532" s="1"/>
      <c r="AH532" s="1"/>
      <c r="AK532" s="1"/>
      <c r="AL532" s="1"/>
      <c r="AM532" s="2"/>
      <c r="AN532" s="2"/>
      <c r="AQ532" s="1"/>
      <c r="BG532" s="1"/>
    </row>
    <row r="533" spans="15:59">
      <c r="O533" s="1"/>
      <c r="P533" s="1"/>
      <c r="AA533" s="1"/>
      <c r="AB533" s="1"/>
      <c r="AG533" s="1"/>
      <c r="AH533" s="1"/>
      <c r="AK533" s="1"/>
      <c r="AL533" s="1"/>
      <c r="AM533" s="2"/>
      <c r="AN533" s="2"/>
      <c r="AQ533" s="1"/>
      <c r="BG533" s="1"/>
    </row>
    <row r="534" spans="15:59">
      <c r="O534" s="1"/>
      <c r="P534" s="1"/>
      <c r="AA534" s="1"/>
      <c r="AB534" s="1"/>
      <c r="AG534" s="1"/>
      <c r="AH534" s="1"/>
      <c r="AK534" s="1"/>
      <c r="AL534" s="1"/>
      <c r="AM534" s="2"/>
      <c r="AN534" s="2"/>
      <c r="AQ534" s="1"/>
      <c r="BG534" s="1"/>
    </row>
    <row r="535" spans="15:59">
      <c r="O535" s="1"/>
      <c r="P535" s="1"/>
      <c r="AA535" s="1"/>
      <c r="AB535" s="1"/>
      <c r="AG535" s="1"/>
      <c r="AH535" s="1"/>
      <c r="AK535" s="1"/>
      <c r="AL535" s="1"/>
      <c r="AM535" s="2"/>
      <c r="AN535" s="2"/>
      <c r="AQ535" s="1"/>
      <c r="BG535" s="1"/>
    </row>
    <row r="536" spans="15:59">
      <c r="O536" s="1"/>
      <c r="P536" s="1"/>
      <c r="AA536" s="1"/>
      <c r="AB536" s="1"/>
      <c r="AG536" s="1"/>
      <c r="AH536" s="1"/>
      <c r="AK536" s="1"/>
      <c r="AL536" s="1"/>
      <c r="AM536" s="2"/>
      <c r="AN536" s="2"/>
      <c r="AQ536" s="1"/>
      <c r="BG536" s="1"/>
    </row>
    <row r="537" spans="15:59">
      <c r="O537" s="1"/>
      <c r="P537" s="1"/>
      <c r="AA537" s="1"/>
      <c r="AB537" s="1"/>
      <c r="AG537" s="1"/>
      <c r="AH537" s="1"/>
      <c r="AK537" s="1"/>
      <c r="AL537" s="1"/>
      <c r="AM537" s="2"/>
      <c r="AN537" s="2"/>
      <c r="AQ537" s="1"/>
      <c r="BG537" s="1"/>
    </row>
    <row r="538" spans="15:59">
      <c r="O538" s="1"/>
      <c r="P538" s="1"/>
      <c r="AA538" s="1"/>
      <c r="AB538" s="1"/>
      <c r="AG538" s="1"/>
      <c r="AH538" s="1"/>
      <c r="AK538" s="1"/>
      <c r="AL538" s="1"/>
      <c r="AM538" s="2"/>
      <c r="AN538" s="2"/>
      <c r="AQ538" s="1"/>
      <c r="BG538" s="1"/>
    </row>
    <row r="539" spans="15:59">
      <c r="O539" s="1"/>
      <c r="P539" s="1"/>
      <c r="AA539" s="1"/>
      <c r="AB539" s="1"/>
      <c r="AG539" s="1"/>
      <c r="AH539" s="1"/>
      <c r="AK539" s="1"/>
      <c r="AL539" s="1"/>
      <c r="AM539" s="2"/>
      <c r="AN539" s="2"/>
      <c r="AQ539" s="1"/>
      <c r="BG539" s="1"/>
    </row>
    <row r="540" spans="15:59">
      <c r="O540" s="1"/>
      <c r="P540" s="1"/>
      <c r="AA540" s="1"/>
      <c r="AB540" s="1"/>
      <c r="AG540" s="1"/>
      <c r="AH540" s="1"/>
      <c r="AK540" s="1"/>
      <c r="AL540" s="1"/>
      <c r="AM540" s="2"/>
      <c r="AN540" s="2"/>
      <c r="AQ540" s="1"/>
      <c r="BG540" s="1"/>
    </row>
    <row r="541" spans="15:59">
      <c r="O541" s="1"/>
      <c r="P541" s="1"/>
      <c r="AA541" s="1"/>
      <c r="AB541" s="1"/>
      <c r="AG541" s="1"/>
      <c r="AH541" s="1"/>
      <c r="AK541" s="1"/>
      <c r="AL541" s="1"/>
      <c r="AM541" s="2"/>
      <c r="AN541" s="2"/>
      <c r="AQ541" s="1"/>
      <c r="BG541" s="1"/>
    </row>
    <row r="542" spans="15:59">
      <c r="O542" s="1"/>
      <c r="P542" s="1"/>
      <c r="AA542" s="1"/>
      <c r="AB542" s="1"/>
      <c r="AG542" s="1"/>
      <c r="AH542" s="1"/>
      <c r="AK542" s="1"/>
      <c r="AL542" s="1"/>
      <c r="AM542" s="2"/>
      <c r="AN542" s="2"/>
      <c r="AQ542" s="1"/>
      <c r="BG542" s="1"/>
    </row>
    <row r="543" spans="15:59">
      <c r="O543" s="1"/>
      <c r="P543" s="1"/>
      <c r="AA543" s="1"/>
      <c r="AB543" s="1"/>
      <c r="AG543" s="1"/>
      <c r="AH543" s="1"/>
      <c r="AK543" s="1"/>
      <c r="AL543" s="1"/>
      <c r="AM543" s="2"/>
      <c r="AN543" s="2"/>
      <c r="AQ543" s="1"/>
      <c r="BG543" s="1"/>
    </row>
    <row r="544" spans="15:59">
      <c r="O544" s="1"/>
      <c r="P544" s="1"/>
      <c r="AA544" s="1"/>
      <c r="AB544" s="1"/>
      <c r="AG544" s="1"/>
      <c r="AH544" s="1"/>
      <c r="AK544" s="1"/>
      <c r="AL544" s="1"/>
      <c r="AM544" s="2"/>
      <c r="AN544" s="2"/>
      <c r="AQ544" s="1"/>
      <c r="BG544" s="1"/>
    </row>
    <row r="545" spans="15:59">
      <c r="O545" s="1"/>
      <c r="P545" s="1"/>
      <c r="AA545" s="1"/>
      <c r="AB545" s="1"/>
      <c r="AG545" s="1"/>
      <c r="AH545" s="1"/>
      <c r="AK545" s="1"/>
      <c r="AL545" s="1"/>
      <c r="AM545" s="2"/>
      <c r="AN545" s="2"/>
      <c r="AQ545" s="1"/>
      <c r="BG545" s="1"/>
    </row>
    <row r="546" spans="15:59">
      <c r="O546" s="1"/>
      <c r="P546" s="1"/>
      <c r="AA546" s="1"/>
      <c r="AB546" s="1"/>
      <c r="AG546" s="1"/>
      <c r="AH546" s="1"/>
      <c r="AK546" s="1"/>
      <c r="AL546" s="1"/>
      <c r="AM546" s="2"/>
      <c r="AN546" s="2"/>
      <c r="AQ546" s="1"/>
      <c r="BG546" s="1"/>
    </row>
    <row r="547" spans="15:59">
      <c r="O547" s="1"/>
      <c r="P547" s="1"/>
      <c r="AA547" s="1"/>
      <c r="AB547" s="1"/>
      <c r="AG547" s="1"/>
      <c r="AH547" s="1"/>
      <c r="AK547" s="1"/>
      <c r="AL547" s="1"/>
      <c r="AM547" s="2"/>
      <c r="AN547" s="2"/>
      <c r="AQ547" s="1"/>
      <c r="BG547" s="1"/>
    </row>
    <row r="548" spans="15:59">
      <c r="O548" s="1"/>
      <c r="P548" s="1"/>
      <c r="AA548" s="1"/>
      <c r="AB548" s="1"/>
      <c r="AG548" s="1"/>
      <c r="AH548" s="1"/>
      <c r="AK548" s="1"/>
      <c r="AL548" s="1"/>
      <c r="AM548" s="2"/>
      <c r="AN548" s="2"/>
      <c r="AQ548" s="1"/>
      <c r="BG548" s="1"/>
    </row>
    <row r="549" spans="15:59">
      <c r="O549" s="1"/>
      <c r="P549" s="1"/>
      <c r="AA549" s="1"/>
      <c r="AB549" s="1"/>
      <c r="AG549" s="1"/>
      <c r="AH549" s="1"/>
      <c r="AK549" s="1"/>
      <c r="AL549" s="1"/>
      <c r="AM549" s="2"/>
      <c r="AN549" s="2"/>
      <c r="AQ549" s="1"/>
      <c r="BG549" s="1"/>
    </row>
    <row r="550" spans="15:59">
      <c r="O550" s="1"/>
      <c r="P550" s="1"/>
      <c r="AA550" s="1"/>
      <c r="AB550" s="1"/>
      <c r="AG550" s="1"/>
      <c r="AH550" s="1"/>
      <c r="AK550" s="1"/>
      <c r="AL550" s="1"/>
      <c r="AM550" s="2"/>
      <c r="AN550" s="2"/>
      <c r="AQ550" s="1"/>
      <c r="BG550" s="1"/>
    </row>
    <row r="551" spans="15:59">
      <c r="O551" s="1"/>
      <c r="P551" s="1"/>
      <c r="AA551" s="1"/>
      <c r="AB551" s="1"/>
      <c r="AG551" s="1"/>
      <c r="AH551" s="1"/>
      <c r="AK551" s="1"/>
      <c r="AL551" s="1"/>
      <c r="AM551" s="2"/>
      <c r="AN551" s="2"/>
      <c r="AQ551" s="1"/>
      <c r="BG551" s="1"/>
    </row>
    <row r="552" spans="15:59">
      <c r="O552" s="1"/>
      <c r="P552" s="1"/>
      <c r="AA552" s="1"/>
      <c r="AB552" s="1"/>
      <c r="AG552" s="1"/>
      <c r="AH552" s="1"/>
      <c r="AK552" s="1"/>
      <c r="AL552" s="1"/>
      <c r="AM552" s="2"/>
      <c r="AN552" s="2"/>
      <c r="AQ552" s="1"/>
      <c r="BG552" s="1"/>
    </row>
    <row r="553" spans="15:59">
      <c r="O553" s="1"/>
      <c r="P553" s="1"/>
      <c r="AA553" s="1"/>
      <c r="AB553" s="1"/>
      <c r="AG553" s="1"/>
      <c r="AH553" s="1"/>
      <c r="AK553" s="1"/>
      <c r="AL553" s="1"/>
      <c r="AM553" s="2"/>
      <c r="AN553" s="2"/>
      <c r="AQ553" s="1"/>
      <c r="BG553" s="1"/>
    </row>
    <row r="554" spans="15:59">
      <c r="O554" s="1"/>
      <c r="P554" s="1"/>
      <c r="AA554" s="1"/>
      <c r="AB554" s="1"/>
      <c r="AG554" s="1"/>
      <c r="AH554" s="1"/>
      <c r="AK554" s="1"/>
      <c r="AL554" s="1"/>
      <c r="AM554" s="2"/>
      <c r="AN554" s="2"/>
      <c r="AQ554" s="1"/>
      <c r="BG554" s="1"/>
    </row>
    <row r="555" spans="15:59">
      <c r="O555" s="1"/>
      <c r="P555" s="1"/>
      <c r="AA555" s="1"/>
      <c r="AB555" s="1"/>
      <c r="AG555" s="1"/>
      <c r="AH555" s="1"/>
      <c r="AK555" s="1"/>
      <c r="AL555" s="1"/>
      <c r="AM555" s="2"/>
      <c r="AN555" s="2"/>
      <c r="AQ555" s="1"/>
      <c r="BG555" s="1"/>
    </row>
    <row r="556" spans="15:59">
      <c r="O556" s="1"/>
      <c r="P556" s="1"/>
      <c r="AA556" s="1"/>
      <c r="AB556" s="1"/>
      <c r="AG556" s="1"/>
      <c r="AH556" s="1"/>
      <c r="AK556" s="1"/>
      <c r="AL556" s="1"/>
      <c r="AM556" s="2"/>
      <c r="AN556" s="2"/>
      <c r="AQ556" s="1"/>
      <c r="BG556" s="1"/>
    </row>
    <row r="557" spans="15:59">
      <c r="O557" s="1"/>
      <c r="P557" s="1"/>
      <c r="AA557" s="1"/>
      <c r="AB557" s="1"/>
      <c r="AG557" s="1"/>
      <c r="AH557" s="1"/>
      <c r="AK557" s="1"/>
      <c r="AL557" s="1"/>
      <c r="AM557" s="2"/>
      <c r="AN557" s="2"/>
      <c r="AQ557" s="1"/>
      <c r="BG557" s="1"/>
    </row>
    <row r="558" spans="15:59">
      <c r="O558" s="1"/>
      <c r="P558" s="1"/>
      <c r="AA558" s="1"/>
      <c r="AB558" s="1"/>
      <c r="AG558" s="1"/>
      <c r="AH558" s="1"/>
      <c r="AK558" s="1"/>
      <c r="AL558" s="1"/>
      <c r="AM558" s="2"/>
      <c r="AN558" s="2"/>
      <c r="AQ558" s="1"/>
      <c r="BG558" s="1"/>
    </row>
    <row r="559" spans="15:59">
      <c r="O559" s="1"/>
      <c r="P559" s="1"/>
      <c r="AA559" s="1"/>
      <c r="AB559" s="1"/>
      <c r="AG559" s="1"/>
      <c r="AH559" s="1"/>
      <c r="AK559" s="1"/>
      <c r="AL559" s="1"/>
      <c r="AM559" s="2"/>
      <c r="AN559" s="2"/>
      <c r="AQ559" s="1"/>
      <c r="BG559" s="1"/>
    </row>
    <row r="560" spans="15:59">
      <c r="O560" s="1"/>
      <c r="P560" s="1"/>
      <c r="AA560" s="1"/>
      <c r="AB560" s="1"/>
      <c r="AG560" s="1"/>
      <c r="AH560" s="1"/>
      <c r="AK560" s="1"/>
      <c r="AL560" s="1"/>
      <c r="AM560" s="2"/>
      <c r="AN560" s="2"/>
      <c r="AQ560" s="1"/>
      <c r="BG560" s="1"/>
    </row>
    <row r="561" spans="15:59">
      <c r="O561" s="1"/>
      <c r="P561" s="1"/>
      <c r="AA561" s="1"/>
      <c r="AB561" s="1"/>
      <c r="AG561" s="1"/>
      <c r="AH561" s="1"/>
      <c r="AK561" s="1"/>
      <c r="AL561" s="1"/>
      <c r="AM561" s="2"/>
      <c r="AN561" s="2"/>
      <c r="AQ561" s="1"/>
      <c r="BG561" s="1"/>
    </row>
    <row r="562" spans="15:59">
      <c r="O562" s="1"/>
      <c r="P562" s="1"/>
      <c r="AA562" s="1"/>
      <c r="AB562" s="1"/>
      <c r="AG562" s="1"/>
      <c r="AH562" s="1"/>
      <c r="AK562" s="1"/>
      <c r="AL562" s="1"/>
      <c r="AM562" s="2"/>
      <c r="AN562" s="2"/>
      <c r="AQ562" s="1"/>
      <c r="BG562" s="1"/>
    </row>
    <row r="563" spans="15:59">
      <c r="O563" s="1"/>
      <c r="P563" s="1"/>
      <c r="AA563" s="1"/>
      <c r="AB563" s="1"/>
      <c r="AG563" s="1"/>
      <c r="AH563" s="1"/>
      <c r="AK563" s="1"/>
      <c r="AL563" s="1"/>
      <c r="AM563" s="2"/>
      <c r="AN563" s="2"/>
      <c r="AQ563" s="1"/>
      <c r="BG563" s="1"/>
    </row>
    <row r="564" spans="15:59">
      <c r="O564" s="1"/>
      <c r="P564" s="1"/>
      <c r="AA564" s="1"/>
      <c r="AB564" s="1"/>
      <c r="AG564" s="1"/>
      <c r="AH564" s="1"/>
      <c r="AK564" s="1"/>
      <c r="AL564" s="1"/>
      <c r="AM564" s="2"/>
      <c r="AN564" s="2"/>
      <c r="AQ564" s="1"/>
      <c r="BG564" s="1"/>
    </row>
    <row r="565" spans="15:59">
      <c r="O565" s="1"/>
      <c r="P565" s="1"/>
      <c r="AA565" s="1"/>
      <c r="AB565" s="1"/>
      <c r="AG565" s="1"/>
      <c r="AH565" s="1"/>
      <c r="AK565" s="1"/>
      <c r="AL565" s="1"/>
      <c r="AM565" s="2"/>
      <c r="AN565" s="2"/>
      <c r="AQ565" s="1"/>
      <c r="BG565" s="1"/>
    </row>
    <row r="566" spans="15:59">
      <c r="O566" s="1"/>
      <c r="P566" s="1"/>
      <c r="AA566" s="1"/>
      <c r="AB566" s="1"/>
      <c r="AG566" s="1"/>
      <c r="AH566" s="1"/>
      <c r="AK566" s="1"/>
      <c r="AL566" s="1"/>
      <c r="AM566" s="2"/>
      <c r="AN566" s="2"/>
      <c r="AQ566" s="1"/>
      <c r="BG566" s="1"/>
    </row>
    <row r="567" spans="15:59">
      <c r="O567" s="1"/>
      <c r="P567" s="1"/>
      <c r="AA567" s="1"/>
      <c r="AB567" s="1"/>
      <c r="AG567" s="1"/>
      <c r="AH567" s="1"/>
      <c r="AK567" s="1"/>
      <c r="AL567" s="1"/>
      <c r="AM567" s="2"/>
      <c r="AN567" s="2"/>
      <c r="AQ567" s="1"/>
      <c r="BG567" s="1"/>
    </row>
    <row r="568" spans="15:59">
      <c r="O568" s="1"/>
      <c r="P568" s="1"/>
      <c r="AA568" s="1"/>
      <c r="AB568" s="1"/>
      <c r="AG568" s="1"/>
      <c r="AH568" s="1"/>
      <c r="AK568" s="1"/>
      <c r="AL568" s="1"/>
      <c r="AM568" s="2"/>
      <c r="AN568" s="2"/>
      <c r="AQ568" s="1"/>
      <c r="BG568" s="1"/>
    </row>
    <row r="569" spans="15:59">
      <c r="O569" s="1"/>
      <c r="P569" s="1"/>
      <c r="AA569" s="1"/>
      <c r="AB569" s="1"/>
      <c r="AG569" s="1"/>
      <c r="AH569" s="1"/>
      <c r="AK569" s="1"/>
      <c r="AL569" s="1"/>
      <c r="AM569" s="2"/>
      <c r="AN569" s="2"/>
      <c r="AQ569" s="1"/>
      <c r="BG569" s="1"/>
    </row>
    <row r="570" spans="15:59">
      <c r="O570" s="1"/>
      <c r="P570" s="1"/>
      <c r="AA570" s="1"/>
      <c r="AB570" s="1"/>
      <c r="AG570" s="1"/>
      <c r="AH570" s="1"/>
      <c r="AK570" s="1"/>
      <c r="AL570" s="1"/>
      <c r="AM570" s="2"/>
      <c r="AN570" s="2"/>
      <c r="AQ570" s="1"/>
      <c r="BG570" s="1"/>
    </row>
    <row r="571" spans="15:59">
      <c r="O571" s="1"/>
      <c r="P571" s="1"/>
      <c r="AA571" s="1"/>
      <c r="AB571" s="1"/>
      <c r="AG571" s="1"/>
      <c r="AH571" s="1"/>
      <c r="AK571" s="1"/>
      <c r="AL571" s="1"/>
      <c r="AM571" s="2"/>
      <c r="AN571" s="2"/>
      <c r="AQ571" s="1"/>
      <c r="BG571" s="1"/>
    </row>
    <row r="572" spans="15:59">
      <c r="O572" s="1"/>
      <c r="P572" s="1"/>
      <c r="AA572" s="1"/>
      <c r="AB572" s="1"/>
      <c r="AG572" s="1"/>
      <c r="AH572" s="1"/>
      <c r="AK572" s="1"/>
      <c r="AL572" s="1"/>
      <c r="AM572" s="2"/>
      <c r="AN572" s="2"/>
      <c r="AQ572" s="1"/>
      <c r="BG572" s="1"/>
    </row>
    <row r="573" spans="15:59">
      <c r="O573" s="1"/>
      <c r="P573" s="1"/>
      <c r="AA573" s="1"/>
      <c r="AB573" s="1"/>
      <c r="AG573" s="1"/>
      <c r="AH573" s="1"/>
      <c r="AK573" s="1"/>
      <c r="AL573" s="1"/>
      <c r="AM573" s="2"/>
      <c r="AN573" s="2"/>
      <c r="AQ573" s="1"/>
      <c r="BG573" s="1"/>
    </row>
    <row r="574" spans="15:59">
      <c r="O574" s="1"/>
      <c r="P574" s="1"/>
      <c r="AA574" s="1"/>
      <c r="AB574" s="1"/>
      <c r="AG574" s="1"/>
      <c r="AH574" s="1"/>
      <c r="AK574" s="1"/>
      <c r="AL574" s="1"/>
      <c r="AM574" s="2"/>
      <c r="AN574" s="2"/>
      <c r="AQ574" s="1"/>
      <c r="BG574" s="1"/>
    </row>
    <row r="575" spans="15:59">
      <c r="O575" s="1"/>
      <c r="P575" s="1"/>
      <c r="AA575" s="1"/>
      <c r="AB575" s="1"/>
      <c r="AG575" s="1"/>
      <c r="AH575" s="1"/>
      <c r="AK575" s="1"/>
      <c r="AL575" s="1"/>
      <c r="AM575" s="2"/>
      <c r="AN575" s="2"/>
      <c r="AQ575" s="1"/>
      <c r="BG575" s="1"/>
    </row>
    <row r="576" spans="15:59">
      <c r="O576" s="1"/>
      <c r="P576" s="1"/>
      <c r="AA576" s="1"/>
      <c r="AB576" s="1"/>
      <c r="AG576" s="1"/>
      <c r="AH576" s="1"/>
      <c r="AK576" s="1"/>
      <c r="AL576" s="1"/>
      <c r="AM576" s="2"/>
      <c r="AN576" s="2"/>
      <c r="AQ576" s="1"/>
      <c r="BG576" s="1"/>
    </row>
    <row r="577" spans="15:59">
      <c r="O577" s="1"/>
      <c r="P577" s="1"/>
      <c r="AA577" s="1"/>
      <c r="AB577" s="1"/>
      <c r="AG577" s="1"/>
      <c r="AH577" s="1"/>
      <c r="AK577" s="1"/>
      <c r="AL577" s="1"/>
      <c r="AM577" s="2"/>
      <c r="AN577" s="2"/>
      <c r="AQ577" s="1"/>
      <c r="BG577" s="1"/>
    </row>
    <row r="578" spans="15:59">
      <c r="O578" s="1"/>
      <c r="P578" s="1"/>
      <c r="AA578" s="1"/>
      <c r="AB578" s="1"/>
      <c r="AG578" s="1"/>
      <c r="AH578" s="1"/>
      <c r="AK578" s="1"/>
      <c r="AL578" s="1"/>
      <c r="AM578" s="2"/>
      <c r="AN578" s="2"/>
      <c r="AQ578" s="1"/>
      <c r="BG578" s="1"/>
    </row>
    <row r="579" spans="15:59">
      <c r="O579" s="1"/>
      <c r="P579" s="1"/>
      <c r="AA579" s="1"/>
      <c r="AB579" s="1"/>
      <c r="AG579" s="1"/>
      <c r="AH579" s="1"/>
      <c r="AK579" s="1"/>
      <c r="AL579" s="1"/>
      <c r="AM579" s="2"/>
      <c r="AN579" s="2"/>
      <c r="AQ579" s="1"/>
      <c r="BG579" s="1"/>
    </row>
    <row r="580" spans="15:59">
      <c r="O580" s="1"/>
      <c r="P580" s="1"/>
      <c r="AA580" s="1"/>
      <c r="AB580" s="1"/>
      <c r="AG580" s="1"/>
      <c r="AH580" s="1"/>
      <c r="AK580" s="1"/>
      <c r="AL580" s="1"/>
      <c r="AM580" s="2"/>
      <c r="AN580" s="2"/>
      <c r="AQ580" s="1"/>
      <c r="BG580" s="1"/>
    </row>
    <row r="581" spans="15:59">
      <c r="O581" s="1"/>
      <c r="P581" s="1"/>
      <c r="AA581" s="1"/>
      <c r="AB581" s="1"/>
      <c r="AG581" s="1"/>
      <c r="AH581" s="1"/>
      <c r="AK581" s="1"/>
      <c r="AL581" s="1"/>
      <c r="AM581" s="2"/>
      <c r="AN581" s="2"/>
      <c r="AQ581" s="1"/>
      <c r="BG581" s="1"/>
    </row>
    <row r="582" spans="15:59">
      <c r="O582" s="1"/>
      <c r="P582" s="1"/>
      <c r="AA582" s="1"/>
      <c r="AB582" s="1"/>
      <c r="AG582" s="1"/>
      <c r="AH582" s="1"/>
      <c r="AK582" s="1"/>
      <c r="AL582" s="1"/>
      <c r="AM582" s="2"/>
      <c r="AN582" s="2"/>
      <c r="AQ582" s="1"/>
      <c r="BG582" s="1"/>
    </row>
    <row r="583" spans="15:59">
      <c r="O583" s="1"/>
      <c r="P583" s="1"/>
      <c r="AA583" s="1"/>
      <c r="AB583" s="1"/>
      <c r="AG583" s="1"/>
      <c r="AH583" s="1"/>
      <c r="AK583" s="1"/>
      <c r="AL583" s="1"/>
      <c r="AM583" s="2"/>
      <c r="AN583" s="2"/>
      <c r="AQ583" s="1"/>
      <c r="BG583" s="1"/>
    </row>
    <row r="584" spans="15:59">
      <c r="O584" s="1"/>
      <c r="P584" s="1"/>
      <c r="AA584" s="1"/>
      <c r="AB584" s="1"/>
      <c r="AG584" s="1"/>
      <c r="AH584" s="1"/>
      <c r="AK584" s="1"/>
      <c r="AL584" s="1"/>
      <c r="AM584" s="2"/>
      <c r="AN584" s="2"/>
      <c r="AQ584" s="1"/>
      <c r="BG584" s="1"/>
    </row>
    <row r="585" spans="15:59">
      <c r="O585" s="1"/>
      <c r="P585" s="1"/>
      <c r="AA585" s="1"/>
      <c r="AB585" s="1"/>
      <c r="AG585" s="1"/>
      <c r="AH585" s="1"/>
      <c r="AK585" s="1"/>
      <c r="AL585" s="1"/>
      <c r="AM585" s="2"/>
      <c r="AN585" s="2"/>
      <c r="AQ585" s="1"/>
      <c r="BG585" s="1"/>
    </row>
    <row r="586" spans="15:59">
      <c r="O586" s="1"/>
      <c r="P586" s="1"/>
      <c r="AA586" s="1"/>
      <c r="AB586" s="1"/>
      <c r="AG586" s="1"/>
      <c r="AH586" s="1"/>
      <c r="AK586" s="1"/>
      <c r="AL586" s="1"/>
      <c r="AM586" s="2"/>
      <c r="AN586" s="2"/>
      <c r="AQ586" s="1"/>
      <c r="BG586" s="1"/>
    </row>
    <row r="587" spans="15:59">
      <c r="O587" s="1"/>
      <c r="P587" s="1"/>
      <c r="AA587" s="1"/>
      <c r="AB587" s="1"/>
      <c r="AG587" s="1"/>
      <c r="AH587" s="1"/>
      <c r="AK587" s="1"/>
      <c r="AL587" s="1"/>
      <c r="AM587" s="2"/>
      <c r="AN587" s="2"/>
      <c r="AQ587" s="1"/>
      <c r="BG587" s="1"/>
    </row>
    <row r="588" spans="15:59">
      <c r="O588" s="1"/>
      <c r="P588" s="1"/>
      <c r="AA588" s="1"/>
      <c r="AB588" s="1"/>
      <c r="AG588" s="1"/>
      <c r="AH588" s="1"/>
      <c r="AK588" s="1"/>
      <c r="AL588" s="1"/>
      <c r="AM588" s="2"/>
      <c r="AN588" s="2"/>
      <c r="AQ588" s="1"/>
      <c r="BG588" s="1"/>
    </row>
    <row r="589" spans="15:59">
      <c r="O589" s="1"/>
      <c r="P589" s="1"/>
      <c r="AA589" s="1"/>
      <c r="AB589" s="1"/>
      <c r="AG589" s="1"/>
      <c r="AH589" s="1"/>
      <c r="AK589" s="1"/>
      <c r="AL589" s="1"/>
      <c r="AM589" s="2"/>
      <c r="AN589" s="2"/>
      <c r="AQ589" s="1"/>
      <c r="BG589" s="1"/>
    </row>
    <row r="590" spans="15:59">
      <c r="O590" s="1"/>
      <c r="P590" s="1"/>
      <c r="AA590" s="1"/>
      <c r="AB590" s="1"/>
      <c r="AG590" s="1"/>
      <c r="AH590" s="1"/>
      <c r="AK590" s="1"/>
      <c r="AL590" s="1"/>
      <c r="AM590" s="2"/>
      <c r="AN590" s="2"/>
      <c r="AQ590" s="1"/>
      <c r="BG590" s="1"/>
    </row>
    <row r="591" spans="15:59">
      <c r="O591" s="1"/>
      <c r="P591" s="1"/>
      <c r="AA591" s="1"/>
      <c r="AB591" s="1"/>
      <c r="AG591" s="1"/>
      <c r="AH591" s="1"/>
      <c r="AK591" s="1"/>
      <c r="AL591" s="1"/>
      <c r="AM591" s="2"/>
      <c r="AN591" s="2"/>
      <c r="AQ591" s="1"/>
      <c r="BG591" s="1"/>
    </row>
    <row r="592" spans="15:59">
      <c r="O592" s="1"/>
      <c r="P592" s="1"/>
      <c r="AA592" s="1"/>
      <c r="AB592" s="1"/>
      <c r="AG592" s="1"/>
      <c r="AH592" s="1"/>
      <c r="AK592" s="1"/>
      <c r="AL592" s="1"/>
      <c r="AM592" s="2"/>
      <c r="AN592" s="2"/>
      <c r="AQ592" s="1"/>
      <c r="BG592" s="1"/>
    </row>
    <row r="593" spans="15:59">
      <c r="O593" s="1"/>
      <c r="P593" s="1"/>
      <c r="AA593" s="1"/>
      <c r="AB593" s="1"/>
      <c r="AG593" s="1"/>
      <c r="AH593" s="1"/>
      <c r="AK593" s="1"/>
      <c r="AL593" s="1"/>
      <c r="AM593" s="2"/>
      <c r="AN593" s="2"/>
      <c r="AQ593" s="1"/>
      <c r="BG593" s="1"/>
    </row>
    <row r="594" spans="15:59">
      <c r="O594" s="1"/>
      <c r="P594" s="1"/>
      <c r="AA594" s="1"/>
      <c r="AB594" s="1"/>
      <c r="AG594" s="1"/>
      <c r="AH594" s="1"/>
      <c r="AK594" s="1"/>
      <c r="AL594" s="1"/>
      <c r="AM594" s="2"/>
      <c r="AN594" s="2"/>
      <c r="AQ594" s="1"/>
      <c r="BG594" s="1"/>
    </row>
    <row r="595" spans="15:59">
      <c r="O595" s="1"/>
      <c r="P595" s="1"/>
      <c r="AA595" s="1"/>
      <c r="AB595" s="1"/>
      <c r="AG595" s="1"/>
      <c r="AH595" s="1"/>
      <c r="AK595" s="1"/>
      <c r="AL595" s="1"/>
      <c r="AM595" s="2"/>
      <c r="AN595" s="2"/>
      <c r="AQ595" s="1"/>
      <c r="BG595" s="1"/>
    </row>
    <row r="596" spans="15:59">
      <c r="O596" s="1"/>
      <c r="P596" s="1"/>
      <c r="AA596" s="1"/>
      <c r="AB596" s="1"/>
      <c r="AG596" s="1"/>
      <c r="AH596" s="1"/>
      <c r="AK596" s="1"/>
      <c r="AL596" s="1"/>
      <c r="AM596" s="2"/>
      <c r="AN596" s="2"/>
      <c r="AQ596" s="1"/>
      <c r="BG596" s="1"/>
    </row>
    <row r="597" spans="15:59">
      <c r="O597" s="1"/>
      <c r="P597" s="1"/>
      <c r="AA597" s="1"/>
      <c r="AB597" s="1"/>
      <c r="AG597" s="1"/>
      <c r="AH597" s="1"/>
      <c r="AK597" s="1"/>
      <c r="AL597" s="1"/>
      <c r="AM597" s="2"/>
      <c r="AN597" s="2"/>
      <c r="AQ597" s="1"/>
      <c r="BG597" s="1"/>
    </row>
    <row r="598" spans="15:59">
      <c r="O598" s="1"/>
      <c r="P598" s="1"/>
      <c r="AA598" s="1"/>
      <c r="AB598" s="1"/>
      <c r="AG598" s="1"/>
      <c r="AH598" s="1"/>
      <c r="AK598" s="1"/>
      <c r="AL598" s="1"/>
      <c r="AM598" s="2"/>
      <c r="AN598" s="2"/>
      <c r="AQ598" s="1"/>
      <c r="BG598" s="1"/>
    </row>
    <row r="599" spans="15:59">
      <c r="O599" s="1"/>
      <c r="P599" s="1"/>
      <c r="AA599" s="1"/>
      <c r="AB599" s="1"/>
      <c r="AG599" s="1"/>
      <c r="AH599" s="1"/>
      <c r="AK599" s="1"/>
      <c r="AL599" s="1"/>
      <c r="AM599" s="2"/>
      <c r="AN599" s="2"/>
      <c r="AQ599" s="1"/>
      <c r="BG599" s="1"/>
    </row>
    <row r="600" spans="15:59">
      <c r="O600" s="1"/>
      <c r="P600" s="1"/>
      <c r="AA600" s="1"/>
      <c r="AB600" s="1"/>
      <c r="AG600" s="1"/>
      <c r="AH600" s="1"/>
      <c r="AK600" s="1"/>
      <c r="AL600" s="1"/>
      <c r="AM600" s="2"/>
      <c r="AN600" s="2"/>
      <c r="AQ600" s="1"/>
      <c r="BG600" s="1"/>
    </row>
    <row r="601" spans="15:59">
      <c r="O601" s="1"/>
      <c r="P601" s="1"/>
      <c r="AA601" s="1"/>
      <c r="AB601" s="1"/>
      <c r="AG601" s="1"/>
      <c r="AH601" s="1"/>
      <c r="AK601" s="1"/>
      <c r="AL601" s="1"/>
      <c r="AM601" s="2"/>
      <c r="AN601" s="2"/>
      <c r="AQ601" s="1"/>
      <c r="BG601" s="1"/>
    </row>
    <row r="602" spans="15:59">
      <c r="O602" s="1"/>
      <c r="P602" s="1"/>
      <c r="AA602" s="1"/>
      <c r="AB602" s="1"/>
      <c r="AG602" s="1"/>
      <c r="AH602" s="1"/>
      <c r="AK602" s="1"/>
      <c r="AL602" s="1"/>
      <c r="AM602" s="2"/>
      <c r="AN602" s="2"/>
      <c r="AQ602" s="1"/>
      <c r="BG602" s="1"/>
    </row>
    <row r="603" spans="15:59">
      <c r="O603" s="1"/>
      <c r="P603" s="1"/>
      <c r="AA603" s="1"/>
      <c r="AB603" s="1"/>
      <c r="AG603" s="1"/>
      <c r="AH603" s="1"/>
      <c r="AK603" s="1"/>
      <c r="AL603" s="1"/>
      <c r="AM603" s="2"/>
      <c r="AN603" s="2"/>
      <c r="AQ603" s="1"/>
      <c r="BG603" s="1"/>
    </row>
    <row r="604" spans="15:59">
      <c r="O604" s="1"/>
      <c r="P604" s="1"/>
      <c r="AA604" s="1"/>
      <c r="AB604" s="1"/>
      <c r="AG604" s="1"/>
      <c r="AH604" s="1"/>
      <c r="AK604" s="1"/>
      <c r="AL604" s="1"/>
      <c r="AM604" s="2"/>
      <c r="AN604" s="2"/>
      <c r="AQ604" s="1"/>
      <c r="BG604" s="1"/>
    </row>
    <row r="605" spans="15:59">
      <c r="O605" s="1"/>
      <c r="P605" s="1"/>
      <c r="AA605" s="1"/>
      <c r="AB605" s="1"/>
      <c r="AG605" s="1"/>
      <c r="AH605" s="1"/>
      <c r="AK605" s="1"/>
      <c r="AL605" s="1"/>
      <c r="AM605" s="2"/>
      <c r="AN605" s="2"/>
      <c r="AQ605" s="1"/>
      <c r="BG605" s="1"/>
    </row>
    <row r="606" spans="15:59">
      <c r="O606" s="1"/>
      <c r="P606" s="1"/>
      <c r="AA606" s="1"/>
      <c r="AB606" s="1"/>
      <c r="AG606" s="1"/>
      <c r="AH606" s="1"/>
      <c r="AK606" s="1"/>
      <c r="AL606" s="1"/>
      <c r="AM606" s="2"/>
      <c r="AN606" s="2"/>
      <c r="AQ606" s="1"/>
      <c r="BG606" s="1"/>
    </row>
    <row r="607" spans="15:59">
      <c r="O607" s="1"/>
      <c r="P607" s="1"/>
      <c r="AA607" s="1"/>
      <c r="AB607" s="1"/>
      <c r="AG607" s="1"/>
      <c r="AH607" s="1"/>
      <c r="AK607" s="1"/>
      <c r="AL607" s="1"/>
      <c r="AM607" s="2"/>
      <c r="AN607" s="2"/>
      <c r="AQ607" s="1"/>
      <c r="BG607" s="1"/>
    </row>
    <row r="608" spans="15:59">
      <c r="O608" s="1"/>
      <c r="P608" s="1"/>
      <c r="AA608" s="1"/>
      <c r="AB608" s="1"/>
      <c r="AG608" s="1"/>
      <c r="AH608" s="1"/>
      <c r="AK608" s="1"/>
      <c r="AL608" s="1"/>
      <c r="AM608" s="2"/>
      <c r="AN608" s="2"/>
      <c r="AQ608" s="1"/>
      <c r="BG608" s="1"/>
    </row>
    <row r="609" spans="15:59">
      <c r="O609" s="1"/>
      <c r="P609" s="1"/>
      <c r="AA609" s="1"/>
      <c r="AB609" s="1"/>
      <c r="AG609" s="1"/>
      <c r="AH609" s="1"/>
      <c r="AK609" s="1"/>
      <c r="AL609" s="1"/>
      <c r="AM609" s="2"/>
      <c r="AN609" s="2"/>
      <c r="AQ609" s="1"/>
      <c r="BG609" s="1"/>
    </row>
    <row r="610" spans="15:59">
      <c r="O610" s="1"/>
      <c r="P610" s="1"/>
      <c r="AA610" s="1"/>
      <c r="AB610" s="1"/>
      <c r="AG610" s="1"/>
      <c r="AH610" s="1"/>
      <c r="AK610" s="1"/>
      <c r="AL610" s="1"/>
      <c r="AM610" s="2"/>
      <c r="AN610" s="2"/>
      <c r="AQ610" s="1"/>
      <c r="BG610" s="1"/>
    </row>
    <row r="611" spans="15:59">
      <c r="O611" s="1"/>
      <c r="P611" s="1"/>
      <c r="AA611" s="1"/>
      <c r="AB611" s="1"/>
      <c r="AG611" s="1"/>
      <c r="AH611" s="1"/>
      <c r="AK611" s="1"/>
      <c r="AL611" s="1"/>
      <c r="AM611" s="2"/>
      <c r="AN611" s="2"/>
      <c r="AQ611" s="1"/>
      <c r="BG611" s="1"/>
    </row>
    <row r="612" spans="15:59">
      <c r="O612" s="1"/>
      <c r="P612" s="1"/>
      <c r="AA612" s="1"/>
      <c r="AB612" s="1"/>
      <c r="AG612" s="1"/>
      <c r="AH612" s="1"/>
      <c r="AK612" s="1"/>
      <c r="AL612" s="1"/>
      <c r="AM612" s="2"/>
      <c r="AN612" s="2"/>
      <c r="AQ612" s="1"/>
      <c r="BG612" s="1"/>
    </row>
    <row r="613" spans="15:59">
      <c r="O613" s="1"/>
      <c r="P613" s="1"/>
      <c r="AA613" s="1"/>
      <c r="AB613" s="1"/>
      <c r="AG613" s="1"/>
      <c r="AH613" s="1"/>
      <c r="AK613" s="1"/>
      <c r="AL613" s="1"/>
      <c r="AM613" s="2"/>
      <c r="AN613" s="2"/>
      <c r="AQ613" s="1"/>
      <c r="BG613" s="1"/>
    </row>
    <row r="614" spans="15:59">
      <c r="O614" s="1"/>
      <c r="P614" s="1"/>
      <c r="AA614" s="1"/>
      <c r="AB614" s="1"/>
      <c r="AG614" s="1"/>
      <c r="AH614" s="1"/>
      <c r="AK614" s="1"/>
      <c r="AL614" s="1"/>
      <c r="AM614" s="2"/>
      <c r="AN614" s="2"/>
      <c r="AQ614" s="1"/>
      <c r="BG614" s="1"/>
    </row>
    <row r="615" spans="15:59">
      <c r="O615" s="1"/>
      <c r="P615" s="1"/>
      <c r="AA615" s="1"/>
      <c r="AB615" s="1"/>
      <c r="AG615" s="1"/>
      <c r="AH615" s="1"/>
      <c r="AK615" s="1"/>
      <c r="AL615" s="1"/>
      <c r="AM615" s="2"/>
      <c r="AN615" s="2"/>
      <c r="AQ615" s="1"/>
      <c r="BG615" s="1"/>
    </row>
    <row r="616" spans="15:59">
      <c r="O616" s="1"/>
      <c r="P616" s="1"/>
      <c r="AA616" s="1"/>
      <c r="AB616" s="1"/>
      <c r="AG616" s="1"/>
      <c r="AH616" s="1"/>
      <c r="AK616" s="1"/>
      <c r="AL616" s="1"/>
      <c r="AM616" s="2"/>
      <c r="AN616" s="2"/>
      <c r="AQ616" s="1"/>
      <c r="BG616" s="1"/>
    </row>
    <row r="617" spans="15:59">
      <c r="O617" s="1"/>
      <c r="P617" s="1"/>
      <c r="AA617" s="1"/>
      <c r="AB617" s="1"/>
      <c r="AG617" s="1"/>
      <c r="AH617" s="1"/>
      <c r="AK617" s="1"/>
      <c r="AL617" s="1"/>
      <c r="AM617" s="2"/>
      <c r="AN617" s="2"/>
      <c r="AQ617" s="1"/>
      <c r="BG617" s="1"/>
    </row>
    <row r="618" spans="15:59">
      <c r="O618" s="1"/>
      <c r="P618" s="1"/>
      <c r="AA618" s="1"/>
      <c r="AB618" s="1"/>
      <c r="AG618" s="1"/>
      <c r="AH618" s="1"/>
      <c r="AK618" s="1"/>
      <c r="AL618" s="1"/>
      <c r="AM618" s="2"/>
      <c r="AN618" s="2"/>
      <c r="AQ618" s="1"/>
      <c r="BG618" s="1"/>
    </row>
    <row r="619" spans="15:59">
      <c r="O619" s="1"/>
      <c r="P619" s="1"/>
      <c r="AA619" s="1"/>
      <c r="AB619" s="1"/>
      <c r="AG619" s="1"/>
      <c r="AH619" s="1"/>
      <c r="AK619" s="1"/>
      <c r="AL619" s="1"/>
      <c r="AM619" s="2"/>
      <c r="AN619" s="2"/>
      <c r="AQ619" s="1"/>
      <c r="BG619" s="1"/>
    </row>
    <row r="620" spans="15:59">
      <c r="O620" s="1"/>
      <c r="P620" s="1"/>
      <c r="AA620" s="1"/>
      <c r="AB620" s="1"/>
      <c r="AG620" s="1"/>
      <c r="AH620" s="1"/>
      <c r="AK620" s="1"/>
      <c r="AL620" s="1"/>
      <c r="AM620" s="2"/>
      <c r="AN620" s="2"/>
      <c r="AQ620" s="1"/>
      <c r="BG620" s="1"/>
    </row>
    <row r="621" spans="15:59">
      <c r="O621" s="1"/>
      <c r="P621" s="1"/>
      <c r="AA621" s="1"/>
      <c r="AB621" s="1"/>
      <c r="AG621" s="1"/>
      <c r="AH621" s="1"/>
      <c r="AK621" s="1"/>
      <c r="AL621" s="1"/>
      <c r="AM621" s="2"/>
      <c r="AN621" s="2"/>
      <c r="AQ621" s="1"/>
      <c r="BG621" s="1"/>
    </row>
    <row r="622" spans="15:59">
      <c r="O622" s="1"/>
      <c r="P622" s="1"/>
      <c r="AA622" s="1"/>
      <c r="AB622" s="1"/>
      <c r="AG622" s="1"/>
      <c r="AH622" s="1"/>
      <c r="AK622" s="1"/>
      <c r="AL622" s="1"/>
      <c r="AM622" s="2"/>
      <c r="AN622" s="2"/>
      <c r="AQ622" s="1"/>
      <c r="BG622" s="1"/>
    </row>
    <row r="623" spans="15:59">
      <c r="O623" s="1"/>
      <c r="P623" s="1"/>
      <c r="AA623" s="1"/>
      <c r="AB623" s="1"/>
      <c r="AG623" s="1"/>
      <c r="AH623" s="1"/>
      <c r="AK623" s="1"/>
      <c r="AL623" s="1"/>
      <c r="AM623" s="2"/>
      <c r="AN623" s="2"/>
      <c r="AQ623" s="1"/>
      <c r="BG623" s="1"/>
    </row>
    <row r="624" spans="15:59">
      <c r="O624" s="1"/>
      <c r="P624" s="1"/>
      <c r="AA624" s="1"/>
      <c r="AB624" s="1"/>
      <c r="AG624" s="1"/>
      <c r="AH624" s="1"/>
      <c r="AK624" s="1"/>
      <c r="AL624" s="1"/>
      <c r="AM624" s="2"/>
      <c r="AN624" s="2"/>
      <c r="AQ624" s="1"/>
      <c r="BG624" s="1"/>
    </row>
    <row r="625" spans="15:59">
      <c r="O625" s="1"/>
      <c r="P625" s="1"/>
      <c r="AA625" s="1"/>
      <c r="AB625" s="1"/>
      <c r="AG625" s="1"/>
      <c r="AH625" s="1"/>
      <c r="AK625" s="1"/>
      <c r="AL625" s="1"/>
      <c r="AM625" s="2"/>
      <c r="AN625" s="2"/>
      <c r="AQ625" s="1"/>
      <c r="BG625" s="1"/>
    </row>
    <row r="626" spans="15:59">
      <c r="O626" s="1"/>
      <c r="P626" s="1"/>
      <c r="AA626" s="1"/>
      <c r="AB626" s="1"/>
      <c r="AG626" s="1"/>
      <c r="AH626" s="1"/>
      <c r="AK626" s="1"/>
      <c r="AL626" s="1"/>
      <c r="AM626" s="2"/>
      <c r="AN626" s="2"/>
      <c r="AQ626" s="1"/>
      <c r="BG626" s="1"/>
    </row>
    <row r="627" spans="15:59">
      <c r="O627" s="1"/>
      <c r="P627" s="1"/>
      <c r="AA627" s="1"/>
      <c r="AB627" s="1"/>
      <c r="AG627" s="1"/>
      <c r="AH627" s="1"/>
      <c r="AK627" s="1"/>
      <c r="AL627" s="1"/>
      <c r="AM627" s="2"/>
      <c r="AN627" s="2"/>
      <c r="AQ627" s="1"/>
      <c r="BG627" s="1"/>
    </row>
    <row r="628" spans="15:59">
      <c r="O628" s="1"/>
      <c r="P628" s="1"/>
      <c r="AA628" s="1"/>
      <c r="AB628" s="1"/>
      <c r="AG628" s="1"/>
      <c r="AH628" s="1"/>
      <c r="AK628" s="1"/>
      <c r="AL628" s="1"/>
      <c r="AM628" s="2"/>
      <c r="AN628" s="2"/>
      <c r="AQ628" s="1"/>
      <c r="BG628" s="1"/>
    </row>
    <row r="629" spans="15:59">
      <c r="O629" s="1"/>
      <c r="P629" s="1"/>
      <c r="AA629" s="1"/>
      <c r="AB629" s="1"/>
      <c r="AG629" s="1"/>
      <c r="AH629" s="1"/>
      <c r="AK629" s="1"/>
      <c r="AL629" s="1"/>
      <c r="AM629" s="2"/>
      <c r="AN629" s="2"/>
      <c r="AQ629" s="1"/>
      <c r="BG629" s="1"/>
    </row>
    <row r="630" spans="15:59">
      <c r="O630" s="1"/>
      <c r="P630" s="1"/>
      <c r="AA630" s="1"/>
      <c r="AB630" s="1"/>
      <c r="AG630" s="1"/>
      <c r="AH630" s="1"/>
      <c r="AK630" s="1"/>
      <c r="AL630" s="1"/>
      <c r="AM630" s="2"/>
      <c r="AN630" s="2"/>
      <c r="AQ630" s="1"/>
      <c r="BG630" s="1"/>
    </row>
    <row r="631" spans="15:59">
      <c r="O631" s="1"/>
      <c r="P631" s="1"/>
      <c r="AA631" s="1"/>
      <c r="AB631" s="1"/>
      <c r="AG631" s="1"/>
      <c r="AH631" s="1"/>
      <c r="AK631" s="1"/>
      <c r="AL631" s="1"/>
      <c r="AM631" s="2"/>
      <c r="AN631" s="2"/>
      <c r="AQ631" s="1"/>
      <c r="BG631" s="1"/>
    </row>
    <row r="632" spans="15:59">
      <c r="O632" s="1"/>
      <c r="P632" s="1"/>
      <c r="AA632" s="1"/>
      <c r="AB632" s="1"/>
      <c r="AG632" s="1"/>
      <c r="AH632" s="1"/>
      <c r="AK632" s="1"/>
      <c r="AL632" s="1"/>
      <c r="AM632" s="2"/>
      <c r="AN632" s="2"/>
      <c r="AQ632" s="1"/>
      <c r="BG632" s="1"/>
    </row>
    <row r="633" spans="15:59">
      <c r="O633" s="1"/>
      <c r="P633" s="1"/>
      <c r="AA633" s="1"/>
      <c r="AB633" s="1"/>
      <c r="AG633" s="1"/>
      <c r="AH633" s="1"/>
      <c r="AK633" s="1"/>
      <c r="AL633" s="1"/>
      <c r="AM633" s="2"/>
      <c r="AN633" s="2"/>
      <c r="AQ633" s="1"/>
      <c r="BG633" s="1"/>
    </row>
    <row r="634" spans="15:59">
      <c r="O634" s="1"/>
      <c r="P634" s="1"/>
      <c r="AA634" s="1"/>
      <c r="AB634" s="1"/>
      <c r="AG634" s="1"/>
      <c r="AH634" s="1"/>
      <c r="AK634" s="1"/>
      <c r="AL634" s="1"/>
      <c r="AM634" s="2"/>
      <c r="AN634" s="2"/>
      <c r="AQ634" s="1"/>
      <c r="BG634" s="1"/>
    </row>
    <row r="635" spans="15:59">
      <c r="O635" s="1"/>
      <c r="P635" s="1"/>
      <c r="AA635" s="1"/>
      <c r="AB635" s="1"/>
      <c r="AG635" s="1"/>
      <c r="AH635" s="1"/>
      <c r="AK635" s="1"/>
      <c r="AL635" s="1"/>
      <c r="AM635" s="2"/>
      <c r="AN635" s="2"/>
      <c r="AQ635" s="1"/>
      <c r="BG635" s="1"/>
    </row>
    <row r="636" spans="15:59">
      <c r="O636" s="1"/>
      <c r="P636" s="1"/>
      <c r="AA636" s="1"/>
      <c r="AB636" s="1"/>
      <c r="AG636" s="1"/>
      <c r="AH636" s="1"/>
      <c r="AK636" s="1"/>
      <c r="AL636" s="1"/>
      <c r="AM636" s="2"/>
      <c r="AN636" s="2"/>
      <c r="AQ636" s="1"/>
      <c r="BG636" s="1"/>
    </row>
    <row r="637" spans="15:59">
      <c r="O637" s="1"/>
      <c r="P637" s="1"/>
      <c r="AA637" s="1"/>
      <c r="AB637" s="1"/>
      <c r="AG637" s="1"/>
      <c r="AH637" s="1"/>
      <c r="AK637" s="1"/>
      <c r="AL637" s="1"/>
      <c r="AM637" s="2"/>
      <c r="AN637" s="2"/>
      <c r="AQ637" s="1"/>
      <c r="BG637" s="1"/>
    </row>
    <row r="638" spans="15:59">
      <c r="O638" s="1"/>
      <c r="P638" s="1"/>
      <c r="AA638" s="1"/>
      <c r="AB638" s="1"/>
      <c r="AG638" s="1"/>
      <c r="AH638" s="1"/>
      <c r="AK638" s="1"/>
      <c r="AL638" s="1"/>
      <c r="AM638" s="2"/>
      <c r="AN638" s="2"/>
      <c r="AQ638" s="1"/>
      <c r="BG638" s="1"/>
    </row>
    <row r="639" spans="15:59">
      <c r="O639" s="1"/>
      <c r="P639" s="1"/>
      <c r="AA639" s="1"/>
      <c r="AB639" s="1"/>
      <c r="AG639" s="1"/>
      <c r="AH639" s="1"/>
      <c r="AK639" s="1"/>
      <c r="AL639" s="1"/>
      <c r="AM639" s="2"/>
      <c r="AN639" s="2"/>
      <c r="AQ639" s="1"/>
      <c r="BG639" s="1"/>
    </row>
    <row r="640" spans="15:59">
      <c r="O640" s="1"/>
      <c r="P640" s="1"/>
      <c r="AA640" s="1"/>
      <c r="AB640" s="1"/>
      <c r="AG640" s="1"/>
      <c r="AH640" s="1"/>
      <c r="AK640" s="1"/>
      <c r="AL640" s="1"/>
      <c r="AM640" s="2"/>
      <c r="AN640" s="2"/>
      <c r="AQ640" s="1"/>
      <c r="BG640" s="1"/>
    </row>
    <row r="641" spans="15:59">
      <c r="O641" s="1"/>
      <c r="P641" s="1"/>
      <c r="AA641" s="1"/>
      <c r="AB641" s="1"/>
      <c r="AG641" s="1"/>
      <c r="AH641" s="1"/>
      <c r="AK641" s="1"/>
      <c r="AL641" s="1"/>
      <c r="AM641" s="2"/>
      <c r="AN641" s="2"/>
      <c r="AQ641" s="1"/>
      <c r="BG641" s="1"/>
    </row>
    <row r="642" spans="15:59">
      <c r="O642" s="1"/>
      <c r="P642" s="1"/>
      <c r="AA642" s="1"/>
      <c r="AB642" s="1"/>
      <c r="AG642" s="1"/>
      <c r="AH642" s="1"/>
      <c r="AK642" s="1"/>
      <c r="AL642" s="1"/>
      <c r="AM642" s="2"/>
      <c r="AN642" s="2"/>
      <c r="AQ642" s="1"/>
      <c r="BG642" s="1"/>
    </row>
    <row r="643" spans="15:59">
      <c r="O643" s="1"/>
      <c r="P643" s="1"/>
      <c r="AA643" s="1"/>
      <c r="AB643" s="1"/>
      <c r="AG643" s="1"/>
      <c r="AH643" s="1"/>
      <c r="AK643" s="1"/>
      <c r="AL643" s="1"/>
      <c r="AM643" s="2"/>
      <c r="AN643" s="2"/>
      <c r="AQ643" s="1"/>
      <c r="BG643" s="1"/>
    </row>
    <row r="644" spans="15:59">
      <c r="O644" s="1"/>
      <c r="P644" s="1"/>
      <c r="AA644" s="1"/>
      <c r="AB644" s="1"/>
      <c r="AG644" s="1"/>
      <c r="AH644" s="1"/>
      <c r="AK644" s="1"/>
      <c r="AL644" s="1"/>
      <c r="AM644" s="2"/>
      <c r="AN644" s="2"/>
      <c r="AQ644" s="1"/>
      <c r="BG644" s="1"/>
    </row>
    <row r="645" spans="15:59">
      <c r="O645" s="1"/>
      <c r="P645" s="1"/>
      <c r="AA645" s="1"/>
      <c r="AB645" s="1"/>
      <c r="AG645" s="1"/>
      <c r="AH645" s="1"/>
      <c r="AK645" s="1"/>
      <c r="AL645" s="1"/>
      <c r="AM645" s="2"/>
      <c r="AN645" s="2"/>
      <c r="AQ645" s="1"/>
      <c r="BG645" s="1"/>
    </row>
    <row r="646" spans="15:59">
      <c r="O646" s="1"/>
      <c r="P646" s="1"/>
      <c r="AA646" s="1"/>
      <c r="AB646" s="1"/>
      <c r="AG646" s="1"/>
      <c r="AH646" s="1"/>
      <c r="AK646" s="1"/>
      <c r="AL646" s="1"/>
      <c r="AM646" s="2"/>
      <c r="AN646" s="2"/>
      <c r="AQ646" s="1"/>
      <c r="BG646" s="1"/>
    </row>
    <row r="647" spans="15:59">
      <c r="O647" s="1"/>
      <c r="P647" s="1"/>
      <c r="AA647" s="1"/>
      <c r="AB647" s="1"/>
      <c r="AG647" s="1"/>
      <c r="AH647" s="1"/>
      <c r="AK647" s="1"/>
      <c r="AL647" s="1"/>
      <c r="AM647" s="2"/>
      <c r="AN647" s="2"/>
      <c r="AQ647" s="1"/>
      <c r="BG647" s="1"/>
    </row>
    <row r="648" spans="15:59">
      <c r="O648" s="1"/>
      <c r="P648" s="1"/>
      <c r="AA648" s="1"/>
      <c r="AB648" s="1"/>
      <c r="AG648" s="1"/>
      <c r="AH648" s="1"/>
      <c r="AK648" s="1"/>
      <c r="AL648" s="1"/>
      <c r="AM648" s="2"/>
      <c r="AN648" s="2"/>
      <c r="AQ648" s="1"/>
      <c r="BG648" s="1"/>
    </row>
    <row r="649" spans="15:59">
      <c r="O649" s="1"/>
      <c r="P649" s="1"/>
      <c r="AA649" s="1"/>
      <c r="AB649" s="1"/>
      <c r="AG649" s="1"/>
      <c r="AH649" s="1"/>
      <c r="AK649" s="1"/>
      <c r="AL649" s="1"/>
      <c r="AM649" s="2"/>
      <c r="AN649" s="2"/>
      <c r="AQ649" s="1"/>
      <c r="BG649" s="1"/>
    </row>
    <row r="650" spans="15:59">
      <c r="O650" s="1"/>
      <c r="P650" s="1"/>
      <c r="AA650" s="1"/>
      <c r="AB650" s="1"/>
      <c r="AG650" s="1"/>
      <c r="AH650" s="1"/>
      <c r="AK650" s="1"/>
      <c r="AL650" s="1"/>
      <c r="AM650" s="2"/>
      <c r="AN650" s="2"/>
      <c r="AQ650" s="1"/>
      <c r="BG650" s="1"/>
    </row>
    <row r="651" spans="15:59">
      <c r="O651" s="1"/>
      <c r="P651" s="1"/>
      <c r="AA651" s="1"/>
      <c r="AB651" s="1"/>
      <c r="AG651" s="1"/>
      <c r="AH651" s="1"/>
      <c r="AK651" s="1"/>
      <c r="AL651" s="1"/>
      <c r="AM651" s="2"/>
      <c r="AN651" s="2"/>
      <c r="AQ651" s="1"/>
      <c r="BG651" s="1"/>
    </row>
    <row r="652" spans="15:59">
      <c r="O652" s="1"/>
      <c r="P652" s="1"/>
      <c r="AA652" s="1"/>
      <c r="AB652" s="1"/>
      <c r="AG652" s="1"/>
      <c r="AH652" s="1"/>
      <c r="AK652" s="1"/>
      <c r="AL652" s="1"/>
      <c r="AM652" s="2"/>
      <c r="AN652" s="2"/>
      <c r="AQ652" s="1"/>
      <c r="BG652" s="1"/>
    </row>
    <row r="653" spans="15:59">
      <c r="O653" s="1"/>
      <c r="P653" s="1"/>
      <c r="AA653" s="1"/>
      <c r="AB653" s="1"/>
      <c r="AG653" s="1"/>
      <c r="AH653" s="1"/>
      <c r="AK653" s="1"/>
      <c r="AL653" s="1"/>
      <c r="AM653" s="2"/>
      <c r="AN653" s="2"/>
      <c r="AQ653" s="1"/>
      <c r="BG653" s="1"/>
    </row>
    <row r="654" spans="15:59">
      <c r="O654" s="1"/>
      <c r="P654" s="1"/>
      <c r="AA654" s="1"/>
      <c r="AB654" s="1"/>
      <c r="AG654" s="1"/>
      <c r="AH654" s="1"/>
      <c r="AK654" s="1"/>
      <c r="AL654" s="1"/>
      <c r="AM654" s="2"/>
      <c r="AN654" s="2"/>
      <c r="AQ654" s="1"/>
      <c r="BG654" s="1"/>
    </row>
    <row r="655" spans="15:59">
      <c r="O655" s="1"/>
      <c r="P655" s="1"/>
      <c r="AA655" s="1"/>
      <c r="AB655" s="1"/>
      <c r="AG655" s="1"/>
      <c r="AH655" s="1"/>
      <c r="AK655" s="1"/>
      <c r="AL655" s="1"/>
      <c r="AM655" s="2"/>
      <c r="AN655" s="2"/>
      <c r="AQ655" s="1"/>
      <c r="BG655" s="1"/>
    </row>
    <row r="656" spans="15:59">
      <c r="O656" s="1"/>
      <c r="P656" s="1"/>
      <c r="AA656" s="1"/>
      <c r="AB656" s="1"/>
      <c r="AG656" s="1"/>
      <c r="AH656" s="1"/>
      <c r="AK656" s="1"/>
      <c r="AL656" s="1"/>
      <c r="AM656" s="2"/>
      <c r="AN656" s="2"/>
      <c r="AQ656" s="1"/>
      <c r="BG656" s="1"/>
    </row>
    <row r="657" spans="15:59">
      <c r="O657" s="1"/>
      <c r="P657" s="1"/>
      <c r="AA657" s="1"/>
      <c r="AB657" s="1"/>
      <c r="AG657" s="1"/>
      <c r="AH657" s="1"/>
      <c r="AK657" s="1"/>
      <c r="AL657" s="1"/>
      <c r="AM657" s="2"/>
      <c r="AN657" s="2"/>
      <c r="AQ657" s="1"/>
      <c r="BG657" s="1"/>
    </row>
    <row r="658" spans="15:59">
      <c r="O658" s="1"/>
      <c r="P658" s="1"/>
      <c r="AA658" s="1"/>
      <c r="AB658" s="1"/>
      <c r="AG658" s="1"/>
      <c r="AH658" s="1"/>
      <c r="AK658" s="1"/>
      <c r="AL658" s="1"/>
      <c r="AM658" s="2"/>
      <c r="AN658" s="2"/>
      <c r="AQ658" s="1"/>
      <c r="BG658" s="1"/>
    </row>
    <row r="659" spans="15:59">
      <c r="O659" s="1"/>
      <c r="P659" s="1"/>
      <c r="AA659" s="1"/>
      <c r="AB659" s="1"/>
      <c r="AG659" s="1"/>
      <c r="AH659" s="1"/>
      <c r="AK659" s="1"/>
      <c r="AL659" s="1"/>
      <c r="AM659" s="2"/>
      <c r="AN659" s="2"/>
      <c r="AQ659" s="1"/>
      <c r="BG659" s="1"/>
    </row>
    <row r="660" spans="15:59">
      <c r="O660" s="1"/>
      <c r="P660" s="1"/>
      <c r="AA660" s="1"/>
      <c r="AB660" s="1"/>
      <c r="AG660" s="1"/>
      <c r="AH660" s="1"/>
      <c r="AK660" s="1"/>
      <c r="AL660" s="1"/>
      <c r="AM660" s="2"/>
      <c r="AN660" s="2"/>
      <c r="AQ660" s="1"/>
      <c r="BG660" s="1"/>
    </row>
    <row r="661" spans="15:59">
      <c r="O661" s="1"/>
      <c r="P661" s="1"/>
      <c r="AA661" s="1"/>
      <c r="AB661" s="1"/>
      <c r="AG661" s="1"/>
      <c r="AH661" s="1"/>
      <c r="AK661" s="1"/>
      <c r="AL661" s="1"/>
      <c r="AM661" s="2"/>
      <c r="AN661" s="2"/>
      <c r="AQ661" s="1"/>
      <c r="BG661" s="1"/>
    </row>
    <row r="662" spans="15:59">
      <c r="O662" s="1"/>
      <c r="P662" s="1"/>
      <c r="AA662" s="1"/>
      <c r="AB662" s="1"/>
      <c r="AG662" s="1"/>
      <c r="AH662" s="1"/>
      <c r="AK662" s="1"/>
      <c r="AL662" s="1"/>
      <c r="AM662" s="2"/>
      <c r="AN662" s="2"/>
      <c r="AQ662" s="1"/>
      <c r="BG662" s="1"/>
    </row>
    <row r="663" spans="15:59">
      <c r="O663" s="1"/>
      <c r="P663" s="1"/>
      <c r="AA663" s="1"/>
      <c r="AB663" s="1"/>
      <c r="AG663" s="1"/>
      <c r="AH663" s="1"/>
      <c r="AK663" s="1"/>
      <c r="AL663" s="1"/>
      <c r="AM663" s="2"/>
      <c r="AN663" s="2"/>
      <c r="AQ663" s="1"/>
      <c r="BG663" s="1"/>
    </row>
    <row r="664" spans="15:59">
      <c r="O664" s="1"/>
      <c r="P664" s="1"/>
      <c r="AA664" s="1"/>
      <c r="AB664" s="1"/>
      <c r="AG664" s="1"/>
      <c r="AH664" s="1"/>
      <c r="AK664" s="1"/>
      <c r="AL664" s="1"/>
      <c r="AM664" s="2"/>
      <c r="AN664" s="2"/>
      <c r="AQ664" s="1"/>
      <c r="BG664" s="1"/>
    </row>
    <row r="665" spans="15:59">
      <c r="O665" s="1"/>
      <c r="P665" s="1"/>
      <c r="AA665" s="1"/>
      <c r="AB665" s="1"/>
      <c r="AG665" s="1"/>
      <c r="AH665" s="1"/>
      <c r="AK665" s="1"/>
      <c r="AL665" s="1"/>
      <c r="AM665" s="2"/>
      <c r="AN665" s="2"/>
      <c r="AQ665" s="1"/>
      <c r="BG665" s="1"/>
    </row>
    <row r="666" spans="15:59">
      <c r="O666" s="1"/>
      <c r="P666" s="1"/>
      <c r="AA666" s="1"/>
      <c r="AB666" s="1"/>
      <c r="AG666" s="1"/>
      <c r="AH666" s="1"/>
      <c r="AK666" s="1"/>
      <c r="AL666" s="1"/>
      <c r="AM666" s="2"/>
      <c r="AN666" s="2"/>
      <c r="AQ666" s="1"/>
      <c r="BG666" s="1"/>
    </row>
    <row r="667" spans="15:59">
      <c r="O667" s="1"/>
      <c r="P667" s="1"/>
      <c r="AA667" s="1"/>
      <c r="AB667" s="1"/>
      <c r="AG667" s="1"/>
      <c r="AH667" s="1"/>
      <c r="AK667" s="1"/>
      <c r="AL667" s="1"/>
      <c r="AM667" s="2"/>
      <c r="AN667" s="2"/>
      <c r="AQ667" s="1"/>
      <c r="BG667" s="1"/>
    </row>
    <row r="668" spans="15:59">
      <c r="O668" s="1"/>
      <c r="P668" s="1"/>
      <c r="AA668" s="1"/>
      <c r="AB668" s="1"/>
      <c r="AG668" s="1"/>
      <c r="AH668" s="1"/>
      <c r="AK668" s="1"/>
      <c r="AL668" s="1"/>
      <c r="AM668" s="2"/>
      <c r="AN668" s="2"/>
      <c r="AQ668" s="1"/>
      <c r="BG668" s="1"/>
    </row>
    <row r="669" spans="15:59">
      <c r="O669" s="1"/>
      <c r="P669" s="1"/>
      <c r="AA669" s="1"/>
      <c r="AB669" s="1"/>
      <c r="AG669" s="1"/>
      <c r="AH669" s="1"/>
      <c r="AK669" s="1"/>
      <c r="AL669" s="1"/>
      <c r="AM669" s="2"/>
      <c r="AN669" s="2"/>
      <c r="AQ669" s="1"/>
      <c r="BG669" s="1"/>
    </row>
    <row r="670" spans="15:59">
      <c r="O670" s="1"/>
      <c r="P670" s="1"/>
      <c r="AA670" s="1"/>
      <c r="AB670" s="1"/>
      <c r="AG670" s="1"/>
      <c r="AH670" s="1"/>
      <c r="AK670" s="1"/>
      <c r="AL670" s="1"/>
      <c r="AM670" s="2"/>
      <c r="AN670" s="2"/>
      <c r="AQ670" s="1"/>
      <c r="BG670" s="1"/>
    </row>
    <row r="671" spans="15:59">
      <c r="O671" s="1"/>
      <c r="P671" s="1"/>
      <c r="AA671" s="1"/>
      <c r="AB671" s="1"/>
      <c r="AG671" s="1"/>
      <c r="AH671" s="1"/>
      <c r="AK671" s="1"/>
      <c r="AL671" s="1"/>
      <c r="AM671" s="2"/>
      <c r="AN671" s="2"/>
      <c r="AQ671" s="1"/>
      <c r="BG671" s="1"/>
    </row>
    <row r="672" spans="15:59">
      <c r="O672" s="1"/>
      <c r="P672" s="1"/>
      <c r="AA672" s="1"/>
      <c r="AB672" s="1"/>
      <c r="AG672" s="1"/>
      <c r="AH672" s="1"/>
      <c r="AK672" s="1"/>
      <c r="AL672" s="1"/>
      <c r="AM672" s="2"/>
      <c r="AN672" s="2"/>
      <c r="AQ672" s="1"/>
      <c r="BG672" s="1"/>
    </row>
    <row r="673" spans="15:59">
      <c r="O673" s="1"/>
      <c r="P673" s="1"/>
      <c r="AA673" s="1"/>
      <c r="AB673" s="1"/>
      <c r="AG673" s="1"/>
      <c r="AH673" s="1"/>
      <c r="AK673" s="1"/>
      <c r="AL673" s="1"/>
      <c r="AM673" s="2"/>
      <c r="AN673" s="2"/>
      <c r="AQ673" s="1"/>
      <c r="BG673" s="1"/>
    </row>
    <row r="674" spans="15:59">
      <c r="O674" s="1"/>
      <c r="P674" s="1"/>
      <c r="AA674" s="1"/>
      <c r="AB674" s="1"/>
      <c r="AG674" s="1"/>
      <c r="AH674" s="1"/>
      <c r="AK674" s="1"/>
      <c r="AL674" s="1"/>
      <c r="AM674" s="2"/>
      <c r="AN674" s="2"/>
      <c r="AQ674" s="1"/>
      <c r="BG674" s="1"/>
    </row>
    <row r="675" spans="15:59">
      <c r="O675" s="1"/>
      <c r="P675" s="1"/>
      <c r="AA675" s="1"/>
      <c r="AB675" s="1"/>
      <c r="AG675" s="1"/>
      <c r="AH675" s="1"/>
      <c r="AK675" s="1"/>
      <c r="AL675" s="1"/>
      <c r="AM675" s="2"/>
      <c r="AN675" s="2"/>
      <c r="AQ675" s="1"/>
      <c r="BG675" s="1"/>
    </row>
    <row r="676" spans="15:59">
      <c r="O676" s="1"/>
      <c r="P676" s="1"/>
      <c r="AA676" s="1"/>
      <c r="AB676" s="1"/>
      <c r="AG676" s="1"/>
      <c r="AH676" s="1"/>
      <c r="AK676" s="1"/>
      <c r="AL676" s="1"/>
      <c r="AM676" s="2"/>
      <c r="AN676" s="2"/>
      <c r="AQ676" s="1"/>
      <c r="BG676" s="1"/>
    </row>
    <row r="677" spans="15:59">
      <c r="O677" s="1"/>
      <c r="P677" s="1"/>
      <c r="AA677" s="1"/>
      <c r="AB677" s="1"/>
      <c r="AG677" s="1"/>
      <c r="AH677" s="1"/>
      <c r="AK677" s="1"/>
      <c r="AL677" s="1"/>
      <c r="AM677" s="2"/>
      <c r="AN677" s="2"/>
      <c r="AQ677" s="1"/>
      <c r="BG677" s="1"/>
    </row>
    <row r="678" spans="15:59">
      <c r="O678" s="1"/>
      <c r="P678" s="1"/>
      <c r="AA678" s="1"/>
      <c r="AB678" s="1"/>
      <c r="AG678" s="1"/>
      <c r="AH678" s="1"/>
      <c r="AK678" s="1"/>
      <c r="AL678" s="1"/>
      <c r="AM678" s="2"/>
      <c r="AN678" s="2"/>
      <c r="AQ678" s="1"/>
      <c r="BG678" s="1"/>
    </row>
    <row r="679" spans="15:59">
      <c r="O679" s="1"/>
      <c r="P679" s="1"/>
      <c r="AA679" s="1"/>
      <c r="AB679" s="1"/>
      <c r="AG679" s="1"/>
      <c r="AH679" s="1"/>
      <c r="AK679" s="1"/>
      <c r="AL679" s="1"/>
      <c r="AM679" s="2"/>
      <c r="AN679" s="2"/>
      <c r="AQ679" s="1"/>
      <c r="BG679" s="1"/>
    </row>
    <row r="680" spans="15:59">
      <c r="O680" s="1"/>
      <c r="P680" s="1"/>
      <c r="AA680" s="1"/>
      <c r="AB680" s="1"/>
      <c r="AG680" s="1"/>
      <c r="AH680" s="1"/>
      <c r="AK680" s="1"/>
      <c r="AL680" s="1"/>
      <c r="AM680" s="2"/>
      <c r="AN680" s="2"/>
      <c r="AQ680" s="1"/>
      <c r="BG680" s="1"/>
    </row>
    <row r="681" spans="15:59">
      <c r="O681" s="1"/>
      <c r="P681" s="1"/>
      <c r="AA681" s="1"/>
      <c r="AB681" s="1"/>
      <c r="AG681" s="1"/>
      <c r="AH681" s="1"/>
      <c r="AK681" s="1"/>
      <c r="AL681" s="1"/>
      <c r="AM681" s="2"/>
      <c r="AN681" s="2"/>
      <c r="AQ681" s="1"/>
      <c r="BG681" s="1"/>
    </row>
    <row r="682" spans="15:59">
      <c r="O682" s="1"/>
      <c r="P682" s="1"/>
      <c r="AA682" s="1"/>
      <c r="AB682" s="1"/>
      <c r="AG682" s="1"/>
      <c r="AH682" s="1"/>
      <c r="AK682" s="1"/>
      <c r="AL682" s="1"/>
      <c r="AM682" s="2"/>
      <c r="AN682" s="2"/>
      <c r="AQ682" s="1"/>
      <c r="BG682" s="1"/>
    </row>
    <row r="683" spans="15:59">
      <c r="O683" s="1"/>
      <c r="P683" s="1"/>
      <c r="AA683" s="1"/>
      <c r="AB683" s="1"/>
      <c r="AG683" s="1"/>
      <c r="AH683" s="1"/>
      <c r="AK683" s="1"/>
      <c r="AL683" s="1"/>
      <c r="AM683" s="2"/>
      <c r="AN683" s="2"/>
      <c r="AQ683" s="1"/>
      <c r="BG683" s="1"/>
    </row>
    <row r="684" spans="15:59">
      <c r="O684" s="1"/>
      <c r="P684" s="1"/>
      <c r="AA684" s="1"/>
      <c r="AB684" s="1"/>
      <c r="AG684" s="1"/>
      <c r="AH684" s="1"/>
      <c r="AK684" s="1"/>
      <c r="AL684" s="1"/>
      <c r="AM684" s="2"/>
      <c r="AN684" s="2"/>
      <c r="AQ684" s="1"/>
      <c r="BG684" s="1"/>
    </row>
    <row r="685" spans="15:59">
      <c r="O685" s="1"/>
      <c r="P685" s="1"/>
      <c r="AA685" s="1"/>
      <c r="AB685" s="1"/>
      <c r="AG685" s="1"/>
      <c r="AH685" s="1"/>
      <c r="AK685" s="1"/>
      <c r="AL685" s="1"/>
      <c r="AM685" s="2"/>
      <c r="AN685" s="2"/>
      <c r="AQ685" s="1"/>
      <c r="BG685" s="1"/>
    </row>
    <row r="686" spans="15:59">
      <c r="O686" s="1"/>
      <c r="P686" s="1"/>
      <c r="AA686" s="1"/>
      <c r="AB686" s="1"/>
      <c r="AG686" s="1"/>
      <c r="AH686" s="1"/>
      <c r="AK686" s="1"/>
      <c r="AL686" s="1"/>
      <c r="AM686" s="2"/>
      <c r="AN686" s="2"/>
      <c r="AQ686" s="1"/>
      <c r="BG686" s="1"/>
    </row>
    <row r="687" spans="15:59">
      <c r="O687" s="1"/>
      <c r="P687" s="1"/>
      <c r="AA687" s="1"/>
      <c r="AB687" s="1"/>
      <c r="AG687" s="1"/>
      <c r="AH687" s="1"/>
      <c r="AK687" s="1"/>
      <c r="AL687" s="1"/>
      <c r="AM687" s="2"/>
      <c r="AN687" s="2"/>
      <c r="AQ687" s="1"/>
      <c r="BG687" s="1"/>
    </row>
    <row r="688" spans="15:59">
      <c r="O688" s="1"/>
      <c r="P688" s="1"/>
      <c r="AA688" s="1"/>
      <c r="AB688" s="1"/>
      <c r="AG688" s="1"/>
      <c r="AH688" s="1"/>
      <c r="AK688" s="1"/>
      <c r="AL688" s="1"/>
      <c r="AM688" s="2"/>
      <c r="AN688" s="2"/>
      <c r="AQ688" s="1"/>
      <c r="BG688" s="1"/>
    </row>
    <row r="689" spans="15:59">
      <c r="O689" s="1"/>
      <c r="P689" s="1"/>
      <c r="AA689" s="1"/>
      <c r="AB689" s="1"/>
      <c r="AG689" s="1"/>
      <c r="AH689" s="1"/>
      <c r="AK689" s="1"/>
      <c r="AL689" s="1"/>
      <c r="AM689" s="2"/>
      <c r="AN689" s="2"/>
      <c r="AQ689" s="1"/>
      <c r="BG689" s="1"/>
    </row>
    <row r="690" spans="15:59">
      <c r="O690" s="1"/>
      <c r="P690" s="1"/>
      <c r="AA690" s="1"/>
      <c r="AB690" s="1"/>
      <c r="AG690" s="1"/>
      <c r="AH690" s="1"/>
      <c r="AK690" s="1"/>
      <c r="AL690" s="1"/>
      <c r="AM690" s="2"/>
      <c r="AN690" s="2"/>
      <c r="AQ690" s="1"/>
      <c r="BG690" s="1"/>
    </row>
    <row r="691" spans="15:59">
      <c r="O691" s="1"/>
      <c r="P691" s="1"/>
      <c r="AA691" s="1"/>
      <c r="AB691" s="1"/>
      <c r="AG691" s="1"/>
      <c r="AH691" s="1"/>
      <c r="AK691" s="1"/>
      <c r="AL691" s="1"/>
      <c r="AM691" s="2"/>
      <c r="AN691" s="2"/>
      <c r="AQ691" s="1"/>
      <c r="BG691" s="1"/>
    </row>
    <row r="692" spans="15:59">
      <c r="O692" s="1"/>
      <c r="P692" s="1"/>
      <c r="AA692" s="1"/>
      <c r="AB692" s="1"/>
      <c r="AG692" s="1"/>
      <c r="AH692" s="1"/>
      <c r="AK692" s="1"/>
      <c r="AL692" s="1"/>
      <c r="AM692" s="2"/>
      <c r="AN692" s="2"/>
      <c r="AQ692" s="1"/>
      <c r="BG692" s="1"/>
    </row>
    <row r="693" spans="15:59">
      <c r="O693" s="1"/>
      <c r="P693" s="1"/>
      <c r="AA693" s="1"/>
      <c r="AB693" s="1"/>
      <c r="AG693" s="1"/>
      <c r="AH693" s="1"/>
      <c r="AK693" s="1"/>
      <c r="AL693" s="1"/>
      <c r="AM693" s="2"/>
      <c r="AN693" s="2"/>
      <c r="AQ693" s="1"/>
      <c r="BG693" s="1"/>
    </row>
    <row r="694" spans="15:59">
      <c r="O694" s="1"/>
      <c r="P694" s="1"/>
      <c r="AA694" s="1"/>
      <c r="AB694" s="1"/>
      <c r="AG694" s="1"/>
      <c r="AH694" s="1"/>
      <c r="AK694" s="1"/>
      <c r="AL694" s="1"/>
      <c r="AM694" s="2"/>
      <c r="AN694" s="2"/>
      <c r="AQ694" s="1"/>
      <c r="BG694" s="1"/>
    </row>
    <row r="695" spans="15:59">
      <c r="O695" s="1"/>
      <c r="P695" s="1"/>
      <c r="AA695" s="1"/>
      <c r="AB695" s="1"/>
      <c r="AG695" s="1"/>
      <c r="AH695" s="1"/>
      <c r="AK695" s="1"/>
      <c r="AL695" s="1"/>
      <c r="AM695" s="2"/>
      <c r="AN695" s="2"/>
      <c r="AQ695" s="1"/>
      <c r="BG695" s="1"/>
    </row>
    <row r="696" spans="15:59">
      <c r="O696" s="1"/>
      <c r="P696" s="1"/>
      <c r="AA696" s="1"/>
      <c r="AB696" s="1"/>
      <c r="AG696" s="1"/>
      <c r="AH696" s="1"/>
      <c r="AK696" s="1"/>
      <c r="AL696" s="1"/>
      <c r="AM696" s="2"/>
      <c r="AN696" s="2"/>
      <c r="AQ696" s="1"/>
      <c r="BG696" s="1"/>
    </row>
    <row r="697" spans="15:59">
      <c r="O697" s="1"/>
      <c r="P697" s="1"/>
      <c r="AA697" s="1"/>
      <c r="AB697" s="1"/>
      <c r="AG697" s="1"/>
      <c r="AH697" s="1"/>
      <c r="AK697" s="1"/>
      <c r="AL697" s="1"/>
      <c r="AM697" s="2"/>
      <c r="AN697" s="2"/>
      <c r="AQ697" s="1"/>
      <c r="BG697" s="1"/>
    </row>
    <row r="698" spans="15:59">
      <c r="O698" s="1"/>
      <c r="P698" s="1"/>
      <c r="AA698" s="1"/>
      <c r="AB698" s="1"/>
      <c r="AG698" s="1"/>
      <c r="AH698" s="1"/>
      <c r="AK698" s="1"/>
      <c r="AL698" s="1"/>
      <c r="AM698" s="2"/>
      <c r="AN698" s="2"/>
      <c r="AQ698" s="1"/>
      <c r="BG698" s="1"/>
    </row>
    <row r="699" spans="15:59">
      <c r="O699" s="1"/>
      <c r="P699" s="1"/>
      <c r="AA699" s="1"/>
      <c r="AB699" s="1"/>
      <c r="AG699" s="1"/>
      <c r="AH699" s="1"/>
      <c r="AK699" s="1"/>
      <c r="AL699" s="1"/>
      <c r="AM699" s="2"/>
      <c r="AN699" s="2"/>
      <c r="AQ699" s="1"/>
      <c r="BG699" s="1"/>
    </row>
    <row r="700" spans="15:59">
      <c r="O700" s="1"/>
      <c r="P700" s="1"/>
      <c r="AA700" s="1"/>
      <c r="AB700" s="1"/>
      <c r="AG700" s="1"/>
      <c r="AH700" s="1"/>
      <c r="AK700" s="1"/>
      <c r="AL700" s="1"/>
      <c r="AM700" s="2"/>
      <c r="AN700" s="2"/>
      <c r="AQ700" s="1"/>
      <c r="BG700" s="1"/>
    </row>
    <row r="701" spans="15:59">
      <c r="O701" s="1"/>
      <c r="P701" s="1"/>
      <c r="AA701" s="1"/>
      <c r="AB701" s="1"/>
      <c r="AG701" s="1"/>
      <c r="AH701" s="1"/>
      <c r="AK701" s="1"/>
      <c r="AL701" s="1"/>
      <c r="AM701" s="2"/>
      <c r="AN701" s="2"/>
      <c r="AQ701" s="1"/>
      <c r="BG701" s="1"/>
    </row>
    <row r="702" spans="15:59">
      <c r="O702" s="1"/>
      <c r="P702" s="1"/>
      <c r="AA702" s="1"/>
      <c r="AB702" s="1"/>
      <c r="AG702" s="1"/>
      <c r="AH702" s="1"/>
      <c r="AK702" s="1"/>
      <c r="AL702" s="1"/>
      <c r="AM702" s="2"/>
      <c r="AN702" s="2"/>
      <c r="AQ702" s="1"/>
      <c r="BG702" s="1"/>
    </row>
    <row r="703" spans="15:59">
      <c r="O703" s="1"/>
      <c r="P703" s="1"/>
      <c r="AA703" s="1"/>
      <c r="AB703" s="1"/>
      <c r="AG703" s="1"/>
      <c r="AH703" s="1"/>
      <c r="AK703" s="1"/>
      <c r="AL703" s="1"/>
      <c r="AM703" s="2"/>
      <c r="AN703" s="2"/>
      <c r="AQ703" s="1"/>
      <c r="BG703" s="1"/>
    </row>
    <row r="704" spans="15:59">
      <c r="O704" s="1"/>
      <c r="P704" s="1"/>
      <c r="AA704" s="1"/>
      <c r="AB704" s="1"/>
      <c r="AG704" s="1"/>
      <c r="AH704" s="1"/>
      <c r="AK704" s="1"/>
      <c r="AL704" s="1"/>
      <c r="AM704" s="2"/>
      <c r="AN704" s="2"/>
      <c r="AQ704" s="1"/>
      <c r="BG704" s="1"/>
    </row>
    <row r="705" spans="15:59">
      <c r="O705" s="1"/>
      <c r="P705" s="1"/>
      <c r="AA705" s="1"/>
      <c r="AB705" s="1"/>
      <c r="AG705" s="1"/>
      <c r="AH705" s="1"/>
      <c r="AK705" s="1"/>
      <c r="AL705" s="1"/>
      <c r="AM705" s="2"/>
      <c r="AN705" s="2"/>
      <c r="AQ705" s="1"/>
      <c r="BG705" s="1"/>
    </row>
    <row r="706" spans="15:59">
      <c r="O706" s="1"/>
      <c r="P706" s="1"/>
      <c r="AA706" s="1"/>
      <c r="AB706" s="1"/>
      <c r="AG706" s="1"/>
      <c r="AH706" s="1"/>
      <c r="AK706" s="1"/>
      <c r="AL706" s="1"/>
      <c r="AM706" s="2"/>
      <c r="AN706" s="2"/>
      <c r="AQ706" s="1"/>
      <c r="BG706" s="1"/>
    </row>
    <row r="707" spans="15:59">
      <c r="O707" s="1"/>
      <c r="P707" s="1"/>
      <c r="AA707" s="1"/>
      <c r="AB707" s="1"/>
      <c r="AG707" s="1"/>
      <c r="AH707" s="1"/>
      <c r="AK707" s="1"/>
      <c r="AL707" s="1"/>
      <c r="AM707" s="2"/>
      <c r="AN707" s="2"/>
      <c r="AQ707" s="1"/>
      <c r="BG707" s="1"/>
    </row>
    <row r="708" spans="15:59">
      <c r="O708" s="1"/>
      <c r="P708" s="1"/>
      <c r="AA708" s="1"/>
      <c r="AB708" s="1"/>
      <c r="AG708" s="1"/>
      <c r="AH708" s="1"/>
      <c r="AK708" s="1"/>
      <c r="AL708" s="1"/>
      <c r="AM708" s="2"/>
      <c r="AN708" s="2"/>
      <c r="AQ708" s="1"/>
      <c r="BG708" s="1"/>
    </row>
    <row r="709" spans="15:59">
      <c r="O709" s="1"/>
      <c r="P709" s="1"/>
      <c r="AA709" s="1"/>
      <c r="AB709" s="1"/>
      <c r="AG709" s="1"/>
      <c r="AH709" s="1"/>
      <c r="AK709" s="1"/>
      <c r="AL709" s="1"/>
      <c r="AM709" s="2"/>
      <c r="AN709" s="2"/>
      <c r="AQ709" s="1"/>
      <c r="BG709" s="1"/>
    </row>
    <row r="710" spans="15:59">
      <c r="O710" s="1"/>
      <c r="P710" s="1"/>
      <c r="AA710" s="1"/>
      <c r="AB710" s="1"/>
      <c r="AG710" s="1"/>
      <c r="AH710" s="1"/>
      <c r="AK710" s="1"/>
      <c r="AL710" s="1"/>
      <c r="AM710" s="2"/>
      <c r="AN710" s="2"/>
      <c r="AQ710" s="1"/>
      <c r="BG710" s="1"/>
    </row>
    <row r="711" spans="15:59">
      <c r="O711" s="1"/>
      <c r="P711" s="1"/>
      <c r="AA711" s="1"/>
      <c r="AB711" s="1"/>
      <c r="AG711" s="1"/>
      <c r="AH711" s="1"/>
      <c r="AK711" s="1"/>
      <c r="AL711" s="1"/>
      <c r="AM711" s="2"/>
      <c r="AN711" s="2"/>
      <c r="AQ711" s="1"/>
      <c r="BG711" s="1"/>
    </row>
    <row r="712" spans="15:59">
      <c r="O712" s="1"/>
      <c r="P712" s="1"/>
      <c r="AA712" s="1"/>
      <c r="AB712" s="1"/>
      <c r="AG712" s="1"/>
      <c r="AH712" s="1"/>
      <c r="AK712" s="1"/>
      <c r="AL712" s="1"/>
      <c r="AM712" s="2"/>
      <c r="AN712" s="2"/>
      <c r="AQ712" s="1"/>
      <c r="BG712" s="1"/>
    </row>
    <row r="713" spans="15:59">
      <c r="O713" s="1"/>
      <c r="P713" s="1"/>
      <c r="AA713" s="1"/>
      <c r="AB713" s="1"/>
      <c r="AG713" s="1"/>
      <c r="AH713" s="1"/>
      <c r="AK713" s="1"/>
      <c r="AL713" s="1"/>
      <c r="AM713" s="2"/>
      <c r="AN713" s="2"/>
      <c r="AQ713" s="1"/>
      <c r="BG713" s="1"/>
    </row>
    <row r="714" spans="15:59">
      <c r="O714" s="1"/>
      <c r="P714" s="1"/>
      <c r="AA714" s="1"/>
      <c r="AB714" s="1"/>
      <c r="AG714" s="1"/>
      <c r="AH714" s="1"/>
      <c r="AK714" s="1"/>
      <c r="AL714" s="1"/>
      <c r="AM714" s="2"/>
      <c r="AN714" s="2"/>
      <c r="AQ714" s="1"/>
      <c r="BG714" s="1"/>
    </row>
    <row r="715" spans="15:59">
      <c r="O715" s="1"/>
      <c r="P715" s="1"/>
      <c r="AA715" s="1"/>
      <c r="AB715" s="1"/>
      <c r="AG715" s="1"/>
      <c r="AH715" s="1"/>
      <c r="AK715" s="1"/>
      <c r="AL715" s="1"/>
      <c r="AM715" s="2"/>
      <c r="AN715" s="2"/>
      <c r="AQ715" s="1"/>
      <c r="BG715" s="1"/>
    </row>
    <row r="716" spans="15:59">
      <c r="O716" s="1"/>
      <c r="P716" s="1"/>
      <c r="AA716" s="1"/>
      <c r="AB716" s="1"/>
      <c r="AG716" s="1"/>
      <c r="AH716" s="1"/>
      <c r="AK716" s="1"/>
      <c r="AL716" s="1"/>
      <c r="AM716" s="2"/>
      <c r="AN716" s="2"/>
      <c r="AQ716" s="1"/>
      <c r="BG716" s="1"/>
    </row>
    <row r="717" spans="15:59">
      <c r="O717" s="1"/>
      <c r="P717" s="1"/>
      <c r="AA717" s="1"/>
      <c r="AB717" s="1"/>
      <c r="AG717" s="1"/>
      <c r="AH717" s="1"/>
      <c r="AK717" s="1"/>
      <c r="AL717" s="1"/>
      <c r="AM717" s="2"/>
      <c r="AN717" s="2"/>
      <c r="AQ717" s="1"/>
      <c r="BG717" s="1"/>
    </row>
    <row r="718" spans="15:59">
      <c r="O718" s="1"/>
      <c r="P718" s="1"/>
      <c r="AA718" s="1"/>
      <c r="AB718" s="1"/>
      <c r="AG718" s="1"/>
      <c r="AH718" s="1"/>
      <c r="AK718" s="1"/>
      <c r="AL718" s="1"/>
      <c r="AM718" s="2"/>
      <c r="AN718" s="2"/>
      <c r="AQ718" s="1"/>
      <c r="BG718" s="1"/>
    </row>
    <row r="719" spans="15:59">
      <c r="O719" s="1"/>
      <c r="P719" s="1"/>
      <c r="AA719" s="1"/>
      <c r="AB719" s="1"/>
      <c r="AG719" s="1"/>
      <c r="AH719" s="1"/>
      <c r="AK719" s="1"/>
      <c r="AL719" s="1"/>
      <c r="AM719" s="2"/>
      <c r="AN719" s="2"/>
      <c r="AQ719" s="1"/>
      <c r="BG719" s="1"/>
    </row>
    <row r="720" spans="15:59">
      <c r="O720" s="1"/>
      <c r="P720" s="1"/>
      <c r="AA720" s="1"/>
      <c r="AB720" s="1"/>
      <c r="AG720" s="1"/>
      <c r="AH720" s="1"/>
      <c r="AK720" s="1"/>
      <c r="AL720" s="1"/>
      <c r="AM720" s="2"/>
      <c r="AN720" s="2"/>
      <c r="AQ720" s="1"/>
      <c r="BG720" s="1"/>
    </row>
    <row r="721" spans="15:59">
      <c r="O721" s="1"/>
      <c r="P721" s="1"/>
      <c r="AA721" s="1"/>
      <c r="AB721" s="1"/>
      <c r="AG721" s="1"/>
      <c r="AH721" s="1"/>
      <c r="AK721" s="1"/>
      <c r="AL721" s="1"/>
      <c r="AM721" s="2"/>
      <c r="AN721" s="2"/>
      <c r="AQ721" s="1"/>
      <c r="BG721" s="1"/>
    </row>
    <row r="722" spans="15:59">
      <c r="O722" s="1"/>
      <c r="P722" s="1"/>
      <c r="AA722" s="1"/>
      <c r="AB722" s="1"/>
      <c r="AG722" s="1"/>
      <c r="AH722" s="1"/>
      <c r="AK722" s="1"/>
      <c r="AL722" s="1"/>
      <c r="AM722" s="2"/>
      <c r="AN722" s="2"/>
      <c r="AQ722" s="1"/>
      <c r="BG722" s="1"/>
    </row>
    <row r="723" spans="15:59">
      <c r="O723" s="1"/>
      <c r="P723" s="1"/>
      <c r="AA723" s="1"/>
      <c r="AB723" s="1"/>
      <c r="AG723" s="1"/>
      <c r="AH723" s="1"/>
      <c r="AK723" s="1"/>
      <c r="AL723" s="1"/>
      <c r="AM723" s="2"/>
      <c r="AN723" s="2"/>
      <c r="AQ723" s="1"/>
      <c r="BG723" s="1"/>
    </row>
    <row r="724" spans="15:59">
      <c r="O724" s="1"/>
      <c r="P724" s="1"/>
      <c r="AA724" s="1"/>
      <c r="AB724" s="1"/>
      <c r="AG724" s="1"/>
      <c r="AH724" s="1"/>
      <c r="AK724" s="1"/>
      <c r="AL724" s="1"/>
      <c r="AM724" s="2"/>
      <c r="AN724" s="2"/>
      <c r="AQ724" s="1"/>
      <c r="BG724" s="1"/>
    </row>
    <row r="725" spans="15:59">
      <c r="O725" s="1"/>
      <c r="P725" s="1"/>
      <c r="AA725" s="1"/>
      <c r="AB725" s="1"/>
      <c r="AG725" s="1"/>
      <c r="AH725" s="1"/>
      <c r="AK725" s="1"/>
      <c r="AL725" s="1"/>
      <c r="AM725" s="2"/>
      <c r="AN725" s="2"/>
      <c r="AQ725" s="1"/>
      <c r="BG725" s="1"/>
    </row>
    <row r="726" spans="15:59">
      <c r="O726" s="1"/>
      <c r="P726" s="1"/>
      <c r="AA726" s="1"/>
      <c r="AB726" s="1"/>
      <c r="AG726" s="1"/>
      <c r="AH726" s="1"/>
      <c r="AK726" s="1"/>
      <c r="AL726" s="1"/>
      <c r="AM726" s="2"/>
      <c r="AN726" s="2"/>
      <c r="AQ726" s="1"/>
      <c r="BG726" s="1"/>
    </row>
    <row r="727" spans="15:59">
      <c r="O727" s="1"/>
      <c r="P727" s="1"/>
      <c r="AA727" s="1"/>
      <c r="AB727" s="1"/>
      <c r="AG727" s="1"/>
      <c r="AH727" s="1"/>
      <c r="AK727" s="1"/>
      <c r="AL727" s="1"/>
      <c r="AM727" s="2"/>
      <c r="AN727" s="2"/>
      <c r="AQ727" s="1"/>
      <c r="BG727" s="1"/>
    </row>
    <row r="728" spans="15:59">
      <c r="O728" s="1"/>
      <c r="P728" s="1"/>
      <c r="AA728" s="1"/>
      <c r="AB728" s="1"/>
      <c r="AG728" s="1"/>
      <c r="AH728" s="1"/>
      <c r="AK728" s="1"/>
      <c r="AL728" s="1"/>
      <c r="AM728" s="2"/>
      <c r="AN728" s="2"/>
      <c r="AQ728" s="1"/>
      <c r="BG728" s="1"/>
    </row>
    <row r="729" spans="15:59">
      <c r="O729" s="1"/>
      <c r="P729" s="1"/>
      <c r="AA729" s="1"/>
      <c r="AB729" s="1"/>
      <c r="AG729" s="1"/>
      <c r="AH729" s="1"/>
      <c r="AK729" s="1"/>
      <c r="AL729" s="1"/>
      <c r="AM729" s="2"/>
      <c r="AN729" s="2"/>
      <c r="AQ729" s="1"/>
      <c r="BG729" s="1"/>
    </row>
    <row r="730" spans="15:59">
      <c r="O730" s="1"/>
      <c r="P730" s="1"/>
      <c r="AA730" s="1"/>
      <c r="AB730" s="1"/>
      <c r="AG730" s="1"/>
      <c r="AH730" s="1"/>
      <c r="AK730" s="1"/>
      <c r="AL730" s="1"/>
      <c r="AM730" s="2"/>
      <c r="AN730" s="2"/>
      <c r="AQ730" s="1"/>
      <c r="BG730" s="1"/>
    </row>
    <row r="731" spans="15:59">
      <c r="O731" s="1"/>
      <c r="P731" s="1"/>
      <c r="AA731" s="1"/>
      <c r="AB731" s="1"/>
      <c r="AG731" s="1"/>
      <c r="AH731" s="1"/>
      <c r="AK731" s="1"/>
      <c r="AL731" s="1"/>
      <c r="AM731" s="2"/>
      <c r="AN731" s="2"/>
      <c r="AQ731" s="1"/>
      <c r="BG731" s="1"/>
    </row>
    <row r="732" spans="15:59">
      <c r="O732" s="1"/>
      <c r="P732" s="1"/>
      <c r="AA732" s="1"/>
      <c r="AB732" s="1"/>
      <c r="AG732" s="1"/>
      <c r="AH732" s="1"/>
      <c r="AK732" s="1"/>
      <c r="AL732" s="1"/>
      <c r="AM732" s="2"/>
      <c r="AN732" s="2"/>
      <c r="AQ732" s="1"/>
      <c r="BG732" s="1"/>
    </row>
    <row r="733" spans="15:59">
      <c r="O733" s="1"/>
      <c r="P733" s="1"/>
      <c r="AA733" s="1"/>
      <c r="AB733" s="1"/>
      <c r="AG733" s="1"/>
      <c r="AH733" s="1"/>
      <c r="AK733" s="1"/>
      <c r="AL733" s="1"/>
      <c r="AM733" s="2"/>
      <c r="AN733" s="2"/>
      <c r="AQ733" s="1"/>
      <c r="BG733" s="1"/>
    </row>
    <row r="734" spans="15:59">
      <c r="O734" s="1"/>
      <c r="P734" s="1"/>
      <c r="AA734" s="1"/>
      <c r="AB734" s="1"/>
      <c r="AG734" s="1"/>
      <c r="AH734" s="1"/>
      <c r="AK734" s="1"/>
      <c r="AL734" s="1"/>
      <c r="AM734" s="2"/>
      <c r="AN734" s="2"/>
      <c r="AQ734" s="1"/>
      <c r="BG734" s="1"/>
    </row>
    <row r="735" spans="15:59">
      <c r="O735" s="1"/>
      <c r="P735" s="1"/>
      <c r="AA735" s="1"/>
      <c r="AB735" s="1"/>
      <c r="AG735" s="1"/>
      <c r="AH735" s="1"/>
      <c r="AK735" s="1"/>
      <c r="AL735" s="1"/>
      <c r="AM735" s="2"/>
      <c r="AN735" s="2"/>
      <c r="AQ735" s="1"/>
      <c r="BG735" s="1"/>
    </row>
    <row r="736" spans="15:59">
      <c r="O736" s="1"/>
      <c r="P736" s="1"/>
      <c r="AA736" s="1"/>
      <c r="AB736" s="1"/>
      <c r="AG736" s="1"/>
      <c r="AH736" s="1"/>
      <c r="AK736" s="1"/>
      <c r="AL736" s="1"/>
      <c r="AM736" s="2"/>
      <c r="AN736" s="2"/>
      <c r="AQ736" s="1"/>
      <c r="BG736" s="1"/>
    </row>
    <row r="737" spans="15:59">
      <c r="O737" s="1"/>
      <c r="P737" s="1"/>
      <c r="AA737" s="1"/>
      <c r="AB737" s="1"/>
      <c r="AG737" s="1"/>
      <c r="AH737" s="1"/>
      <c r="AK737" s="1"/>
      <c r="AL737" s="1"/>
      <c r="AM737" s="2"/>
      <c r="AN737" s="2"/>
      <c r="AQ737" s="1"/>
      <c r="BG737" s="1"/>
    </row>
    <row r="738" spans="15:59">
      <c r="O738" s="1"/>
      <c r="P738" s="1"/>
      <c r="AA738" s="1"/>
      <c r="AB738" s="1"/>
      <c r="AG738" s="1"/>
      <c r="AH738" s="1"/>
      <c r="AK738" s="1"/>
      <c r="AL738" s="1"/>
      <c r="AM738" s="2"/>
      <c r="AN738" s="2"/>
      <c r="AQ738" s="1"/>
      <c r="BG738" s="1"/>
    </row>
    <row r="739" spans="15:59">
      <c r="O739" s="1"/>
      <c r="P739" s="1"/>
      <c r="AA739" s="1"/>
      <c r="AB739" s="1"/>
      <c r="AG739" s="1"/>
      <c r="AH739" s="1"/>
      <c r="AK739" s="1"/>
      <c r="AL739" s="1"/>
      <c r="AM739" s="2"/>
      <c r="AN739" s="2"/>
      <c r="AQ739" s="1"/>
      <c r="BG739" s="1"/>
    </row>
    <row r="740" spans="15:59">
      <c r="O740" s="1"/>
      <c r="P740" s="1"/>
      <c r="AA740" s="1"/>
      <c r="AB740" s="1"/>
      <c r="AG740" s="1"/>
      <c r="AH740" s="1"/>
      <c r="AK740" s="1"/>
      <c r="AL740" s="1"/>
      <c r="AM740" s="2"/>
      <c r="AN740" s="2"/>
      <c r="AQ740" s="1"/>
      <c r="BG740" s="1"/>
    </row>
    <row r="741" spans="15:59">
      <c r="O741" s="1"/>
      <c r="P741" s="1"/>
      <c r="AA741" s="1"/>
      <c r="AB741" s="1"/>
      <c r="AG741" s="1"/>
      <c r="AH741" s="1"/>
      <c r="AK741" s="1"/>
      <c r="AL741" s="1"/>
      <c r="AM741" s="2"/>
      <c r="AN741" s="2"/>
      <c r="AQ741" s="1"/>
      <c r="BG741" s="1"/>
    </row>
    <row r="742" spans="15:59">
      <c r="O742" s="1"/>
      <c r="P742" s="1"/>
      <c r="AA742" s="1"/>
      <c r="AB742" s="1"/>
      <c r="AG742" s="1"/>
      <c r="AH742" s="1"/>
      <c r="AK742" s="1"/>
      <c r="AL742" s="1"/>
      <c r="AM742" s="2"/>
      <c r="AN742" s="2"/>
      <c r="AQ742" s="1"/>
      <c r="BG742" s="1"/>
    </row>
    <row r="743" spans="15:59">
      <c r="O743" s="1"/>
      <c r="P743" s="1"/>
      <c r="AA743" s="1"/>
      <c r="AB743" s="1"/>
      <c r="AG743" s="1"/>
      <c r="AH743" s="1"/>
      <c r="AK743" s="1"/>
      <c r="AL743" s="1"/>
      <c r="AM743" s="2"/>
      <c r="AN743" s="2"/>
      <c r="AQ743" s="1"/>
      <c r="BG743" s="1"/>
    </row>
    <row r="744" spans="15:59">
      <c r="O744" s="1"/>
      <c r="P744" s="1"/>
      <c r="AA744" s="1"/>
      <c r="AB744" s="1"/>
      <c r="AG744" s="1"/>
      <c r="AH744" s="1"/>
      <c r="AK744" s="1"/>
      <c r="AL744" s="1"/>
      <c r="AM744" s="2"/>
      <c r="AN744" s="2"/>
      <c r="AQ744" s="1"/>
      <c r="BG744" s="1"/>
    </row>
    <row r="745" spans="15:59">
      <c r="O745" s="1"/>
      <c r="P745" s="1"/>
      <c r="AA745" s="1"/>
      <c r="AB745" s="1"/>
      <c r="AG745" s="1"/>
      <c r="AH745" s="1"/>
      <c r="AK745" s="1"/>
      <c r="AL745" s="1"/>
      <c r="AM745" s="2"/>
      <c r="AN745" s="2"/>
      <c r="AQ745" s="1"/>
      <c r="BG745" s="1"/>
    </row>
    <row r="746" spans="15:59">
      <c r="O746" s="1"/>
      <c r="P746" s="1"/>
      <c r="AA746" s="1"/>
      <c r="AB746" s="1"/>
      <c r="AG746" s="1"/>
      <c r="AH746" s="1"/>
      <c r="AK746" s="1"/>
      <c r="AL746" s="1"/>
      <c r="AM746" s="2"/>
      <c r="AN746" s="2"/>
      <c r="AQ746" s="1"/>
      <c r="BG746" s="1"/>
    </row>
    <row r="747" spans="15:59">
      <c r="O747" s="1"/>
      <c r="P747" s="1"/>
      <c r="AA747" s="1"/>
      <c r="AB747" s="1"/>
      <c r="AG747" s="1"/>
      <c r="AH747" s="1"/>
      <c r="AK747" s="1"/>
      <c r="AL747" s="1"/>
      <c r="AM747" s="2"/>
      <c r="AN747" s="2"/>
      <c r="AQ747" s="1"/>
      <c r="BG747" s="1"/>
    </row>
    <row r="748" spans="15:59">
      <c r="O748" s="1"/>
      <c r="P748" s="1"/>
      <c r="AA748" s="1"/>
      <c r="AB748" s="1"/>
      <c r="AG748" s="1"/>
      <c r="AH748" s="1"/>
      <c r="AK748" s="1"/>
      <c r="AL748" s="1"/>
      <c r="AM748" s="2"/>
      <c r="AN748" s="2"/>
      <c r="AQ748" s="1"/>
      <c r="BG748" s="1"/>
    </row>
    <row r="749" spans="15:59">
      <c r="O749" s="1"/>
      <c r="P749" s="1"/>
      <c r="AA749" s="1"/>
      <c r="AB749" s="1"/>
      <c r="AG749" s="1"/>
      <c r="AH749" s="1"/>
      <c r="AK749" s="1"/>
      <c r="AL749" s="1"/>
      <c r="AM749" s="2"/>
      <c r="AN749" s="2"/>
      <c r="AQ749" s="1"/>
      <c r="BG749" s="1"/>
    </row>
    <row r="750" spans="15:59">
      <c r="O750" s="1"/>
      <c r="P750" s="1"/>
      <c r="AA750" s="1"/>
      <c r="AB750" s="1"/>
      <c r="AG750" s="1"/>
      <c r="AH750" s="1"/>
      <c r="AK750" s="1"/>
      <c r="AL750" s="1"/>
      <c r="AM750" s="2"/>
      <c r="AN750" s="2"/>
      <c r="AQ750" s="1"/>
      <c r="BG750" s="1"/>
    </row>
    <row r="751" spans="15:59">
      <c r="O751" s="1"/>
      <c r="P751" s="1"/>
      <c r="AA751" s="1"/>
      <c r="AB751" s="1"/>
      <c r="AG751" s="1"/>
      <c r="AH751" s="1"/>
      <c r="AK751" s="1"/>
      <c r="AL751" s="1"/>
      <c r="AM751" s="2"/>
      <c r="AN751" s="2"/>
      <c r="AQ751" s="1"/>
      <c r="BG751" s="1"/>
    </row>
    <row r="752" spans="15:59">
      <c r="O752" s="1"/>
      <c r="P752" s="1"/>
      <c r="AA752" s="1"/>
      <c r="AB752" s="1"/>
      <c r="AG752" s="1"/>
      <c r="AH752" s="1"/>
      <c r="AK752" s="1"/>
      <c r="AL752" s="1"/>
      <c r="AM752" s="2"/>
      <c r="AN752" s="2"/>
      <c r="AQ752" s="1"/>
      <c r="BG752" s="1"/>
    </row>
    <row r="753" spans="15:59">
      <c r="O753" s="1"/>
      <c r="P753" s="1"/>
      <c r="AA753" s="1"/>
      <c r="AB753" s="1"/>
      <c r="AG753" s="1"/>
      <c r="AH753" s="1"/>
      <c r="AK753" s="1"/>
      <c r="AL753" s="1"/>
      <c r="AM753" s="2"/>
      <c r="AN753" s="2"/>
      <c r="AQ753" s="1"/>
      <c r="BG753" s="1"/>
    </row>
    <row r="754" spans="15:59">
      <c r="O754" s="1"/>
      <c r="P754" s="1"/>
      <c r="AA754" s="1"/>
      <c r="AB754" s="1"/>
      <c r="AG754" s="1"/>
      <c r="AH754" s="1"/>
      <c r="AK754" s="1"/>
      <c r="AL754" s="1"/>
      <c r="AM754" s="2"/>
      <c r="AN754" s="2"/>
      <c r="AQ754" s="1"/>
      <c r="BG754" s="1"/>
    </row>
    <row r="755" spans="15:59">
      <c r="O755" s="1"/>
      <c r="P755" s="1"/>
      <c r="AA755" s="1"/>
      <c r="AB755" s="1"/>
      <c r="AG755" s="1"/>
      <c r="AH755" s="1"/>
      <c r="AK755" s="1"/>
      <c r="AL755" s="1"/>
      <c r="AM755" s="2"/>
      <c r="AN755" s="2"/>
      <c r="AQ755" s="1"/>
      <c r="BG755" s="1"/>
    </row>
    <row r="756" spans="15:59">
      <c r="O756" s="1"/>
      <c r="P756" s="1"/>
      <c r="AA756" s="1"/>
      <c r="AB756" s="1"/>
      <c r="AG756" s="1"/>
      <c r="AH756" s="1"/>
      <c r="AK756" s="1"/>
      <c r="AL756" s="1"/>
      <c r="AM756" s="2"/>
      <c r="AN756" s="2"/>
      <c r="AQ756" s="1"/>
      <c r="BG756" s="1"/>
    </row>
    <row r="757" spans="15:59">
      <c r="O757" s="1"/>
      <c r="P757" s="1"/>
      <c r="AA757" s="1"/>
      <c r="AB757" s="1"/>
      <c r="AG757" s="1"/>
      <c r="AH757" s="1"/>
      <c r="AK757" s="1"/>
      <c r="AL757" s="1"/>
      <c r="AM757" s="2"/>
      <c r="AN757" s="2"/>
      <c r="AQ757" s="1"/>
      <c r="BG757" s="1"/>
    </row>
    <row r="758" spans="15:59">
      <c r="O758" s="1"/>
      <c r="P758" s="1"/>
      <c r="AA758" s="1"/>
      <c r="AB758" s="1"/>
      <c r="AG758" s="1"/>
      <c r="AH758" s="1"/>
      <c r="AK758" s="1"/>
      <c r="AL758" s="1"/>
      <c r="AM758" s="2"/>
      <c r="AN758" s="2"/>
      <c r="AQ758" s="1"/>
      <c r="BG758" s="1"/>
    </row>
    <row r="759" spans="15:59">
      <c r="O759" s="1"/>
      <c r="P759" s="1"/>
      <c r="AA759" s="1"/>
      <c r="AB759" s="1"/>
      <c r="AG759" s="1"/>
      <c r="AH759" s="1"/>
      <c r="AK759" s="1"/>
      <c r="AL759" s="1"/>
      <c r="AM759" s="2"/>
      <c r="AN759" s="2"/>
      <c r="AQ759" s="1"/>
      <c r="BG759" s="1"/>
    </row>
    <row r="760" spans="15:59">
      <c r="O760" s="1"/>
      <c r="P760" s="1"/>
      <c r="AA760" s="1"/>
      <c r="AB760" s="1"/>
      <c r="AG760" s="1"/>
      <c r="AH760" s="1"/>
      <c r="AK760" s="1"/>
      <c r="AL760" s="1"/>
      <c r="AM760" s="2"/>
      <c r="AN760" s="2"/>
      <c r="AQ760" s="1"/>
      <c r="BG760" s="1"/>
    </row>
    <row r="761" spans="15:59">
      <c r="O761" s="1"/>
      <c r="P761" s="1"/>
      <c r="AA761" s="1"/>
      <c r="AB761" s="1"/>
      <c r="AG761" s="1"/>
      <c r="AH761" s="1"/>
      <c r="AK761" s="1"/>
      <c r="AL761" s="1"/>
      <c r="AM761" s="2"/>
      <c r="AN761" s="2"/>
      <c r="AQ761" s="1"/>
      <c r="BG761" s="1"/>
    </row>
    <row r="762" spans="15:59">
      <c r="O762" s="1"/>
      <c r="P762" s="1"/>
      <c r="AA762" s="1"/>
      <c r="AB762" s="1"/>
      <c r="AG762" s="1"/>
      <c r="AH762" s="1"/>
      <c r="AK762" s="1"/>
      <c r="AL762" s="1"/>
      <c r="AM762" s="2"/>
      <c r="AN762" s="2"/>
      <c r="AQ762" s="1"/>
      <c r="BG762" s="1"/>
    </row>
    <row r="763" spans="15:59">
      <c r="O763" s="1"/>
      <c r="P763" s="1"/>
      <c r="AA763" s="1"/>
      <c r="AB763" s="1"/>
      <c r="AG763" s="1"/>
      <c r="AH763" s="1"/>
      <c r="AK763" s="1"/>
      <c r="AL763" s="1"/>
      <c r="AM763" s="2"/>
      <c r="AN763" s="2"/>
      <c r="AQ763" s="1"/>
      <c r="BG763" s="1"/>
    </row>
    <row r="764" spans="15:59">
      <c r="O764" s="1"/>
      <c r="P764" s="1"/>
      <c r="AA764" s="1"/>
      <c r="AB764" s="1"/>
      <c r="AG764" s="1"/>
      <c r="AH764" s="1"/>
      <c r="AK764" s="1"/>
      <c r="AL764" s="1"/>
      <c r="AM764" s="2"/>
      <c r="AN764" s="2"/>
      <c r="AQ764" s="1"/>
      <c r="BG764" s="1"/>
    </row>
    <row r="765" spans="15:59">
      <c r="O765" s="1"/>
      <c r="P765" s="1"/>
      <c r="AA765" s="1"/>
      <c r="AB765" s="1"/>
      <c r="AG765" s="1"/>
      <c r="AH765" s="1"/>
      <c r="AK765" s="1"/>
      <c r="AL765" s="1"/>
      <c r="AM765" s="2"/>
      <c r="AN765" s="2"/>
      <c r="AQ765" s="1"/>
      <c r="BG765" s="1"/>
    </row>
    <row r="766" spans="15:59">
      <c r="O766" s="1"/>
      <c r="P766" s="1"/>
      <c r="AA766" s="1"/>
      <c r="AB766" s="1"/>
      <c r="AG766" s="1"/>
      <c r="AH766" s="1"/>
      <c r="AK766" s="1"/>
      <c r="AL766" s="1"/>
      <c r="AM766" s="2"/>
      <c r="AN766" s="2"/>
      <c r="AQ766" s="1"/>
      <c r="BG766" s="1"/>
    </row>
    <row r="767" spans="15:59">
      <c r="O767" s="1"/>
      <c r="P767" s="1"/>
      <c r="AA767" s="1"/>
      <c r="AB767" s="1"/>
      <c r="AG767" s="1"/>
      <c r="AH767" s="1"/>
      <c r="AK767" s="1"/>
      <c r="AL767" s="1"/>
      <c r="AM767" s="2"/>
      <c r="AN767" s="2"/>
      <c r="AQ767" s="1"/>
      <c r="BG767" s="1"/>
    </row>
    <row r="768" spans="15:59">
      <c r="O768" s="1"/>
      <c r="P768" s="1"/>
      <c r="AA768" s="1"/>
      <c r="AB768" s="1"/>
      <c r="AG768" s="1"/>
      <c r="AH768" s="1"/>
      <c r="AK768" s="1"/>
      <c r="AL768" s="1"/>
      <c r="AM768" s="2"/>
      <c r="AN768" s="2"/>
      <c r="AQ768" s="1"/>
      <c r="BG768" s="1"/>
    </row>
    <row r="769" spans="15:59">
      <c r="O769" s="1"/>
      <c r="P769" s="1"/>
      <c r="AA769" s="1"/>
      <c r="AB769" s="1"/>
      <c r="AG769" s="1"/>
      <c r="AH769" s="1"/>
      <c r="AK769" s="1"/>
      <c r="AL769" s="1"/>
      <c r="AM769" s="2"/>
      <c r="AN769" s="2"/>
      <c r="AQ769" s="1"/>
      <c r="BG769" s="1"/>
    </row>
    <row r="770" spans="15:59">
      <c r="O770" s="1"/>
      <c r="P770" s="1"/>
      <c r="AA770" s="1"/>
      <c r="AB770" s="1"/>
      <c r="AG770" s="1"/>
      <c r="AH770" s="1"/>
      <c r="AK770" s="1"/>
      <c r="AL770" s="1"/>
      <c r="AM770" s="2"/>
      <c r="AN770" s="2"/>
      <c r="AQ770" s="1"/>
      <c r="BG770" s="1"/>
    </row>
    <row r="771" spans="15:59">
      <c r="O771" s="1"/>
      <c r="P771" s="1"/>
      <c r="AA771" s="1"/>
      <c r="AB771" s="1"/>
      <c r="AG771" s="1"/>
      <c r="AH771" s="1"/>
      <c r="AK771" s="1"/>
      <c r="AL771" s="1"/>
      <c r="AM771" s="2"/>
      <c r="AN771" s="2"/>
      <c r="AQ771" s="1"/>
      <c r="BG771" s="1"/>
    </row>
    <row r="772" spans="15:59">
      <c r="O772" s="1"/>
      <c r="P772" s="1"/>
      <c r="AA772" s="1"/>
      <c r="AB772" s="1"/>
      <c r="AG772" s="1"/>
      <c r="AH772" s="1"/>
      <c r="AK772" s="1"/>
      <c r="AL772" s="1"/>
      <c r="AM772" s="2"/>
      <c r="AN772" s="2"/>
      <c r="AQ772" s="1"/>
      <c r="BG772" s="1"/>
    </row>
    <row r="773" spans="15:59">
      <c r="O773" s="1"/>
      <c r="P773" s="1"/>
      <c r="AA773" s="1"/>
      <c r="AB773" s="1"/>
      <c r="AG773" s="1"/>
      <c r="AH773" s="1"/>
      <c r="AK773" s="1"/>
      <c r="AL773" s="1"/>
      <c r="AM773" s="2"/>
      <c r="AN773" s="2"/>
      <c r="AQ773" s="1"/>
      <c r="BG773" s="1"/>
    </row>
    <row r="774" spans="15:59">
      <c r="O774" s="1"/>
      <c r="P774" s="1"/>
      <c r="AA774" s="1"/>
      <c r="AB774" s="1"/>
      <c r="AG774" s="1"/>
      <c r="AH774" s="1"/>
      <c r="AK774" s="1"/>
      <c r="AL774" s="1"/>
      <c r="AM774" s="2"/>
      <c r="AN774" s="2"/>
      <c r="AQ774" s="1"/>
      <c r="BG774" s="1"/>
    </row>
    <row r="775" spans="15:59">
      <c r="O775" s="1"/>
      <c r="P775" s="1"/>
      <c r="AA775" s="1"/>
      <c r="AB775" s="1"/>
      <c r="AG775" s="1"/>
      <c r="AH775" s="1"/>
      <c r="AK775" s="1"/>
      <c r="AL775" s="1"/>
      <c r="AM775" s="2"/>
      <c r="AN775" s="2"/>
      <c r="AQ775" s="1"/>
      <c r="BG775" s="1"/>
    </row>
    <row r="776" spans="15:59">
      <c r="O776" s="1"/>
      <c r="P776" s="1"/>
      <c r="AA776" s="1"/>
      <c r="AB776" s="1"/>
      <c r="AG776" s="1"/>
      <c r="AH776" s="1"/>
      <c r="AK776" s="1"/>
      <c r="AL776" s="1"/>
      <c r="AM776" s="2"/>
      <c r="AN776" s="2"/>
      <c r="AQ776" s="1"/>
      <c r="BG776" s="1"/>
    </row>
    <row r="777" spans="15:59">
      <c r="O777" s="1"/>
      <c r="P777" s="1"/>
      <c r="AA777" s="1"/>
      <c r="AB777" s="1"/>
      <c r="AG777" s="1"/>
      <c r="AH777" s="1"/>
      <c r="AK777" s="1"/>
      <c r="AL777" s="1"/>
      <c r="AM777" s="2"/>
      <c r="AN777" s="2"/>
      <c r="AQ777" s="1"/>
      <c r="BG777" s="1"/>
    </row>
    <row r="778" spans="15:59">
      <c r="O778" s="1"/>
      <c r="P778" s="1"/>
      <c r="AA778" s="1"/>
      <c r="AB778" s="1"/>
      <c r="AG778" s="1"/>
      <c r="AH778" s="1"/>
      <c r="AK778" s="1"/>
      <c r="AL778" s="1"/>
      <c r="AM778" s="2"/>
      <c r="AN778" s="2"/>
      <c r="AQ778" s="1"/>
      <c r="BG778" s="1"/>
    </row>
    <row r="779" spans="15:59">
      <c r="O779" s="1"/>
      <c r="P779" s="1"/>
      <c r="AA779" s="1"/>
      <c r="AB779" s="1"/>
      <c r="AG779" s="1"/>
      <c r="AH779" s="1"/>
      <c r="AK779" s="1"/>
      <c r="AL779" s="1"/>
      <c r="AM779" s="2"/>
      <c r="AN779" s="2"/>
      <c r="AQ779" s="1"/>
      <c r="BG779" s="1"/>
    </row>
    <row r="780" spans="15:59">
      <c r="O780" s="1"/>
      <c r="P780" s="1"/>
      <c r="AA780" s="1"/>
      <c r="AB780" s="1"/>
      <c r="AG780" s="1"/>
      <c r="AH780" s="1"/>
      <c r="AK780" s="1"/>
      <c r="AL780" s="1"/>
      <c r="AM780" s="2"/>
      <c r="AN780" s="2"/>
      <c r="AQ780" s="1"/>
      <c r="BG780" s="1"/>
    </row>
    <row r="781" spans="15:59">
      <c r="O781" s="1"/>
      <c r="P781" s="1"/>
      <c r="AA781" s="1"/>
      <c r="AB781" s="1"/>
      <c r="AG781" s="1"/>
      <c r="AH781" s="1"/>
      <c r="AK781" s="1"/>
      <c r="AL781" s="1"/>
      <c r="AM781" s="2"/>
      <c r="AN781" s="2"/>
      <c r="AQ781" s="1"/>
      <c r="BG781" s="1"/>
    </row>
    <row r="782" spans="15:59">
      <c r="O782" s="1"/>
      <c r="P782" s="1"/>
      <c r="AA782" s="1"/>
      <c r="AB782" s="1"/>
      <c r="AG782" s="1"/>
      <c r="AH782" s="1"/>
      <c r="AK782" s="1"/>
      <c r="AL782" s="1"/>
      <c r="AM782" s="2"/>
      <c r="AN782" s="2"/>
      <c r="AQ782" s="1"/>
      <c r="BG782" s="1"/>
    </row>
    <row r="783" spans="15:59">
      <c r="O783" s="1"/>
      <c r="P783" s="1"/>
      <c r="AA783" s="1"/>
      <c r="AB783" s="1"/>
      <c r="AG783" s="1"/>
      <c r="AH783" s="1"/>
      <c r="AK783" s="1"/>
      <c r="AL783" s="1"/>
      <c r="AM783" s="2"/>
      <c r="AN783" s="2"/>
      <c r="AQ783" s="1"/>
      <c r="BG783" s="1"/>
    </row>
    <row r="784" spans="15:59">
      <c r="O784" s="1"/>
      <c r="P784" s="1"/>
      <c r="AA784" s="1"/>
      <c r="AB784" s="1"/>
      <c r="AG784" s="1"/>
      <c r="AH784" s="1"/>
      <c r="AK784" s="1"/>
      <c r="AL784" s="1"/>
      <c r="AM784" s="2"/>
      <c r="AN784" s="2"/>
      <c r="AQ784" s="1"/>
      <c r="BG784" s="1"/>
    </row>
    <row r="785" spans="15:59">
      <c r="O785" s="1"/>
      <c r="P785" s="1"/>
      <c r="AA785" s="1"/>
      <c r="AB785" s="1"/>
      <c r="AG785" s="1"/>
      <c r="AH785" s="1"/>
      <c r="AK785" s="1"/>
      <c r="AL785" s="1"/>
      <c r="AM785" s="2"/>
      <c r="AN785" s="2"/>
      <c r="AQ785" s="1"/>
      <c r="BG785" s="1"/>
    </row>
    <row r="786" spans="15:59">
      <c r="O786" s="1"/>
      <c r="P786" s="1"/>
      <c r="AA786" s="1"/>
      <c r="AB786" s="1"/>
      <c r="AG786" s="1"/>
      <c r="AH786" s="1"/>
      <c r="AK786" s="1"/>
      <c r="AL786" s="1"/>
      <c r="AM786" s="2"/>
      <c r="AN786" s="2"/>
      <c r="AQ786" s="1"/>
      <c r="BG786" s="1"/>
    </row>
    <row r="787" spans="15:59">
      <c r="O787" s="1"/>
      <c r="P787" s="1"/>
      <c r="AA787" s="1"/>
      <c r="AB787" s="1"/>
      <c r="AG787" s="1"/>
      <c r="AH787" s="1"/>
      <c r="AK787" s="1"/>
      <c r="AL787" s="1"/>
      <c r="AM787" s="2"/>
      <c r="AN787" s="2"/>
      <c r="AQ787" s="1"/>
      <c r="BG787" s="1"/>
    </row>
    <row r="788" spans="15:59">
      <c r="O788" s="1"/>
      <c r="P788" s="1"/>
      <c r="AA788" s="1"/>
      <c r="AB788" s="1"/>
      <c r="AG788" s="1"/>
      <c r="AH788" s="1"/>
      <c r="AK788" s="1"/>
      <c r="AL788" s="1"/>
      <c r="AM788" s="2"/>
      <c r="AN788" s="2"/>
      <c r="AQ788" s="1"/>
      <c r="BG788" s="1"/>
    </row>
    <row r="789" spans="15:59">
      <c r="O789" s="1"/>
      <c r="P789" s="1"/>
      <c r="AA789" s="1"/>
      <c r="AB789" s="1"/>
      <c r="AG789" s="1"/>
      <c r="AH789" s="1"/>
      <c r="AK789" s="1"/>
      <c r="AL789" s="1"/>
      <c r="AM789" s="2"/>
      <c r="AN789" s="2"/>
      <c r="AQ789" s="1"/>
      <c r="BG789" s="1"/>
    </row>
    <row r="790" spans="15:59">
      <c r="O790" s="1"/>
      <c r="P790" s="1"/>
      <c r="AA790" s="1"/>
      <c r="AB790" s="1"/>
      <c r="AG790" s="1"/>
      <c r="AH790" s="1"/>
      <c r="AK790" s="1"/>
      <c r="AL790" s="1"/>
      <c r="AM790" s="2"/>
      <c r="AN790" s="2"/>
      <c r="AQ790" s="1"/>
      <c r="BG790" s="1"/>
    </row>
    <row r="791" spans="15:59">
      <c r="O791" s="1"/>
      <c r="P791" s="1"/>
      <c r="AA791" s="1"/>
      <c r="AB791" s="1"/>
      <c r="AG791" s="1"/>
      <c r="AH791" s="1"/>
      <c r="AK791" s="1"/>
      <c r="AL791" s="1"/>
      <c r="AM791" s="2"/>
      <c r="AN791" s="2"/>
      <c r="AQ791" s="1"/>
      <c r="BG791" s="1"/>
    </row>
    <row r="792" spans="15:59">
      <c r="O792" s="1"/>
      <c r="P792" s="1"/>
      <c r="AA792" s="1"/>
      <c r="AB792" s="1"/>
      <c r="AG792" s="1"/>
      <c r="AH792" s="1"/>
      <c r="AK792" s="1"/>
      <c r="AL792" s="1"/>
      <c r="AM792" s="2"/>
      <c r="AN792" s="2"/>
      <c r="AQ792" s="1"/>
      <c r="BG792" s="1"/>
    </row>
    <row r="793" spans="15:59">
      <c r="O793" s="1"/>
      <c r="P793" s="1"/>
      <c r="AA793" s="1"/>
      <c r="AB793" s="1"/>
      <c r="AG793" s="1"/>
      <c r="AH793" s="1"/>
      <c r="AK793" s="1"/>
      <c r="AL793" s="1"/>
      <c r="AM793" s="2"/>
      <c r="AN793" s="2"/>
      <c r="AQ793" s="1"/>
      <c r="BG793" s="1"/>
    </row>
    <row r="794" spans="15:59">
      <c r="O794" s="1"/>
      <c r="P794" s="1"/>
      <c r="AA794" s="1"/>
      <c r="AB794" s="1"/>
      <c r="AG794" s="1"/>
      <c r="AH794" s="1"/>
      <c r="AK794" s="1"/>
      <c r="AL794" s="1"/>
      <c r="AM794" s="2"/>
      <c r="AN794" s="2"/>
      <c r="AQ794" s="1"/>
      <c r="BG794" s="1"/>
    </row>
    <row r="795" spans="15:59">
      <c r="O795" s="1"/>
      <c r="P795" s="1"/>
      <c r="AA795" s="1"/>
      <c r="AB795" s="1"/>
      <c r="AG795" s="1"/>
      <c r="AH795" s="1"/>
      <c r="AK795" s="1"/>
      <c r="AL795" s="1"/>
      <c r="AM795" s="2"/>
      <c r="AN795" s="2"/>
      <c r="AQ795" s="1"/>
      <c r="BG795" s="1"/>
    </row>
    <row r="796" spans="15:59">
      <c r="O796" s="1"/>
      <c r="P796" s="1"/>
      <c r="AA796" s="1"/>
      <c r="AB796" s="1"/>
      <c r="AG796" s="1"/>
      <c r="AH796" s="1"/>
      <c r="AK796" s="1"/>
      <c r="AL796" s="1"/>
      <c r="AM796" s="2"/>
      <c r="AN796" s="2"/>
      <c r="AQ796" s="1"/>
      <c r="BG796" s="1"/>
    </row>
    <row r="797" spans="15:59">
      <c r="O797" s="1"/>
      <c r="P797" s="1"/>
      <c r="AA797" s="1"/>
      <c r="AB797" s="1"/>
      <c r="AG797" s="1"/>
      <c r="AH797" s="1"/>
      <c r="AK797" s="1"/>
      <c r="AL797" s="1"/>
      <c r="AM797" s="2"/>
      <c r="AN797" s="2"/>
      <c r="AQ797" s="1"/>
      <c r="BG797" s="1"/>
    </row>
    <row r="798" spans="15:59">
      <c r="O798" s="1"/>
      <c r="P798" s="1"/>
      <c r="AA798" s="1"/>
      <c r="AB798" s="1"/>
      <c r="AG798" s="1"/>
      <c r="AH798" s="1"/>
      <c r="AK798" s="1"/>
      <c r="AL798" s="1"/>
      <c r="AM798" s="2"/>
      <c r="AN798" s="2"/>
      <c r="AQ798" s="1"/>
      <c r="BG798" s="1"/>
    </row>
    <row r="799" spans="15:59">
      <c r="O799" s="1"/>
      <c r="P799" s="1"/>
      <c r="AA799" s="1"/>
      <c r="AB799" s="1"/>
      <c r="AG799" s="1"/>
      <c r="AH799" s="1"/>
      <c r="AK799" s="1"/>
      <c r="AL799" s="1"/>
      <c r="AM799" s="2"/>
      <c r="AN799" s="2"/>
      <c r="AQ799" s="1"/>
      <c r="BG799" s="1"/>
    </row>
    <row r="800" spans="15:59">
      <c r="O800" s="1"/>
      <c r="P800" s="1"/>
      <c r="AA800" s="1"/>
      <c r="AB800" s="1"/>
      <c r="AG800" s="1"/>
      <c r="AH800" s="1"/>
      <c r="AK800" s="1"/>
      <c r="AL800" s="1"/>
      <c r="AM800" s="2"/>
      <c r="AN800" s="2"/>
      <c r="AQ800" s="1"/>
      <c r="BG800" s="1"/>
    </row>
    <row r="801" spans="15:59">
      <c r="O801" s="1"/>
      <c r="P801" s="1"/>
      <c r="AA801" s="1"/>
      <c r="AB801" s="1"/>
      <c r="AG801" s="1"/>
      <c r="AH801" s="1"/>
      <c r="AK801" s="1"/>
      <c r="AL801" s="1"/>
      <c r="AM801" s="2"/>
      <c r="AN801" s="2"/>
      <c r="AQ801" s="1"/>
      <c r="BG801" s="1"/>
    </row>
    <row r="802" spans="15:59">
      <c r="O802" s="1"/>
      <c r="P802" s="1"/>
      <c r="AA802" s="1"/>
      <c r="AB802" s="1"/>
      <c r="AG802" s="1"/>
      <c r="AH802" s="1"/>
      <c r="AK802" s="1"/>
      <c r="AL802" s="1"/>
      <c r="AM802" s="2"/>
      <c r="AN802" s="2"/>
      <c r="AQ802" s="1"/>
      <c r="BG802" s="1"/>
    </row>
    <row r="803" spans="15:59">
      <c r="O803" s="1"/>
      <c r="P803" s="1"/>
      <c r="AA803" s="1"/>
      <c r="AB803" s="1"/>
      <c r="AG803" s="1"/>
      <c r="AH803" s="1"/>
      <c r="AK803" s="1"/>
      <c r="AL803" s="1"/>
      <c r="AM803" s="2"/>
      <c r="AN803" s="2"/>
      <c r="AQ803" s="1"/>
      <c r="BG803" s="1"/>
    </row>
    <row r="804" spans="15:59">
      <c r="O804" s="1"/>
      <c r="P804" s="1"/>
      <c r="AA804" s="1"/>
      <c r="AB804" s="1"/>
      <c r="AG804" s="1"/>
      <c r="AH804" s="1"/>
      <c r="AK804" s="1"/>
      <c r="AL804" s="1"/>
      <c r="AM804" s="2"/>
      <c r="AN804" s="2"/>
      <c r="AQ804" s="1"/>
      <c r="BG804" s="1"/>
    </row>
    <row r="805" spans="15:59">
      <c r="O805" s="1"/>
      <c r="P805" s="1"/>
      <c r="AA805" s="1"/>
      <c r="AB805" s="1"/>
      <c r="AG805" s="1"/>
      <c r="AH805" s="1"/>
      <c r="AK805" s="1"/>
      <c r="AL805" s="1"/>
      <c r="AM805" s="2"/>
      <c r="AN805" s="2"/>
      <c r="AQ805" s="1"/>
      <c r="BG805" s="1"/>
    </row>
    <row r="806" spans="15:59">
      <c r="O806" s="1"/>
      <c r="P806" s="1"/>
      <c r="AA806" s="1"/>
      <c r="AB806" s="1"/>
      <c r="AG806" s="1"/>
      <c r="AH806" s="1"/>
      <c r="AK806" s="1"/>
      <c r="AL806" s="1"/>
      <c r="AM806" s="2"/>
      <c r="AN806" s="2"/>
      <c r="AQ806" s="1"/>
      <c r="BG806" s="1"/>
    </row>
    <row r="807" spans="15:59">
      <c r="O807" s="1"/>
      <c r="P807" s="1"/>
      <c r="AA807" s="1"/>
      <c r="AB807" s="1"/>
      <c r="AG807" s="1"/>
      <c r="AH807" s="1"/>
      <c r="AK807" s="1"/>
      <c r="AL807" s="1"/>
      <c r="AM807" s="2"/>
      <c r="AN807" s="2"/>
      <c r="AQ807" s="1"/>
      <c r="BG807" s="1"/>
    </row>
    <row r="808" spans="15:59">
      <c r="O808" s="1"/>
      <c r="P808" s="1"/>
      <c r="AA808" s="1"/>
      <c r="AB808" s="1"/>
      <c r="AG808" s="1"/>
      <c r="AH808" s="1"/>
      <c r="AK808" s="1"/>
      <c r="AL808" s="1"/>
      <c r="AM808" s="2"/>
      <c r="AN808" s="2"/>
      <c r="AQ808" s="1"/>
      <c r="BG808" s="1"/>
    </row>
    <row r="809" spans="15:59">
      <c r="O809" s="1"/>
      <c r="P809" s="1"/>
      <c r="AA809" s="1"/>
      <c r="AB809" s="1"/>
      <c r="AG809" s="1"/>
      <c r="AH809" s="1"/>
      <c r="AK809" s="1"/>
      <c r="AL809" s="1"/>
      <c r="AM809" s="2"/>
      <c r="AN809" s="2"/>
      <c r="AQ809" s="1"/>
      <c r="BG809" s="1"/>
    </row>
    <row r="810" spans="15:59">
      <c r="O810" s="1"/>
      <c r="P810" s="1"/>
      <c r="AA810" s="1"/>
      <c r="AB810" s="1"/>
      <c r="AG810" s="1"/>
      <c r="AH810" s="1"/>
      <c r="AK810" s="1"/>
      <c r="AL810" s="1"/>
      <c r="AM810" s="2"/>
      <c r="AN810" s="2"/>
      <c r="AQ810" s="1"/>
      <c r="BG810" s="1"/>
    </row>
    <row r="811" spans="15:59">
      <c r="O811" s="1"/>
      <c r="P811" s="1"/>
      <c r="AA811" s="1"/>
      <c r="AB811" s="1"/>
      <c r="AG811" s="1"/>
      <c r="AH811" s="1"/>
      <c r="AK811" s="1"/>
      <c r="AL811" s="1"/>
      <c r="AM811" s="2"/>
      <c r="AN811" s="2"/>
      <c r="AQ811" s="1"/>
      <c r="BG811" s="1"/>
    </row>
    <row r="812" spans="15:59">
      <c r="O812" s="1"/>
      <c r="P812" s="1"/>
      <c r="AA812" s="1"/>
      <c r="AB812" s="1"/>
      <c r="AG812" s="1"/>
      <c r="AH812" s="1"/>
      <c r="AK812" s="1"/>
      <c r="AL812" s="1"/>
      <c r="AM812" s="2"/>
      <c r="AN812" s="2"/>
      <c r="AQ812" s="1"/>
      <c r="BG812" s="1"/>
    </row>
    <row r="813" spans="15:59">
      <c r="O813" s="1"/>
      <c r="P813" s="1"/>
      <c r="AA813" s="1"/>
      <c r="AB813" s="1"/>
      <c r="AG813" s="1"/>
      <c r="AH813" s="1"/>
      <c r="AK813" s="1"/>
      <c r="AL813" s="1"/>
      <c r="AM813" s="2"/>
      <c r="AN813" s="2"/>
      <c r="AQ813" s="1"/>
      <c r="BG813" s="1"/>
    </row>
    <row r="814" spans="15:59">
      <c r="O814" s="1"/>
      <c r="P814" s="1"/>
      <c r="AA814" s="1"/>
      <c r="AB814" s="1"/>
      <c r="AG814" s="1"/>
      <c r="AH814" s="1"/>
      <c r="AK814" s="1"/>
      <c r="AL814" s="1"/>
      <c r="AM814" s="2"/>
      <c r="AN814" s="2"/>
      <c r="AQ814" s="1"/>
      <c r="BG814" s="1"/>
    </row>
    <row r="815" spans="15:59">
      <c r="O815" s="1"/>
      <c r="P815" s="1"/>
      <c r="AA815" s="1"/>
      <c r="AB815" s="1"/>
      <c r="AG815" s="1"/>
      <c r="AH815" s="1"/>
      <c r="AK815" s="1"/>
      <c r="AL815" s="1"/>
      <c r="AM815" s="2"/>
      <c r="AN815" s="2"/>
      <c r="AQ815" s="1"/>
      <c r="BG815" s="1"/>
    </row>
    <row r="816" spans="15:59">
      <c r="O816" s="1"/>
      <c r="P816" s="1"/>
      <c r="AA816" s="1"/>
      <c r="AB816" s="1"/>
      <c r="AG816" s="1"/>
      <c r="AH816" s="1"/>
      <c r="AK816" s="1"/>
      <c r="AL816" s="1"/>
      <c r="AM816" s="2"/>
      <c r="AN816" s="2"/>
      <c r="AQ816" s="1"/>
      <c r="BG816" s="1"/>
    </row>
    <row r="817" spans="15:59">
      <c r="O817" s="1"/>
      <c r="P817" s="1"/>
      <c r="AA817" s="1"/>
      <c r="AB817" s="1"/>
      <c r="AG817" s="1"/>
      <c r="AH817" s="1"/>
      <c r="AK817" s="1"/>
      <c r="AL817" s="1"/>
      <c r="AM817" s="2"/>
      <c r="AN817" s="2"/>
      <c r="AQ817" s="1"/>
      <c r="BG817" s="1"/>
    </row>
    <row r="818" spans="15:59">
      <c r="O818" s="1"/>
      <c r="P818" s="1"/>
      <c r="AA818" s="1"/>
      <c r="AB818" s="1"/>
      <c r="AG818" s="1"/>
      <c r="AH818" s="1"/>
      <c r="AK818" s="1"/>
      <c r="AL818" s="1"/>
      <c r="AM818" s="2"/>
      <c r="AN818" s="2"/>
      <c r="AQ818" s="1"/>
      <c r="BG818" s="1"/>
    </row>
    <row r="819" spans="15:59">
      <c r="O819" s="1"/>
      <c r="P819" s="1"/>
      <c r="AA819" s="1"/>
      <c r="AB819" s="1"/>
      <c r="AG819" s="1"/>
      <c r="AH819" s="1"/>
      <c r="AK819" s="1"/>
      <c r="AL819" s="1"/>
      <c r="AM819" s="2"/>
      <c r="AN819" s="2"/>
      <c r="AQ819" s="1"/>
      <c r="BG819" s="1"/>
    </row>
    <row r="820" spans="15:59">
      <c r="O820" s="1"/>
      <c r="P820" s="1"/>
      <c r="AA820" s="1"/>
      <c r="AB820" s="1"/>
      <c r="AG820" s="1"/>
      <c r="AH820" s="1"/>
      <c r="AK820" s="1"/>
      <c r="AL820" s="1"/>
      <c r="AM820" s="2"/>
      <c r="AN820" s="2"/>
      <c r="AQ820" s="1"/>
      <c r="BG820" s="1"/>
    </row>
    <row r="821" spans="15:59">
      <c r="O821" s="1"/>
      <c r="P821" s="1"/>
      <c r="AA821" s="1"/>
      <c r="AB821" s="1"/>
      <c r="AG821" s="1"/>
      <c r="AH821" s="1"/>
      <c r="AK821" s="1"/>
      <c r="AL821" s="1"/>
      <c r="AM821" s="2"/>
      <c r="AN821" s="2"/>
      <c r="AQ821" s="1"/>
      <c r="BG821" s="1"/>
    </row>
    <row r="822" spans="15:59">
      <c r="O822" s="1"/>
      <c r="P822" s="1"/>
      <c r="AA822" s="1"/>
      <c r="AB822" s="1"/>
      <c r="AG822" s="1"/>
      <c r="AH822" s="1"/>
      <c r="AK822" s="1"/>
      <c r="AL822" s="1"/>
      <c r="AM822" s="2"/>
      <c r="AN822" s="2"/>
      <c r="AQ822" s="1"/>
      <c r="BG822" s="1"/>
    </row>
    <row r="823" spans="15:59">
      <c r="O823" s="1"/>
      <c r="P823" s="1"/>
      <c r="AA823" s="1"/>
      <c r="AB823" s="1"/>
      <c r="AG823" s="1"/>
      <c r="AH823" s="1"/>
      <c r="AK823" s="1"/>
      <c r="AL823" s="1"/>
      <c r="AM823" s="2"/>
      <c r="AN823" s="2"/>
      <c r="AQ823" s="1"/>
      <c r="BG823" s="1"/>
    </row>
    <row r="824" spans="15:59">
      <c r="O824" s="1"/>
      <c r="P824" s="1"/>
      <c r="AA824" s="1"/>
      <c r="AB824" s="1"/>
      <c r="AG824" s="1"/>
      <c r="AH824" s="1"/>
      <c r="AK824" s="1"/>
      <c r="AL824" s="1"/>
      <c r="AM824" s="2"/>
      <c r="AN824" s="2"/>
      <c r="AQ824" s="1"/>
      <c r="BG824" s="1"/>
    </row>
    <row r="825" spans="15:59">
      <c r="O825" s="1"/>
      <c r="P825" s="1"/>
      <c r="AA825" s="1"/>
      <c r="AB825" s="1"/>
      <c r="AG825" s="1"/>
      <c r="AH825" s="1"/>
      <c r="AK825" s="1"/>
      <c r="AL825" s="1"/>
      <c r="AM825" s="2"/>
      <c r="AN825" s="2"/>
      <c r="AQ825" s="1"/>
      <c r="BG825" s="1"/>
    </row>
    <row r="826" spans="15:59">
      <c r="O826" s="1"/>
      <c r="P826" s="1"/>
      <c r="AA826" s="1"/>
      <c r="AB826" s="1"/>
      <c r="AG826" s="1"/>
      <c r="AH826" s="1"/>
      <c r="AK826" s="1"/>
      <c r="AL826" s="1"/>
      <c r="AM826" s="2"/>
      <c r="AN826" s="2"/>
      <c r="AQ826" s="1"/>
      <c r="BG826" s="1"/>
    </row>
    <row r="827" spans="15:59">
      <c r="O827" s="1"/>
      <c r="P827" s="1"/>
      <c r="AA827" s="1"/>
      <c r="AB827" s="1"/>
      <c r="AG827" s="1"/>
      <c r="AH827" s="1"/>
      <c r="AK827" s="1"/>
      <c r="AL827" s="1"/>
      <c r="AM827" s="2"/>
      <c r="AN827" s="2"/>
      <c r="AQ827" s="1"/>
      <c r="BG827" s="1"/>
    </row>
    <row r="828" spans="15:59">
      <c r="O828" s="1"/>
      <c r="P828" s="1"/>
      <c r="AA828" s="1"/>
      <c r="AB828" s="1"/>
      <c r="AG828" s="1"/>
      <c r="AH828" s="1"/>
      <c r="AK828" s="1"/>
      <c r="AL828" s="1"/>
      <c r="AM828" s="2"/>
      <c r="AN828" s="2"/>
      <c r="AQ828" s="1"/>
      <c r="BG828" s="1"/>
    </row>
    <row r="829" spans="15:59">
      <c r="O829" s="1"/>
      <c r="P829" s="1"/>
      <c r="AA829" s="1"/>
      <c r="AB829" s="1"/>
      <c r="AG829" s="1"/>
      <c r="AH829" s="1"/>
      <c r="AK829" s="1"/>
      <c r="AL829" s="1"/>
      <c r="AM829" s="2"/>
      <c r="AN829" s="2"/>
      <c r="AQ829" s="1"/>
      <c r="BG829" s="1"/>
    </row>
    <row r="830" spans="15:59">
      <c r="O830" s="1"/>
      <c r="P830" s="1"/>
      <c r="AA830" s="1"/>
      <c r="AB830" s="1"/>
      <c r="AG830" s="1"/>
      <c r="AH830" s="1"/>
      <c r="AK830" s="1"/>
      <c r="AL830" s="1"/>
      <c r="AM830" s="2"/>
      <c r="AN830" s="2"/>
      <c r="AQ830" s="1"/>
      <c r="BG830" s="1"/>
    </row>
    <row r="831" spans="15:59">
      <c r="O831" s="1"/>
      <c r="P831" s="1"/>
      <c r="AA831" s="1"/>
      <c r="AB831" s="1"/>
      <c r="AG831" s="1"/>
      <c r="AH831" s="1"/>
      <c r="AK831" s="1"/>
      <c r="AL831" s="1"/>
      <c r="AM831" s="2"/>
      <c r="AN831" s="2"/>
      <c r="AQ831" s="1"/>
      <c r="BG831" s="1"/>
    </row>
    <row r="832" spans="15:59">
      <c r="O832" s="1"/>
      <c r="P832" s="1"/>
      <c r="AA832" s="1"/>
      <c r="AB832" s="1"/>
      <c r="AG832" s="1"/>
      <c r="AH832" s="1"/>
      <c r="AK832" s="1"/>
      <c r="AL832" s="1"/>
      <c r="AM832" s="2"/>
      <c r="AN832" s="2"/>
      <c r="AQ832" s="1"/>
      <c r="BG832" s="1"/>
    </row>
    <row r="833" spans="15:59">
      <c r="O833" s="1"/>
      <c r="P833" s="1"/>
      <c r="AA833" s="1"/>
      <c r="AB833" s="1"/>
      <c r="AG833" s="1"/>
      <c r="AH833" s="1"/>
      <c r="AK833" s="1"/>
      <c r="AL833" s="1"/>
      <c r="AM833" s="2"/>
      <c r="AN833" s="2"/>
      <c r="AQ833" s="1"/>
      <c r="BG833" s="1"/>
    </row>
    <row r="834" spans="15:59">
      <c r="O834" s="1"/>
      <c r="P834" s="1"/>
      <c r="AA834" s="1"/>
      <c r="AB834" s="1"/>
      <c r="AG834" s="1"/>
      <c r="AH834" s="1"/>
      <c r="AK834" s="1"/>
      <c r="AL834" s="1"/>
      <c r="AM834" s="2"/>
      <c r="AN834" s="2"/>
      <c r="AQ834" s="1"/>
      <c r="BG834" s="1"/>
    </row>
    <row r="835" spans="15:59">
      <c r="O835" s="1"/>
      <c r="P835" s="1"/>
      <c r="AA835" s="1"/>
      <c r="AB835" s="1"/>
      <c r="AG835" s="1"/>
      <c r="AH835" s="1"/>
      <c r="AK835" s="1"/>
      <c r="AL835" s="1"/>
      <c r="AM835" s="2"/>
      <c r="AN835" s="2"/>
      <c r="AQ835" s="1"/>
      <c r="BG835" s="1"/>
    </row>
    <row r="836" spans="15:59">
      <c r="O836" s="1"/>
      <c r="P836" s="1"/>
      <c r="AA836" s="1"/>
      <c r="AB836" s="1"/>
      <c r="AG836" s="1"/>
      <c r="AH836" s="1"/>
      <c r="AK836" s="1"/>
      <c r="AL836" s="1"/>
      <c r="AM836" s="2"/>
      <c r="AN836" s="2"/>
      <c r="AQ836" s="1"/>
      <c r="BG836" s="1"/>
    </row>
    <row r="837" spans="15:59">
      <c r="O837" s="1"/>
      <c r="P837" s="1"/>
      <c r="AA837" s="1"/>
      <c r="AB837" s="1"/>
      <c r="AG837" s="1"/>
      <c r="AH837" s="1"/>
      <c r="AK837" s="1"/>
      <c r="AL837" s="1"/>
      <c r="AM837" s="2"/>
      <c r="AN837" s="2"/>
      <c r="AQ837" s="1"/>
      <c r="BG837" s="1"/>
    </row>
    <row r="838" spans="15:59">
      <c r="O838" s="1"/>
      <c r="P838" s="1"/>
      <c r="AA838" s="1"/>
      <c r="AB838" s="1"/>
      <c r="AG838" s="1"/>
      <c r="AH838" s="1"/>
      <c r="AK838" s="1"/>
      <c r="AL838" s="1"/>
      <c r="AM838" s="2"/>
      <c r="AN838" s="2"/>
      <c r="AQ838" s="1"/>
      <c r="BG838" s="1"/>
    </row>
    <row r="839" spans="15:59">
      <c r="O839" s="1"/>
      <c r="P839" s="1"/>
      <c r="AA839" s="1"/>
      <c r="AB839" s="1"/>
      <c r="AG839" s="1"/>
      <c r="AH839" s="1"/>
      <c r="AK839" s="1"/>
      <c r="AL839" s="1"/>
      <c r="AM839" s="2"/>
      <c r="AN839" s="2"/>
      <c r="AQ839" s="1"/>
      <c r="BG839" s="1"/>
    </row>
    <row r="840" spans="15:59">
      <c r="O840" s="1"/>
      <c r="P840" s="1"/>
      <c r="AA840" s="1"/>
      <c r="AB840" s="1"/>
      <c r="AG840" s="1"/>
      <c r="AH840" s="1"/>
      <c r="AK840" s="1"/>
      <c r="AL840" s="1"/>
      <c r="AM840" s="2"/>
      <c r="AN840" s="2"/>
      <c r="AQ840" s="1"/>
      <c r="BG840" s="1"/>
    </row>
    <row r="841" spans="15:59">
      <c r="O841" s="1"/>
      <c r="P841" s="1"/>
      <c r="AA841" s="1"/>
      <c r="AB841" s="1"/>
      <c r="AG841" s="1"/>
      <c r="AH841" s="1"/>
      <c r="AK841" s="1"/>
      <c r="AL841" s="1"/>
      <c r="AM841" s="2"/>
      <c r="AN841" s="2"/>
      <c r="AQ841" s="1"/>
      <c r="BG841" s="1"/>
    </row>
    <row r="842" spans="15:59">
      <c r="O842" s="1"/>
      <c r="P842" s="1"/>
      <c r="AA842" s="1"/>
      <c r="AB842" s="1"/>
      <c r="AG842" s="1"/>
      <c r="AH842" s="1"/>
      <c r="AK842" s="1"/>
      <c r="AL842" s="1"/>
      <c r="AM842" s="2"/>
      <c r="AN842" s="2"/>
      <c r="AQ842" s="1"/>
      <c r="BG842" s="1"/>
    </row>
    <row r="843" spans="15:59">
      <c r="O843" s="1"/>
      <c r="P843" s="1"/>
      <c r="AA843" s="1"/>
      <c r="AB843" s="1"/>
      <c r="AG843" s="1"/>
      <c r="AH843" s="1"/>
      <c r="AK843" s="1"/>
      <c r="AL843" s="1"/>
      <c r="AM843" s="2"/>
      <c r="AN843" s="2"/>
      <c r="AQ843" s="1"/>
      <c r="BG843" s="1"/>
    </row>
    <row r="844" spans="15:59">
      <c r="O844" s="1"/>
      <c r="P844" s="1"/>
      <c r="AA844" s="1"/>
      <c r="AB844" s="1"/>
      <c r="AG844" s="1"/>
      <c r="AH844" s="1"/>
      <c r="AK844" s="1"/>
      <c r="AL844" s="1"/>
      <c r="AM844" s="2"/>
      <c r="AN844" s="2"/>
      <c r="AQ844" s="1"/>
      <c r="BG844" s="1"/>
    </row>
    <row r="845" spans="15:59">
      <c r="O845" s="1"/>
      <c r="P845" s="1"/>
      <c r="AA845" s="1"/>
      <c r="AB845" s="1"/>
      <c r="AG845" s="1"/>
      <c r="AH845" s="1"/>
      <c r="AK845" s="1"/>
      <c r="AL845" s="1"/>
      <c r="AM845" s="2"/>
      <c r="AN845" s="2"/>
      <c r="AQ845" s="1"/>
      <c r="BG845" s="1"/>
    </row>
    <row r="846" spans="15:59">
      <c r="O846" s="1"/>
      <c r="P846" s="1"/>
      <c r="AA846" s="1"/>
      <c r="AB846" s="1"/>
      <c r="AG846" s="1"/>
      <c r="AH846" s="1"/>
      <c r="AK846" s="1"/>
      <c r="AL846" s="1"/>
      <c r="AM846" s="2"/>
      <c r="AN846" s="2"/>
      <c r="AQ846" s="1"/>
      <c r="BG846" s="1"/>
    </row>
    <row r="847" spans="15:59">
      <c r="O847" s="1"/>
      <c r="P847" s="1"/>
      <c r="AA847" s="1"/>
      <c r="AB847" s="1"/>
      <c r="AG847" s="1"/>
      <c r="AH847" s="1"/>
      <c r="AK847" s="1"/>
      <c r="AL847" s="1"/>
      <c r="AM847" s="2"/>
      <c r="AN847" s="2"/>
      <c r="AQ847" s="1"/>
      <c r="BG847" s="1"/>
    </row>
    <row r="848" spans="15:59">
      <c r="O848" s="1"/>
      <c r="P848" s="1"/>
      <c r="AA848" s="1"/>
      <c r="AB848" s="1"/>
      <c r="AG848" s="1"/>
      <c r="AH848" s="1"/>
      <c r="AK848" s="1"/>
      <c r="AL848" s="1"/>
      <c r="AM848" s="2"/>
      <c r="AN848" s="2"/>
      <c r="AQ848" s="1"/>
      <c r="BG848" s="1"/>
    </row>
    <row r="849" spans="15:59">
      <c r="O849" s="1"/>
      <c r="P849" s="1"/>
      <c r="AA849" s="1"/>
      <c r="AB849" s="1"/>
      <c r="AG849" s="1"/>
      <c r="AH849" s="1"/>
      <c r="AK849" s="1"/>
      <c r="AL849" s="1"/>
      <c r="AM849" s="2"/>
      <c r="AN849" s="2"/>
      <c r="AQ849" s="1"/>
      <c r="BG849" s="1"/>
    </row>
    <row r="850" spans="15:59">
      <c r="O850" s="1"/>
      <c r="P850" s="1"/>
      <c r="AA850" s="1"/>
      <c r="AB850" s="1"/>
      <c r="AG850" s="1"/>
      <c r="AH850" s="1"/>
      <c r="AK850" s="1"/>
      <c r="AL850" s="1"/>
      <c r="AM850" s="2"/>
      <c r="AN850" s="2"/>
      <c r="AQ850" s="1"/>
      <c r="BG850" s="1"/>
    </row>
    <row r="851" spans="15:59">
      <c r="O851" s="1"/>
      <c r="P851" s="1"/>
      <c r="AA851" s="1"/>
      <c r="AB851" s="1"/>
      <c r="AG851" s="1"/>
      <c r="AH851" s="1"/>
      <c r="AK851" s="1"/>
      <c r="AL851" s="1"/>
      <c r="AM851" s="2"/>
      <c r="AN851" s="2"/>
      <c r="AQ851" s="1"/>
      <c r="BG851" s="1"/>
    </row>
    <row r="852" spans="15:59">
      <c r="O852" s="1"/>
      <c r="P852" s="1"/>
      <c r="AA852" s="1"/>
      <c r="AB852" s="1"/>
      <c r="AG852" s="1"/>
      <c r="AH852" s="1"/>
      <c r="AK852" s="1"/>
      <c r="AL852" s="1"/>
      <c r="AM852" s="2"/>
      <c r="AN852" s="2"/>
      <c r="AQ852" s="1"/>
      <c r="BG852" s="1"/>
    </row>
    <row r="853" spans="15:59">
      <c r="O853" s="1"/>
      <c r="P853" s="1"/>
      <c r="AA853" s="1"/>
      <c r="AB853" s="1"/>
      <c r="AG853" s="1"/>
      <c r="AH853" s="1"/>
      <c r="AK853" s="1"/>
      <c r="AL853" s="1"/>
      <c r="AM853" s="2"/>
      <c r="AN853" s="2"/>
      <c r="AQ853" s="1"/>
      <c r="BG853" s="1"/>
    </row>
    <row r="854" spans="15:59">
      <c r="O854" s="1"/>
      <c r="P854" s="1"/>
      <c r="AA854" s="1"/>
      <c r="AB854" s="1"/>
      <c r="AG854" s="1"/>
      <c r="AH854" s="1"/>
      <c r="AK854" s="1"/>
      <c r="AL854" s="1"/>
      <c r="AM854" s="2"/>
      <c r="AN854" s="2"/>
      <c r="AQ854" s="1"/>
      <c r="BG854" s="1"/>
    </row>
    <row r="855" spans="15:59">
      <c r="O855" s="1"/>
      <c r="P855" s="1"/>
      <c r="AA855" s="1"/>
      <c r="AB855" s="1"/>
      <c r="AG855" s="1"/>
      <c r="AH855" s="1"/>
      <c r="AK855" s="1"/>
      <c r="AL855" s="1"/>
      <c r="AM855" s="2"/>
      <c r="AN855" s="2"/>
      <c r="AQ855" s="1"/>
      <c r="BG855" s="1"/>
    </row>
    <row r="856" spans="15:59">
      <c r="O856" s="1"/>
      <c r="P856" s="1"/>
      <c r="AA856" s="1"/>
      <c r="AB856" s="1"/>
      <c r="AG856" s="1"/>
      <c r="AH856" s="1"/>
      <c r="AK856" s="1"/>
      <c r="AL856" s="1"/>
      <c r="AM856" s="2"/>
      <c r="AN856" s="2"/>
      <c r="AQ856" s="1"/>
      <c r="BG856" s="1"/>
    </row>
    <row r="857" spans="15:59">
      <c r="O857" s="1"/>
      <c r="P857" s="1"/>
      <c r="AA857" s="1"/>
      <c r="AB857" s="1"/>
      <c r="AG857" s="1"/>
      <c r="AH857" s="1"/>
      <c r="AK857" s="1"/>
      <c r="AL857" s="1"/>
      <c r="AM857" s="2"/>
      <c r="AN857" s="2"/>
      <c r="AQ857" s="1"/>
      <c r="BG857" s="1"/>
    </row>
    <row r="858" spans="15:59">
      <c r="O858" s="1"/>
      <c r="P858" s="1"/>
      <c r="AA858" s="1"/>
      <c r="AB858" s="1"/>
      <c r="AG858" s="1"/>
      <c r="AH858" s="1"/>
      <c r="AK858" s="1"/>
      <c r="AL858" s="1"/>
      <c r="AM858" s="2"/>
      <c r="AN858" s="2"/>
      <c r="AQ858" s="1"/>
      <c r="BG858" s="1"/>
    </row>
    <row r="859" spans="15:59">
      <c r="O859" s="1"/>
      <c r="P859" s="1"/>
      <c r="AA859" s="1"/>
      <c r="AB859" s="1"/>
      <c r="AG859" s="1"/>
      <c r="AH859" s="1"/>
      <c r="AK859" s="1"/>
      <c r="AL859" s="1"/>
      <c r="AM859" s="2"/>
      <c r="AN859" s="2"/>
      <c r="AQ859" s="1"/>
      <c r="BG859" s="1"/>
    </row>
    <row r="860" spans="15:59">
      <c r="O860" s="1"/>
      <c r="P860" s="1"/>
      <c r="AA860" s="1"/>
      <c r="AB860" s="1"/>
      <c r="AG860" s="1"/>
      <c r="AH860" s="1"/>
      <c r="AK860" s="1"/>
      <c r="AL860" s="1"/>
      <c r="AM860" s="2"/>
      <c r="AN860" s="2"/>
      <c r="AQ860" s="1"/>
      <c r="BG860" s="1"/>
    </row>
    <row r="861" spans="15:59">
      <c r="O861" s="1"/>
      <c r="P861" s="1"/>
      <c r="AA861" s="1"/>
      <c r="AB861" s="1"/>
      <c r="AG861" s="1"/>
      <c r="AH861" s="1"/>
      <c r="AK861" s="1"/>
      <c r="AL861" s="1"/>
      <c r="AM861" s="2"/>
      <c r="AN861" s="2"/>
      <c r="AQ861" s="1"/>
      <c r="BG861" s="1"/>
    </row>
    <row r="862" spans="15:59">
      <c r="O862" s="1"/>
      <c r="P862" s="1"/>
      <c r="AA862" s="1"/>
      <c r="AB862" s="1"/>
      <c r="AG862" s="1"/>
      <c r="AH862" s="1"/>
      <c r="AK862" s="1"/>
      <c r="AL862" s="1"/>
      <c r="AM862" s="2"/>
      <c r="AN862" s="2"/>
      <c r="AQ862" s="1"/>
      <c r="BG862" s="1"/>
    </row>
    <row r="863" spans="15:59">
      <c r="O863" s="1"/>
      <c r="P863" s="1"/>
      <c r="AA863" s="1"/>
      <c r="AB863" s="1"/>
      <c r="AG863" s="1"/>
      <c r="AH863" s="1"/>
      <c r="AK863" s="1"/>
      <c r="AL863" s="1"/>
      <c r="AM863" s="2"/>
      <c r="AN863" s="2"/>
      <c r="AQ863" s="1"/>
      <c r="BG863" s="1"/>
    </row>
    <row r="864" spans="15:59">
      <c r="O864" s="1"/>
      <c r="P864" s="1"/>
      <c r="AA864" s="1"/>
      <c r="AB864" s="1"/>
      <c r="AG864" s="1"/>
      <c r="AH864" s="1"/>
      <c r="AK864" s="1"/>
      <c r="AL864" s="1"/>
      <c r="AM864" s="2"/>
      <c r="AN864" s="2"/>
      <c r="AQ864" s="1"/>
      <c r="BG864" s="1"/>
    </row>
    <row r="865" spans="15:59">
      <c r="O865" s="1"/>
      <c r="P865" s="1"/>
      <c r="AA865" s="1"/>
      <c r="AB865" s="1"/>
      <c r="AG865" s="1"/>
      <c r="AH865" s="1"/>
      <c r="AK865" s="1"/>
      <c r="AL865" s="1"/>
      <c r="AM865" s="2"/>
      <c r="AN865" s="2"/>
      <c r="AQ865" s="1"/>
      <c r="BG865" s="1"/>
    </row>
    <row r="866" spans="15:59">
      <c r="O866" s="1"/>
      <c r="P866" s="1"/>
      <c r="AA866" s="1"/>
      <c r="AB866" s="1"/>
      <c r="AG866" s="1"/>
      <c r="AH866" s="1"/>
      <c r="AK866" s="1"/>
      <c r="AL866" s="1"/>
      <c r="AM866" s="2"/>
      <c r="AN866" s="2"/>
      <c r="AQ866" s="1"/>
      <c r="BG866" s="1"/>
    </row>
    <row r="867" spans="15:59">
      <c r="O867" s="1"/>
      <c r="P867" s="1"/>
      <c r="AA867" s="1"/>
      <c r="AB867" s="1"/>
      <c r="AG867" s="1"/>
      <c r="AH867" s="1"/>
      <c r="AK867" s="1"/>
      <c r="AL867" s="1"/>
      <c r="AM867" s="2"/>
      <c r="AN867" s="2"/>
      <c r="AQ867" s="1"/>
      <c r="BG867" s="1"/>
    </row>
    <row r="868" spans="15:59">
      <c r="O868" s="1"/>
      <c r="P868" s="1"/>
      <c r="AA868" s="1"/>
      <c r="AB868" s="1"/>
      <c r="AG868" s="1"/>
      <c r="AH868" s="1"/>
      <c r="AK868" s="1"/>
      <c r="AL868" s="1"/>
      <c r="AM868" s="2"/>
      <c r="AN868" s="2"/>
      <c r="AQ868" s="1"/>
      <c r="BG868" s="1"/>
    </row>
    <row r="869" spans="15:59">
      <c r="O869" s="1"/>
      <c r="P869" s="1"/>
      <c r="AA869" s="1"/>
      <c r="AB869" s="1"/>
      <c r="AG869" s="1"/>
      <c r="AH869" s="1"/>
      <c r="AK869" s="1"/>
      <c r="AL869" s="1"/>
      <c r="AM869" s="2"/>
      <c r="AN869" s="2"/>
      <c r="AQ869" s="1"/>
      <c r="BG869" s="1"/>
    </row>
    <row r="870" spans="15:59">
      <c r="O870" s="1"/>
      <c r="P870" s="1"/>
      <c r="AA870" s="1"/>
      <c r="AB870" s="1"/>
      <c r="AG870" s="1"/>
      <c r="AH870" s="1"/>
      <c r="AK870" s="1"/>
      <c r="AL870" s="1"/>
      <c r="AM870" s="2"/>
      <c r="AN870" s="2"/>
      <c r="AQ870" s="1"/>
      <c r="BG870" s="1"/>
    </row>
    <row r="871" spans="15:59">
      <c r="O871" s="1"/>
      <c r="P871" s="1"/>
      <c r="AA871" s="1"/>
      <c r="AB871" s="1"/>
      <c r="AG871" s="1"/>
      <c r="AH871" s="1"/>
      <c r="AK871" s="1"/>
      <c r="AL871" s="1"/>
      <c r="AM871" s="2"/>
      <c r="AN871" s="2"/>
      <c r="AQ871" s="1"/>
      <c r="BG871" s="1"/>
    </row>
    <row r="872" spans="15:59">
      <c r="O872" s="1"/>
      <c r="P872" s="1"/>
      <c r="AA872" s="1"/>
      <c r="AB872" s="1"/>
      <c r="AG872" s="1"/>
      <c r="AH872" s="1"/>
      <c r="AK872" s="1"/>
      <c r="AL872" s="1"/>
      <c r="AM872" s="2"/>
      <c r="AN872" s="2"/>
      <c r="AQ872" s="1"/>
      <c r="BG872" s="1"/>
    </row>
    <row r="873" spans="15:59">
      <c r="O873" s="1"/>
      <c r="P873" s="1"/>
      <c r="AA873" s="1"/>
      <c r="AB873" s="1"/>
      <c r="AG873" s="1"/>
      <c r="AH873" s="1"/>
      <c r="AK873" s="1"/>
      <c r="AL873" s="1"/>
      <c r="AM873" s="2"/>
      <c r="AN873" s="2"/>
      <c r="AQ873" s="1"/>
      <c r="BG873" s="1"/>
    </row>
    <row r="874" spans="15:59">
      <c r="O874" s="1"/>
      <c r="P874" s="1"/>
      <c r="AA874" s="1"/>
      <c r="AB874" s="1"/>
      <c r="AG874" s="1"/>
      <c r="AH874" s="1"/>
      <c r="AK874" s="1"/>
      <c r="AL874" s="1"/>
      <c r="AM874" s="2"/>
      <c r="AN874" s="2"/>
      <c r="AQ874" s="1"/>
      <c r="BG874" s="1"/>
    </row>
    <row r="875" spans="15:59">
      <c r="O875" s="1"/>
      <c r="P875" s="1"/>
      <c r="AA875" s="1"/>
      <c r="AB875" s="1"/>
      <c r="AG875" s="1"/>
      <c r="AH875" s="1"/>
      <c r="AK875" s="1"/>
      <c r="AL875" s="1"/>
      <c r="AM875" s="2"/>
      <c r="AN875" s="2"/>
      <c r="AQ875" s="1"/>
      <c r="BG875" s="1"/>
    </row>
    <row r="876" spans="15:59">
      <c r="O876" s="1"/>
      <c r="P876" s="1"/>
      <c r="AA876" s="1"/>
      <c r="AB876" s="1"/>
      <c r="AG876" s="1"/>
      <c r="AH876" s="1"/>
      <c r="AK876" s="1"/>
      <c r="AL876" s="1"/>
      <c r="AM876" s="2"/>
      <c r="AN876" s="2"/>
      <c r="AQ876" s="1"/>
      <c r="BG876" s="1"/>
    </row>
    <row r="877" spans="15:59">
      <c r="O877" s="1"/>
      <c r="P877" s="1"/>
      <c r="AA877" s="1"/>
      <c r="AB877" s="1"/>
      <c r="AG877" s="1"/>
      <c r="AH877" s="1"/>
      <c r="AK877" s="1"/>
      <c r="AL877" s="1"/>
      <c r="AM877" s="2"/>
      <c r="AN877" s="2"/>
      <c r="AQ877" s="1"/>
      <c r="BG877" s="1"/>
    </row>
    <row r="878" spans="15:59">
      <c r="O878" s="1"/>
      <c r="P878" s="1"/>
      <c r="AA878" s="1"/>
      <c r="AB878" s="1"/>
      <c r="AG878" s="1"/>
      <c r="AH878" s="1"/>
      <c r="AK878" s="1"/>
      <c r="AL878" s="1"/>
      <c r="AM878" s="2"/>
      <c r="AN878" s="2"/>
      <c r="AQ878" s="1"/>
      <c r="BG878" s="1"/>
    </row>
    <row r="879" spans="15:59">
      <c r="O879" s="1"/>
      <c r="P879" s="1"/>
      <c r="AA879" s="1"/>
      <c r="AB879" s="1"/>
      <c r="AG879" s="1"/>
      <c r="AH879" s="1"/>
      <c r="AK879" s="1"/>
      <c r="AL879" s="1"/>
      <c r="AM879" s="2"/>
      <c r="AN879" s="2"/>
      <c r="AQ879" s="1"/>
      <c r="BG879" s="1"/>
    </row>
    <row r="880" spans="15:59">
      <c r="O880" s="1"/>
      <c r="P880" s="1"/>
      <c r="AA880" s="1"/>
      <c r="AB880" s="1"/>
      <c r="AG880" s="1"/>
      <c r="AH880" s="1"/>
      <c r="AK880" s="1"/>
      <c r="AL880" s="1"/>
      <c r="AM880" s="2"/>
      <c r="AN880" s="2"/>
      <c r="AQ880" s="1"/>
      <c r="BG880" s="1"/>
    </row>
    <row r="881" spans="15:59">
      <c r="O881" s="1"/>
      <c r="P881" s="1"/>
      <c r="AA881" s="1"/>
      <c r="AB881" s="1"/>
      <c r="AG881" s="1"/>
      <c r="AH881" s="1"/>
      <c r="AK881" s="1"/>
      <c r="AL881" s="1"/>
      <c r="AM881" s="2"/>
      <c r="AN881" s="2"/>
      <c r="AQ881" s="1"/>
      <c r="BG881" s="1"/>
    </row>
    <row r="882" spans="15:59">
      <c r="O882" s="1"/>
      <c r="P882" s="1"/>
      <c r="AA882" s="1"/>
      <c r="AB882" s="1"/>
      <c r="AG882" s="1"/>
      <c r="AH882" s="1"/>
      <c r="AK882" s="1"/>
      <c r="AL882" s="1"/>
      <c r="AM882" s="2"/>
      <c r="AN882" s="2"/>
      <c r="AQ882" s="1"/>
      <c r="BG882" s="1"/>
    </row>
    <row r="883" spans="15:59">
      <c r="O883" s="1"/>
      <c r="P883" s="1"/>
      <c r="AA883" s="1"/>
      <c r="AB883" s="1"/>
      <c r="AG883" s="1"/>
      <c r="AH883" s="1"/>
      <c r="AK883" s="1"/>
      <c r="AL883" s="1"/>
      <c r="AM883" s="2"/>
      <c r="AN883" s="2"/>
      <c r="AQ883" s="1"/>
      <c r="BG883" s="1"/>
    </row>
    <row r="884" spans="15:59">
      <c r="O884" s="1"/>
      <c r="P884" s="1"/>
      <c r="AA884" s="1"/>
      <c r="AB884" s="1"/>
      <c r="AG884" s="1"/>
      <c r="AH884" s="1"/>
      <c r="AK884" s="1"/>
      <c r="AL884" s="1"/>
      <c r="AM884" s="2"/>
      <c r="AN884" s="2"/>
      <c r="AQ884" s="1"/>
      <c r="BG884" s="1"/>
    </row>
    <row r="885" spans="15:59">
      <c r="O885" s="1"/>
      <c r="P885" s="1"/>
      <c r="AA885" s="1"/>
      <c r="AB885" s="1"/>
      <c r="AG885" s="1"/>
      <c r="AH885" s="1"/>
      <c r="AK885" s="1"/>
      <c r="AL885" s="1"/>
      <c r="AM885" s="2"/>
      <c r="AN885" s="2"/>
      <c r="AQ885" s="1"/>
      <c r="BG885" s="1"/>
    </row>
    <row r="886" spans="15:59">
      <c r="O886" s="1"/>
      <c r="P886" s="1"/>
      <c r="AA886" s="1"/>
      <c r="AB886" s="1"/>
      <c r="AG886" s="1"/>
      <c r="AH886" s="1"/>
      <c r="AK886" s="1"/>
      <c r="AL886" s="1"/>
      <c r="AM886" s="2"/>
      <c r="AN886" s="2"/>
      <c r="AQ886" s="1"/>
      <c r="BG886" s="1"/>
    </row>
    <row r="887" spans="15:59">
      <c r="O887" s="1"/>
      <c r="P887" s="1"/>
      <c r="AA887" s="1"/>
      <c r="AB887" s="1"/>
      <c r="AG887" s="1"/>
      <c r="AH887" s="1"/>
      <c r="AK887" s="1"/>
      <c r="AL887" s="1"/>
      <c r="AM887" s="2"/>
      <c r="AN887" s="2"/>
      <c r="AQ887" s="1"/>
      <c r="BG887" s="1"/>
    </row>
    <row r="888" spans="15:59">
      <c r="O888" s="1"/>
      <c r="P888" s="1"/>
      <c r="AA888" s="1"/>
      <c r="AB888" s="1"/>
      <c r="AG888" s="1"/>
      <c r="AH888" s="1"/>
      <c r="AK888" s="1"/>
      <c r="AL888" s="1"/>
      <c r="AM888" s="2"/>
      <c r="AN888" s="2"/>
      <c r="AQ888" s="1"/>
      <c r="BG888" s="1"/>
    </row>
    <row r="889" spans="15:59">
      <c r="O889" s="1"/>
      <c r="P889" s="1"/>
      <c r="AA889" s="1"/>
      <c r="AB889" s="1"/>
      <c r="AG889" s="1"/>
      <c r="AH889" s="1"/>
      <c r="AK889" s="1"/>
      <c r="AL889" s="1"/>
      <c r="AM889" s="2"/>
      <c r="AN889" s="2"/>
      <c r="AQ889" s="1"/>
      <c r="BG889" s="1"/>
    </row>
    <row r="890" spans="15:59">
      <c r="O890" s="1"/>
      <c r="P890" s="1"/>
      <c r="AA890" s="1"/>
      <c r="AB890" s="1"/>
      <c r="AG890" s="1"/>
      <c r="AH890" s="1"/>
      <c r="AK890" s="1"/>
      <c r="AL890" s="1"/>
      <c r="AM890" s="2"/>
      <c r="AN890" s="2"/>
      <c r="AQ890" s="1"/>
      <c r="BG890" s="1"/>
    </row>
    <row r="891" spans="15:59">
      <c r="O891" s="1"/>
      <c r="P891" s="1"/>
      <c r="AA891" s="1"/>
      <c r="AB891" s="1"/>
      <c r="AG891" s="1"/>
      <c r="AH891" s="1"/>
      <c r="AK891" s="1"/>
      <c r="AL891" s="1"/>
      <c r="AM891" s="2"/>
      <c r="AN891" s="2"/>
      <c r="AQ891" s="1"/>
      <c r="BG891" s="1"/>
    </row>
    <row r="892" spans="15:59">
      <c r="O892" s="1"/>
      <c r="P892" s="1"/>
      <c r="AA892" s="1"/>
      <c r="AB892" s="1"/>
      <c r="AG892" s="1"/>
      <c r="AH892" s="1"/>
      <c r="AK892" s="1"/>
      <c r="AL892" s="1"/>
      <c r="AM892" s="2"/>
      <c r="AN892" s="2"/>
      <c r="AQ892" s="1"/>
      <c r="BG892" s="1"/>
    </row>
    <row r="893" spans="15:59">
      <c r="O893" s="1"/>
      <c r="P893" s="1"/>
      <c r="AA893" s="1"/>
      <c r="AB893" s="1"/>
      <c r="AG893" s="1"/>
      <c r="AH893" s="1"/>
      <c r="AK893" s="1"/>
      <c r="AL893" s="1"/>
      <c r="AM893" s="2"/>
      <c r="AN893" s="2"/>
      <c r="AQ893" s="1"/>
      <c r="BG893" s="1"/>
    </row>
    <row r="894" spans="15:59">
      <c r="O894" s="1"/>
      <c r="P894" s="1"/>
      <c r="AA894" s="1"/>
      <c r="AB894" s="1"/>
      <c r="AG894" s="1"/>
      <c r="AH894" s="1"/>
      <c r="AK894" s="1"/>
      <c r="AL894" s="1"/>
      <c r="AM894" s="2"/>
      <c r="AN894" s="2"/>
      <c r="AQ894" s="1"/>
      <c r="BG894" s="1"/>
    </row>
    <row r="895" spans="15:59">
      <c r="O895" s="1"/>
      <c r="P895" s="1"/>
      <c r="AA895" s="1"/>
      <c r="AB895" s="1"/>
      <c r="AG895" s="1"/>
      <c r="AH895" s="1"/>
      <c r="AK895" s="1"/>
      <c r="AL895" s="1"/>
      <c r="AM895" s="2"/>
      <c r="AN895" s="2"/>
      <c r="AQ895" s="1"/>
      <c r="BG895" s="1"/>
    </row>
    <row r="896" spans="15:59">
      <c r="O896" s="1"/>
      <c r="P896" s="1"/>
      <c r="AA896" s="1"/>
      <c r="AB896" s="1"/>
      <c r="AG896" s="1"/>
      <c r="AH896" s="1"/>
      <c r="AK896" s="1"/>
      <c r="AL896" s="1"/>
      <c r="AM896" s="2"/>
      <c r="AN896" s="2"/>
      <c r="AQ896" s="1"/>
      <c r="BG896" s="1"/>
    </row>
    <row r="897" spans="15:59">
      <c r="O897" s="1"/>
      <c r="P897" s="1"/>
      <c r="AA897" s="1"/>
      <c r="AB897" s="1"/>
      <c r="AG897" s="1"/>
      <c r="AH897" s="1"/>
      <c r="AK897" s="1"/>
      <c r="AL897" s="1"/>
      <c r="AM897" s="2"/>
      <c r="AN897" s="2"/>
      <c r="AQ897" s="1"/>
      <c r="BG897" s="1"/>
    </row>
    <row r="898" spans="15:59">
      <c r="O898" s="1"/>
      <c r="P898" s="1"/>
      <c r="AA898" s="1"/>
      <c r="AB898" s="1"/>
      <c r="AG898" s="1"/>
      <c r="AH898" s="1"/>
      <c r="AK898" s="1"/>
      <c r="AL898" s="1"/>
      <c r="AM898" s="2"/>
      <c r="AN898" s="2"/>
      <c r="AQ898" s="1"/>
      <c r="BG898" s="1"/>
    </row>
    <row r="899" spans="15:59">
      <c r="O899" s="1"/>
      <c r="P899" s="1"/>
      <c r="AA899" s="1"/>
      <c r="AB899" s="1"/>
      <c r="AG899" s="1"/>
      <c r="AH899" s="1"/>
      <c r="AK899" s="1"/>
      <c r="AL899" s="1"/>
      <c r="AM899" s="2"/>
      <c r="AN899" s="2"/>
      <c r="AQ899" s="1"/>
      <c r="BG899" s="1"/>
    </row>
    <row r="900" spans="15:59">
      <c r="O900" s="1"/>
      <c r="P900" s="1"/>
      <c r="AA900" s="1"/>
      <c r="AB900" s="1"/>
      <c r="AG900" s="1"/>
      <c r="AH900" s="1"/>
      <c r="AK900" s="1"/>
      <c r="AL900" s="1"/>
      <c r="AM900" s="2"/>
      <c r="AN900" s="2"/>
      <c r="AQ900" s="1"/>
      <c r="BG900" s="1"/>
    </row>
    <row r="901" spans="15:59">
      <c r="O901" s="1"/>
      <c r="P901" s="1"/>
      <c r="AA901" s="1"/>
      <c r="AB901" s="1"/>
      <c r="AG901" s="1"/>
      <c r="AH901" s="1"/>
      <c r="AK901" s="1"/>
      <c r="AL901" s="1"/>
      <c r="AM901" s="2"/>
      <c r="AN901" s="2"/>
      <c r="AQ901" s="1"/>
      <c r="BG901" s="1"/>
    </row>
    <row r="902" spans="15:59">
      <c r="O902" s="1"/>
      <c r="P902" s="1"/>
      <c r="AA902" s="1"/>
      <c r="AB902" s="1"/>
      <c r="AG902" s="1"/>
      <c r="AH902" s="1"/>
      <c r="AK902" s="1"/>
      <c r="AL902" s="1"/>
      <c r="AM902" s="2"/>
      <c r="AN902" s="2"/>
      <c r="AQ902" s="1"/>
      <c r="BG902" s="1"/>
    </row>
    <row r="903" spans="15:59">
      <c r="O903" s="1"/>
      <c r="P903" s="1"/>
      <c r="AA903" s="1"/>
      <c r="AB903" s="1"/>
      <c r="AG903" s="1"/>
      <c r="AH903" s="1"/>
      <c r="AK903" s="1"/>
      <c r="AL903" s="1"/>
      <c r="AM903" s="2"/>
      <c r="AN903" s="2"/>
      <c r="AQ903" s="1"/>
      <c r="BG903" s="1"/>
    </row>
    <row r="904" spans="15:59">
      <c r="O904" s="1"/>
      <c r="P904" s="1"/>
      <c r="AA904" s="1"/>
      <c r="AB904" s="1"/>
      <c r="AG904" s="1"/>
      <c r="AH904" s="1"/>
      <c r="AK904" s="1"/>
      <c r="AL904" s="1"/>
      <c r="AM904" s="2"/>
      <c r="AN904" s="2"/>
      <c r="AQ904" s="1"/>
      <c r="BG904" s="1"/>
    </row>
    <row r="905" spans="15:59">
      <c r="O905" s="1"/>
      <c r="P905" s="1"/>
      <c r="AA905" s="1"/>
      <c r="AB905" s="1"/>
      <c r="AG905" s="1"/>
      <c r="AH905" s="1"/>
      <c r="AK905" s="1"/>
      <c r="AL905" s="1"/>
      <c r="AM905" s="2"/>
      <c r="AN905" s="2"/>
      <c r="AQ905" s="1"/>
      <c r="BG905" s="1"/>
    </row>
    <row r="906" spans="15:59">
      <c r="O906" s="1"/>
      <c r="P906" s="1"/>
      <c r="AA906" s="1"/>
      <c r="AB906" s="1"/>
      <c r="AG906" s="1"/>
      <c r="AH906" s="1"/>
      <c r="AK906" s="1"/>
      <c r="AL906" s="1"/>
      <c r="AM906" s="2"/>
      <c r="AN906" s="2"/>
      <c r="AQ906" s="1"/>
      <c r="BG906" s="1"/>
    </row>
    <row r="907" spans="15:59">
      <c r="O907" s="1"/>
      <c r="P907" s="1"/>
      <c r="AA907" s="1"/>
      <c r="AB907" s="1"/>
      <c r="AG907" s="1"/>
      <c r="AH907" s="1"/>
      <c r="AK907" s="1"/>
      <c r="AL907" s="1"/>
      <c r="AM907" s="2"/>
      <c r="AN907" s="2"/>
      <c r="AQ907" s="1"/>
      <c r="BG907" s="1"/>
    </row>
    <row r="908" spans="15:59">
      <c r="O908" s="1"/>
      <c r="P908" s="1"/>
      <c r="AA908" s="1"/>
      <c r="AB908" s="1"/>
      <c r="AG908" s="1"/>
      <c r="AH908" s="1"/>
      <c r="AK908" s="1"/>
      <c r="AL908" s="1"/>
      <c r="AM908" s="2"/>
      <c r="AN908" s="2"/>
      <c r="AQ908" s="1"/>
      <c r="BG908" s="1"/>
    </row>
    <row r="909" spans="15:59">
      <c r="O909" s="1"/>
      <c r="P909" s="1"/>
      <c r="AA909" s="1"/>
      <c r="AB909" s="1"/>
      <c r="AG909" s="1"/>
      <c r="AH909" s="1"/>
      <c r="AK909" s="1"/>
      <c r="AL909" s="1"/>
      <c r="AM909" s="2"/>
      <c r="AN909" s="2"/>
      <c r="AQ909" s="1"/>
      <c r="BG909" s="1"/>
    </row>
    <row r="910" spans="15:59">
      <c r="O910" s="1"/>
      <c r="P910" s="1"/>
      <c r="AA910" s="1"/>
      <c r="AB910" s="1"/>
      <c r="AG910" s="1"/>
      <c r="AH910" s="1"/>
      <c r="AK910" s="1"/>
      <c r="AL910" s="1"/>
      <c r="AM910" s="2"/>
      <c r="AN910" s="2"/>
      <c r="AQ910" s="1"/>
      <c r="BG910" s="1"/>
    </row>
    <row r="911" spans="15:59">
      <c r="O911" s="1"/>
      <c r="P911" s="1"/>
      <c r="AA911" s="1"/>
      <c r="AB911" s="1"/>
      <c r="AG911" s="1"/>
      <c r="AH911" s="1"/>
      <c r="AK911" s="1"/>
      <c r="AL911" s="1"/>
      <c r="AM911" s="2"/>
      <c r="AN911" s="2"/>
      <c r="AQ911" s="1"/>
      <c r="BG911" s="1"/>
    </row>
    <row r="912" spans="15:59">
      <c r="O912" s="1"/>
      <c r="P912" s="1"/>
      <c r="AA912" s="1"/>
      <c r="AB912" s="1"/>
      <c r="AG912" s="1"/>
      <c r="AH912" s="1"/>
      <c r="AK912" s="1"/>
      <c r="AL912" s="1"/>
      <c r="AM912" s="2"/>
      <c r="AN912" s="2"/>
      <c r="AQ912" s="1"/>
      <c r="BG912" s="1"/>
    </row>
    <row r="913" spans="15:59">
      <c r="O913" s="1"/>
      <c r="P913" s="1"/>
      <c r="AA913" s="1"/>
      <c r="AB913" s="1"/>
      <c r="AG913" s="1"/>
      <c r="AH913" s="1"/>
      <c r="AK913" s="1"/>
      <c r="AL913" s="1"/>
      <c r="AM913" s="2"/>
      <c r="AN913" s="2"/>
      <c r="AQ913" s="1"/>
      <c r="BG913" s="1"/>
    </row>
    <row r="914" spans="15:59">
      <c r="O914" s="1"/>
      <c r="P914" s="1"/>
      <c r="AA914" s="1"/>
      <c r="AB914" s="1"/>
      <c r="AG914" s="1"/>
      <c r="AH914" s="1"/>
      <c r="AK914" s="1"/>
      <c r="AL914" s="1"/>
      <c r="AM914" s="2"/>
      <c r="AN914" s="2"/>
      <c r="AQ914" s="1"/>
      <c r="BG914" s="1"/>
    </row>
    <row r="915" spans="15:59">
      <c r="O915" s="1"/>
      <c r="P915" s="1"/>
      <c r="AA915" s="1"/>
      <c r="AB915" s="1"/>
      <c r="AG915" s="1"/>
      <c r="AH915" s="1"/>
      <c r="AK915" s="1"/>
      <c r="AL915" s="1"/>
      <c r="AM915" s="2"/>
      <c r="AN915" s="2"/>
      <c r="AQ915" s="1"/>
      <c r="BG915" s="1"/>
    </row>
    <row r="916" spans="15:59">
      <c r="O916" s="1"/>
      <c r="P916" s="1"/>
      <c r="AA916" s="1"/>
      <c r="AB916" s="1"/>
      <c r="AG916" s="1"/>
      <c r="AH916" s="1"/>
      <c r="AK916" s="1"/>
      <c r="AL916" s="1"/>
      <c r="AM916" s="2"/>
      <c r="AN916" s="2"/>
      <c r="AQ916" s="1"/>
      <c r="BG916" s="1"/>
    </row>
    <row r="917" spans="15:59">
      <c r="O917" s="1"/>
      <c r="P917" s="1"/>
      <c r="AA917" s="1"/>
      <c r="AB917" s="1"/>
      <c r="AG917" s="1"/>
      <c r="AH917" s="1"/>
      <c r="AK917" s="1"/>
      <c r="AL917" s="1"/>
      <c r="AM917" s="2"/>
      <c r="AN917" s="2"/>
      <c r="AQ917" s="1"/>
      <c r="BG917" s="1"/>
    </row>
    <row r="918" spans="15:59">
      <c r="O918" s="1"/>
      <c r="P918" s="1"/>
      <c r="AA918" s="1"/>
      <c r="AB918" s="1"/>
      <c r="AG918" s="1"/>
      <c r="AH918" s="1"/>
      <c r="AK918" s="1"/>
      <c r="AL918" s="1"/>
      <c r="AM918" s="2"/>
      <c r="AN918" s="2"/>
      <c r="AQ918" s="1"/>
      <c r="BG918" s="1"/>
    </row>
    <row r="919" spans="15:59">
      <c r="O919" s="1"/>
      <c r="P919" s="1"/>
      <c r="AA919" s="1"/>
      <c r="AB919" s="1"/>
      <c r="AG919" s="1"/>
      <c r="AH919" s="1"/>
      <c r="AK919" s="1"/>
      <c r="AL919" s="1"/>
      <c r="AM919" s="2"/>
      <c r="AN919" s="2"/>
      <c r="AQ919" s="1"/>
      <c r="BG919" s="1"/>
    </row>
    <row r="920" spans="15:59">
      <c r="O920" s="1"/>
      <c r="P920" s="1"/>
      <c r="AA920" s="1"/>
      <c r="AB920" s="1"/>
      <c r="AG920" s="1"/>
      <c r="AH920" s="1"/>
      <c r="AK920" s="1"/>
      <c r="AL920" s="1"/>
      <c r="AM920" s="2"/>
      <c r="AN920" s="2"/>
      <c r="AQ920" s="1"/>
      <c r="BG920" s="1"/>
    </row>
    <row r="921" spans="15:59">
      <c r="O921" s="1"/>
      <c r="P921" s="1"/>
      <c r="AA921" s="1"/>
      <c r="AB921" s="1"/>
      <c r="AG921" s="1"/>
      <c r="AH921" s="1"/>
      <c r="AK921" s="1"/>
      <c r="AL921" s="1"/>
      <c r="AM921" s="2"/>
      <c r="AN921" s="2"/>
      <c r="AQ921" s="1"/>
      <c r="BG921" s="1"/>
    </row>
    <row r="922" spans="15:59">
      <c r="O922" s="1"/>
      <c r="P922" s="1"/>
      <c r="AA922" s="1"/>
      <c r="AB922" s="1"/>
      <c r="AG922" s="1"/>
      <c r="AH922" s="1"/>
      <c r="AK922" s="1"/>
      <c r="AL922" s="1"/>
      <c r="AM922" s="2"/>
      <c r="AN922" s="2"/>
      <c r="AQ922" s="1"/>
      <c r="BG922" s="1"/>
    </row>
    <row r="923" spans="15:59">
      <c r="O923" s="1"/>
      <c r="P923" s="1"/>
      <c r="AA923" s="1"/>
      <c r="AB923" s="1"/>
      <c r="AG923" s="1"/>
      <c r="AH923" s="1"/>
      <c r="AK923" s="1"/>
      <c r="AL923" s="1"/>
      <c r="AM923" s="2"/>
      <c r="AN923" s="2"/>
      <c r="AQ923" s="1"/>
      <c r="BG923" s="1"/>
    </row>
    <row r="924" spans="15:59">
      <c r="O924" s="1"/>
      <c r="P924" s="1"/>
      <c r="AA924" s="1"/>
      <c r="AB924" s="1"/>
      <c r="AG924" s="1"/>
      <c r="AH924" s="1"/>
      <c r="AK924" s="1"/>
      <c r="AL924" s="1"/>
      <c r="AM924" s="2"/>
      <c r="AN924" s="2"/>
      <c r="AQ924" s="1"/>
      <c r="BG924" s="1"/>
    </row>
    <row r="925" spans="15:59">
      <c r="O925" s="1"/>
      <c r="P925" s="1"/>
      <c r="AA925" s="1"/>
      <c r="AB925" s="1"/>
      <c r="AG925" s="1"/>
      <c r="AH925" s="1"/>
      <c r="AK925" s="1"/>
      <c r="AL925" s="1"/>
      <c r="AM925" s="2"/>
      <c r="AN925" s="2"/>
      <c r="AQ925" s="1"/>
      <c r="BG925" s="1"/>
    </row>
    <row r="926" spans="15:59">
      <c r="O926" s="1"/>
      <c r="P926" s="1"/>
      <c r="AA926" s="1"/>
      <c r="AB926" s="1"/>
      <c r="AG926" s="1"/>
      <c r="AH926" s="1"/>
      <c r="AK926" s="1"/>
      <c r="AL926" s="1"/>
      <c r="AM926" s="2"/>
      <c r="AN926" s="2"/>
      <c r="AQ926" s="1"/>
      <c r="BG926" s="1"/>
    </row>
    <row r="927" spans="15:59">
      <c r="O927" s="1"/>
      <c r="P927" s="1"/>
      <c r="AA927" s="1"/>
      <c r="AB927" s="1"/>
      <c r="AG927" s="1"/>
      <c r="AH927" s="1"/>
      <c r="AK927" s="1"/>
      <c r="AL927" s="1"/>
      <c r="AM927" s="2"/>
      <c r="AN927" s="2"/>
      <c r="AQ927" s="1"/>
      <c r="BG927" s="1"/>
    </row>
    <row r="928" spans="15:59">
      <c r="O928" s="1"/>
      <c r="P928" s="1"/>
      <c r="AA928" s="1"/>
      <c r="AB928" s="1"/>
      <c r="AG928" s="1"/>
      <c r="AH928" s="1"/>
      <c r="AK928" s="1"/>
      <c r="AL928" s="1"/>
      <c r="AM928" s="2"/>
      <c r="AN928" s="2"/>
      <c r="AQ928" s="1"/>
      <c r="BG928" s="1"/>
    </row>
    <row r="929" spans="15:59">
      <c r="O929" s="1"/>
      <c r="P929" s="1"/>
      <c r="AA929" s="1"/>
      <c r="AB929" s="1"/>
      <c r="AG929" s="1"/>
      <c r="AH929" s="1"/>
      <c r="AK929" s="1"/>
      <c r="AL929" s="1"/>
      <c r="AM929" s="2"/>
      <c r="AN929" s="2"/>
      <c r="AQ929" s="1"/>
      <c r="BG929" s="1"/>
    </row>
    <row r="930" spans="15:59">
      <c r="O930" s="1"/>
      <c r="P930" s="1"/>
      <c r="AA930" s="1"/>
      <c r="AB930" s="1"/>
      <c r="AG930" s="1"/>
      <c r="AH930" s="1"/>
      <c r="AK930" s="1"/>
      <c r="AL930" s="1"/>
      <c r="AM930" s="2"/>
      <c r="AN930" s="2"/>
      <c r="AQ930" s="1"/>
      <c r="BG930" s="1"/>
    </row>
    <row r="931" spans="15:59">
      <c r="O931" s="1"/>
      <c r="P931" s="1"/>
      <c r="AA931" s="1"/>
      <c r="AB931" s="1"/>
      <c r="AG931" s="1"/>
      <c r="AH931" s="1"/>
      <c r="AK931" s="1"/>
      <c r="AL931" s="1"/>
      <c r="AM931" s="2"/>
      <c r="AN931" s="2"/>
      <c r="AQ931" s="1"/>
      <c r="BG931" s="1"/>
    </row>
    <row r="932" spans="15:59">
      <c r="O932" s="1"/>
      <c r="P932" s="1"/>
      <c r="AA932" s="1"/>
      <c r="AB932" s="1"/>
      <c r="AG932" s="1"/>
      <c r="AH932" s="1"/>
      <c r="AK932" s="1"/>
      <c r="AL932" s="1"/>
      <c r="AM932" s="2"/>
      <c r="AN932" s="2"/>
      <c r="AQ932" s="1"/>
      <c r="BG932" s="1"/>
    </row>
    <row r="933" spans="15:59">
      <c r="O933" s="1"/>
      <c r="P933" s="1"/>
      <c r="AA933" s="1"/>
      <c r="AB933" s="1"/>
      <c r="AG933" s="1"/>
      <c r="AH933" s="1"/>
      <c r="AK933" s="1"/>
      <c r="AL933" s="1"/>
      <c r="AM933" s="2"/>
      <c r="AN933" s="2"/>
      <c r="AQ933" s="1"/>
      <c r="BG933" s="1"/>
    </row>
    <row r="934" spans="15:59">
      <c r="O934" s="1"/>
      <c r="P934" s="1"/>
      <c r="AA934" s="1"/>
      <c r="AB934" s="1"/>
      <c r="AG934" s="1"/>
      <c r="AH934" s="1"/>
      <c r="AK934" s="1"/>
      <c r="AL934" s="1"/>
      <c r="AM934" s="2"/>
      <c r="AN934" s="2"/>
      <c r="AQ934" s="1"/>
      <c r="BG934" s="1"/>
    </row>
    <row r="935" spans="15:59">
      <c r="O935" s="1"/>
      <c r="P935" s="1"/>
      <c r="AA935" s="1"/>
      <c r="AB935" s="1"/>
      <c r="AG935" s="1"/>
      <c r="AH935" s="1"/>
      <c r="AK935" s="1"/>
      <c r="AL935" s="1"/>
      <c r="AM935" s="2"/>
      <c r="AN935" s="2"/>
      <c r="AQ935" s="1"/>
      <c r="BG935" s="1"/>
    </row>
    <row r="936" spans="15:59">
      <c r="O936" s="1"/>
      <c r="P936" s="1"/>
      <c r="AA936" s="1"/>
      <c r="AB936" s="1"/>
      <c r="AG936" s="1"/>
      <c r="AH936" s="1"/>
      <c r="AK936" s="1"/>
      <c r="AL936" s="1"/>
      <c r="AM936" s="2"/>
      <c r="AN936" s="2"/>
      <c r="AQ936" s="1"/>
      <c r="BG936" s="1"/>
    </row>
    <row r="937" spans="15:59">
      <c r="O937" s="1"/>
      <c r="P937" s="1"/>
      <c r="AA937" s="1"/>
      <c r="AB937" s="1"/>
      <c r="AG937" s="1"/>
      <c r="AH937" s="1"/>
      <c r="AK937" s="1"/>
      <c r="AL937" s="1"/>
      <c r="AM937" s="2"/>
      <c r="AN937" s="2"/>
      <c r="AQ937" s="1"/>
      <c r="BG937" s="1"/>
    </row>
    <row r="938" spans="15:59">
      <c r="O938" s="1"/>
      <c r="P938" s="1"/>
      <c r="AA938" s="1"/>
      <c r="AB938" s="1"/>
      <c r="AG938" s="1"/>
      <c r="AH938" s="1"/>
      <c r="AK938" s="1"/>
      <c r="AL938" s="1"/>
      <c r="AM938" s="2"/>
      <c r="AN938" s="2"/>
      <c r="AQ938" s="1"/>
      <c r="BG938" s="1"/>
    </row>
    <row r="939" spans="15:59">
      <c r="O939" s="1"/>
      <c r="P939" s="1"/>
      <c r="AA939" s="1"/>
      <c r="AB939" s="1"/>
      <c r="AG939" s="1"/>
      <c r="AH939" s="1"/>
      <c r="AK939" s="1"/>
      <c r="AL939" s="1"/>
      <c r="AM939" s="2"/>
      <c r="AN939" s="2"/>
      <c r="AQ939" s="1"/>
      <c r="BG939" s="1"/>
    </row>
    <row r="940" spans="15:59">
      <c r="O940" s="1"/>
      <c r="P940" s="1"/>
      <c r="AA940" s="1"/>
      <c r="AB940" s="1"/>
      <c r="AG940" s="1"/>
      <c r="AH940" s="1"/>
      <c r="AK940" s="1"/>
      <c r="AL940" s="1"/>
      <c r="AM940" s="2"/>
      <c r="AN940" s="2"/>
      <c r="AQ940" s="1"/>
      <c r="BG940" s="1"/>
    </row>
    <row r="941" spans="15:59">
      <c r="O941" s="1"/>
      <c r="P941" s="1"/>
      <c r="AA941" s="1"/>
      <c r="AB941" s="1"/>
      <c r="AG941" s="1"/>
      <c r="AH941" s="1"/>
      <c r="AK941" s="1"/>
      <c r="AL941" s="1"/>
      <c r="AM941" s="2"/>
      <c r="AN941" s="2"/>
      <c r="AQ941" s="1"/>
      <c r="BG941" s="1"/>
    </row>
    <row r="942" spans="15:59">
      <c r="O942" s="1"/>
      <c r="P942" s="1"/>
      <c r="AA942" s="1"/>
      <c r="AB942" s="1"/>
      <c r="AG942" s="1"/>
      <c r="AH942" s="1"/>
      <c r="AK942" s="1"/>
      <c r="AL942" s="1"/>
      <c r="AM942" s="2"/>
      <c r="AN942" s="2"/>
      <c r="AQ942" s="1"/>
      <c r="BG942" s="1"/>
    </row>
    <row r="943" spans="15:59">
      <c r="O943" s="1"/>
      <c r="P943" s="1"/>
      <c r="AA943" s="1"/>
      <c r="AB943" s="1"/>
      <c r="AG943" s="1"/>
      <c r="AH943" s="1"/>
      <c r="AK943" s="1"/>
      <c r="AL943" s="1"/>
      <c r="AM943" s="2"/>
      <c r="AN943" s="2"/>
      <c r="AQ943" s="1"/>
      <c r="BG943" s="1"/>
    </row>
    <row r="944" spans="15:59">
      <c r="O944" s="1"/>
      <c r="P944" s="1"/>
      <c r="AA944" s="1"/>
      <c r="AB944" s="1"/>
      <c r="AG944" s="1"/>
      <c r="AH944" s="1"/>
      <c r="AK944" s="1"/>
      <c r="AL944" s="1"/>
      <c r="AM944" s="2"/>
      <c r="AN944" s="2"/>
      <c r="AQ944" s="1"/>
      <c r="BG944" s="1"/>
    </row>
    <row r="945" spans="15:59">
      <c r="O945" s="1"/>
      <c r="P945" s="1"/>
      <c r="AA945" s="1"/>
      <c r="AB945" s="1"/>
      <c r="AG945" s="1"/>
      <c r="AH945" s="1"/>
      <c r="AK945" s="1"/>
      <c r="AL945" s="1"/>
      <c r="AM945" s="2"/>
      <c r="AN945" s="2"/>
      <c r="AQ945" s="1"/>
      <c r="BG945" s="1"/>
    </row>
    <row r="946" spans="15:59">
      <c r="O946" s="1"/>
      <c r="P946" s="1"/>
      <c r="AA946" s="1"/>
      <c r="AB946" s="1"/>
      <c r="AG946" s="1"/>
      <c r="AH946" s="1"/>
      <c r="AK946" s="1"/>
      <c r="AL946" s="1"/>
      <c r="AM946" s="2"/>
      <c r="AN946" s="2"/>
      <c r="AQ946" s="1"/>
      <c r="BG946" s="1"/>
    </row>
    <row r="947" spans="15:59">
      <c r="O947" s="1"/>
      <c r="P947" s="1"/>
      <c r="AA947" s="1"/>
      <c r="AB947" s="1"/>
      <c r="AG947" s="1"/>
      <c r="AH947" s="1"/>
      <c r="AK947" s="1"/>
      <c r="AL947" s="1"/>
      <c r="AM947" s="2"/>
      <c r="AN947" s="2"/>
      <c r="AQ947" s="1"/>
      <c r="BG947" s="1"/>
    </row>
    <row r="948" spans="15:59">
      <c r="O948" s="1"/>
      <c r="P948" s="1"/>
      <c r="AA948" s="1"/>
      <c r="AB948" s="1"/>
      <c r="AG948" s="1"/>
      <c r="AH948" s="1"/>
      <c r="AK948" s="1"/>
      <c r="AL948" s="1"/>
      <c r="AM948" s="2"/>
      <c r="AN948" s="2"/>
      <c r="AQ948" s="1"/>
      <c r="BG948" s="1"/>
    </row>
    <row r="949" spans="15:59">
      <c r="O949" s="1"/>
      <c r="P949" s="1"/>
      <c r="AA949" s="1"/>
      <c r="AB949" s="1"/>
      <c r="AG949" s="1"/>
      <c r="AH949" s="1"/>
      <c r="AK949" s="1"/>
      <c r="AL949" s="1"/>
      <c r="AM949" s="2"/>
      <c r="AN949" s="2"/>
      <c r="AQ949" s="1"/>
      <c r="BG949" s="1"/>
    </row>
    <row r="950" spans="15:59">
      <c r="O950" s="1"/>
      <c r="P950" s="1"/>
      <c r="AA950" s="1"/>
      <c r="AB950" s="1"/>
      <c r="AG950" s="1"/>
      <c r="AH950" s="1"/>
      <c r="AK950" s="1"/>
      <c r="AL950" s="1"/>
      <c r="AM950" s="2"/>
      <c r="AN950" s="2"/>
      <c r="AQ950" s="1"/>
      <c r="BG950" s="1"/>
    </row>
    <row r="951" spans="15:59">
      <c r="O951" s="1"/>
      <c r="P951" s="1"/>
      <c r="AA951" s="1"/>
      <c r="AB951" s="1"/>
      <c r="AG951" s="1"/>
      <c r="AH951" s="1"/>
      <c r="AK951" s="1"/>
      <c r="AL951" s="1"/>
      <c r="AM951" s="2"/>
      <c r="AN951" s="2"/>
      <c r="AQ951" s="1"/>
      <c r="BG951" s="1"/>
    </row>
    <row r="952" spans="15:59">
      <c r="O952" s="1"/>
      <c r="P952" s="1"/>
      <c r="AA952" s="1"/>
      <c r="AB952" s="1"/>
      <c r="AG952" s="1"/>
      <c r="AH952" s="1"/>
      <c r="AK952" s="1"/>
      <c r="AL952" s="1"/>
      <c r="AM952" s="2"/>
      <c r="AN952" s="2"/>
      <c r="AQ952" s="1"/>
      <c r="BG952" s="1"/>
    </row>
    <row r="953" spans="15:59">
      <c r="O953" s="1"/>
      <c r="P953" s="1"/>
      <c r="AA953" s="1"/>
      <c r="AB953" s="1"/>
      <c r="AG953" s="1"/>
      <c r="AH953" s="1"/>
      <c r="AK953" s="1"/>
      <c r="AL953" s="1"/>
      <c r="AM953" s="2"/>
      <c r="AN953" s="2"/>
      <c r="AQ953" s="1"/>
      <c r="BG953" s="1"/>
    </row>
    <row r="954" spans="15:59">
      <c r="O954" s="1"/>
      <c r="P954" s="1"/>
      <c r="AA954" s="1"/>
      <c r="AB954" s="1"/>
      <c r="AG954" s="1"/>
      <c r="AH954" s="1"/>
      <c r="AK954" s="1"/>
      <c r="AL954" s="1"/>
      <c r="AM954" s="2"/>
      <c r="AN954" s="2"/>
      <c r="AQ954" s="1"/>
      <c r="BG954" s="1"/>
    </row>
    <row r="955" spans="15:59">
      <c r="O955" s="1"/>
      <c r="P955" s="1"/>
      <c r="AA955" s="1"/>
      <c r="AB955" s="1"/>
      <c r="AG955" s="1"/>
      <c r="AH955" s="1"/>
      <c r="AK955" s="1"/>
      <c r="AL955" s="1"/>
      <c r="AM955" s="2"/>
      <c r="AN955" s="2"/>
      <c r="AQ955" s="1"/>
      <c r="BG955" s="1"/>
    </row>
    <row r="956" spans="15:59">
      <c r="O956" s="1"/>
      <c r="P956" s="1"/>
      <c r="AA956" s="1"/>
      <c r="AB956" s="1"/>
      <c r="AG956" s="1"/>
      <c r="AH956" s="1"/>
      <c r="AK956" s="1"/>
      <c r="AL956" s="1"/>
      <c r="AM956" s="2"/>
      <c r="AN956" s="2"/>
      <c r="AQ956" s="1"/>
      <c r="BG956" s="1"/>
    </row>
    <row r="957" spans="15:59">
      <c r="O957" s="1"/>
      <c r="P957" s="1"/>
      <c r="AA957" s="1"/>
      <c r="AB957" s="1"/>
      <c r="AG957" s="1"/>
      <c r="AH957" s="1"/>
      <c r="AK957" s="1"/>
      <c r="AL957" s="1"/>
      <c r="AM957" s="2"/>
      <c r="AN957" s="2"/>
      <c r="AQ957" s="1"/>
      <c r="BG957" s="1"/>
    </row>
    <row r="958" spans="15:59">
      <c r="O958" s="1"/>
      <c r="P958" s="1"/>
      <c r="AA958" s="1"/>
      <c r="AB958" s="1"/>
      <c r="AG958" s="1"/>
      <c r="AH958" s="1"/>
      <c r="AK958" s="1"/>
      <c r="AL958" s="1"/>
      <c r="AM958" s="2"/>
      <c r="AN958" s="2"/>
      <c r="AQ958" s="1"/>
      <c r="BG958" s="1"/>
    </row>
    <row r="959" spans="15:59">
      <c r="O959" s="1"/>
      <c r="P959" s="1"/>
      <c r="AA959" s="1"/>
      <c r="AB959" s="1"/>
      <c r="AG959" s="1"/>
      <c r="AH959" s="1"/>
      <c r="AK959" s="1"/>
      <c r="AL959" s="1"/>
      <c r="AM959" s="2"/>
      <c r="AN959" s="2"/>
      <c r="AQ959" s="1"/>
      <c r="BG959" s="1"/>
    </row>
    <row r="960" spans="15:59">
      <c r="O960" s="1"/>
      <c r="P960" s="1"/>
      <c r="AA960" s="1"/>
      <c r="AB960" s="1"/>
      <c r="AG960" s="1"/>
      <c r="AH960" s="1"/>
      <c r="AK960" s="1"/>
      <c r="AL960" s="1"/>
      <c r="AM960" s="2"/>
      <c r="AN960" s="2"/>
      <c r="AQ960" s="1"/>
      <c r="BG960" s="1"/>
    </row>
    <row r="961" spans="15:59">
      <c r="O961" s="1"/>
      <c r="P961" s="1"/>
      <c r="AA961" s="1"/>
      <c r="AB961" s="1"/>
      <c r="AG961" s="1"/>
      <c r="AH961" s="1"/>
      <c r="AK961" s="1"/>
      <c r="AL961" s="1"/>
      <c r="AM961" s="2"/>
      <c r="AN961" s="2"/>
      <c r="AQ961" s="1"/>
      <c r="BG961" s="1"/>
    </row>
    <row r="962" spans="15:59">
      <c r="O962" s="1"/>
      <c r="P962" s="1"/>
      <c r="AA962" s="1"/>
      <c r="AB962" s="1"/>
      <c r="AG962" s="1"/>
      <c r="AH962" s="1"/>
      <c r="AK962" s="1"/>
      <c r="AL962" s="1"/>
      <c r="AM962" s="2"/>
      <c r="AN962" s="2"/>
      <c r="AQ962" s="1"/>
      <c r="BG962" s="1"/>
    </row>
    <row r="963" spans="15:59">
      <c r="O963" s="1"/>
      <c r="P963" s="1"/>
      <c r="AA963" s="1"/>
      <c r="AB963" s="1"/>
      <c r="AG963" s="1"/>
      <c r="AH963" s="1"/>
      <c r="AK963" s="1"/>
      <c r="AL963" s="1"/>
      <c r="AM963" s="2"/>
      <c r="AN963" s="2"/>
      <c r="AQ963" s="1"/>
      <c r="BG963" s="1"/>
    </row>
    <row r="964" spans="15:59">
      <c r="O964" s="1"/>
      <c r="P964" s="1"/>
      <c r="AA964" s="1"/>
      <c r="AB964" s="1"/>
      <c r="AG964" s="1"/>
      <c r="AH964" s="1"/>
      <c r="AK964" s="1"/>
      <c r="AL964" s="1"/>
      <c r="AM964" s="2"/>
      <c r="AN964" s="2"/>
      <c r="AQ964" s="1"/>
      <c r="BG964" s="1"/>
    </row>
    <row r="965" spans="15:59">
      <c r="O965" s="1"/>
      <c r="P965" s="1"/>
      <c r="AA965" s="1"/>
      <c r="AB965" s="1"/>
      <c r="AG965" s="1"/>
      <c r="AH965" s="1"/>
      <c r="AK965" s="1"/>
      <c r="AL965" s="1"/>
      <c r="AM965" s="2"/>
      <c r="AN965" s="2"/>
      <c r="AQ965" s="1"/>
      <c r="BG965" s="1"/>
    </row>
    <row r="966" spans="15:59">
      <c r="O966" s="1"/>
      <c r="P966" s="1"/>
      <c r="AA966" s="1"/>
      <c r="AB966" s="1"/>
      <c r="AG966" s="1"/>
      <c r="AH966" s="1"/>
      <c r="AK966" s="1"/>
      <c r="AL966" s="1"/>
      <c r="AM966" s="2"/>
      <c r="AN966" s="2"/>
      <c r="AQ966" s="1"/>
      <c r="BG966" s="1"/>
    </row>
    <row r="967" spans="15:59">
      <c r="O967" s="1"/>
      <c r="P967" s="1"/>
      <c r="AA967" s="1"/>
      <c r="AB967" s="1"/>
      <c r="AG967" s="1"/>
      <c r="AH967" s="1"/>
      <c r="AK967" s="1"/>
      <c r="AL967" s="1"/>
      <c r="AM967" s="2"/>
      <c r="AN967" s="2"/>
      <c r="AQ967" s="1"/>
      <c r="BG967" s="1"/>
    </row>
    <row r="968" spans="15:59">
      <c r="O968" s="1"/>
      <c r="P968" s="1"/>
      <c r="AA968" s="1"/>
      <c r="AB968" s="1"/>
      <c r="AG968" s="1"/>
      <c r="AH968" s="1"/>
      <c r="AK968" s="1"/>
      <c r="AL968" s="1"/>
      <c r="AM968" s="2"/>
      <c r="AN968" s="2"/>
      <c r="AQ968" s="1"/>
      <c r="BG968" s="1"/>
    </row>
    <row r="969" spans="15:59">
      <c r="O969" s="1"/>
      <c r="P969" s="1"/>
      <c r="AA969" s="1"/>
      <c r="AB969" s="1"/>
      <c r="AG969" s="1"/>
      <c r="AH969" s="1"/>
      <c r="AK969" s="1"/>
      <c r="AL969" s="1"/>
      <c r="AM969" s="2"/>
      <c r="AN969" s="2"/>
      <c r="AQ969" s="1"/>
      <c r="BG969" s="1"/>
    </row>
    <row r="970" spans="15:59">
      <c r="O970" s="1"/>
      <c r="P970" s="1"/>
      <c r="AA970" s="1"/>
      <c r="AB970" s="1"/>
      <c r="AG970" s="1"/>
      <c r="AH970" s="1"/>
      <c r="AK970" s="1"/>
      <c r="AL970" s="1"/>
      <c r="AM970" s="2"/>
      <c r="AN970" s="2"/>
      <c r="AQ970" s="1"/>
      <c r="BG970" s="1"/>
    </row>
    <row r="971" spans="15:59">
      <c r="O971" s="1"/>
      <c r="P971" s="1"/>
      <c r="AA971" s="1"/>
      <c r="AB971" s="1"/>
      <c r="AG971" s="1"/>
      <c r="AH971" s="1"/>
      <c r="AK971" s="1"/>
      <c r="AL971" s="1"/>
      <c r="AM971" s="2"/>
      <c r="AN971" s="2"/>
      <c r="AQ971" s="1"/>
      <c r="BG971" s="1"/>
    </row>
    <row r="972" spans="15:59">
      <c r="O972" s="1"/>
      <c r="P972" s="1"/>
      <c r="AA972" s="1"/>
      <c r="AB972" s="1"/>
      <c r="AG972" s="1"/>
      <c r="AH972" s="1"/>
      <c r="AK972" s="1"/>
      <c r="AL972" s="1"/>
      <c r="AM972" s="2"/>
      <c r="AN972" s="2"/>
      <c r="AQ972" s="1"/>
      <c r="BG972" s="1"/>
    </row>
    <row r="973" spans="15:59">
      <c r="O973" s="1"/>
      <c r="P973" s="1"/>
      <c r="AA973" s="1"/>
      <c r="AB973" s="1"/>
      <c r="AG973" s="1"/>
      <c r="AH973" s="1"/>
      <c r="AK973" s="1"/>
      <c r="AL973" s="1"/>
      <c r="AM973" s="2"/>
      <c r="AN973" s="2"/>
      <c r="AQ973" s="1"/>
      <c r="BG973" s="1"/>
    </row>
    <row r="974" spans="15:59">
      <c r="O974" s="1"/>
      <c r="P974" s="1"/>
      <c r="AA974" s="1"/>
      <c r="AB974" s="1"/>
      <c r="AG974" s="1"/>
      <c r="AH974" s="1"/>
      <c r="AK974" s="1"/>
      <c r="AL974" s="1"/>
      <c r="AM974" s="2"/>
      <c r="AN974" s="2"/>
      <c r="AQ974" s="1"/>
      <c r="BG974" s="1"/>
    </row>
    <row r="975" spans="15:59">
      <c r="O975" s="1"/>
      <c r="P975" s="1"/>
      <c r="AA975" s="1"/>
      <c r="AB975" s="1"/>
      <c r="AG975" s="1"/>
      <c r="AH975" s="1"/>
      <c r="AK975" s="1"/>
      <c r="AL975" s="1"/>
      <c r="AM975" s="2"/>
      <c r="AN975" s="2"/>
      <c r="AQ975" s="1"/>
      <c r="BG975" s="1"/>
    </row>
    <row r="976" spans="15:59">
      <c r="O976" s="1"/>
      <c r="P976" s="1"/>
      <c r="AA976" s="1"/>
      <c r="AB976" s="1"/>
      <c r="AG976" s="1"/>
      <c r="AH976" s="1"/>
      <c r="AK976" s="1"/>
      <c r="AL976" s="1"/>
      <c r="AM976" s="2"/>
      <c r="AN976" s="2"/>
      <c r="AQ976" s="1"/>
      <c r="BG976" s="1"/>
    </row>
    <row r="977" spans="15:59">
      <c r="O977" s="1"/>
      <c r="P977" s="1"/>
      <c r="AA977" s="1"/>
      <c r="AB977" s="1"/>
      <c r="AG977" s="1"/>
      <c r="AH977" s="1"/>
      <c r="AK977" s="1"/>
      <c r="AL977" s="1"/>
      <c r="AM977" s="2"/>
      <c r="AN977" s="2"/>
      <c r="AQ977" s="1"/>
      <c r="BG977" s="1"/>
    </row>
    <row r="978" spans="15:59">
      <c r="O978" s="1"/>
      <c r="P978" s="1"/>
      <c r="AA978" s="1"/>
      <c r="AB978" s="1"/>
      <c r="AG978" s="1"/>
      <c r="AH978" s="1"/>
      <c r="AK978" s="1"/>
      <c r="AL978" s="1"/>
      <c r="AM978" s="2"/>
      <c r="AN978" s="2"/>
      <c r="AQ978" s="1"/>
      <c r="BG978" s="1"/>
    </row>
    <row r="979" spans="15:59">
      <c r="O979" s="1"/>
      <c r="P979" s="1"/>
      <c r="AA979" s="1"/>
      <c r="AB979" s="1"/>
      <c r="AG979" s="1"/>
      <c r="AH979" s="1"/>
      <c r="AK979" s="1"/>
      <c r="AL979" s="1"/>
      <c r="AM979" s="2"/>
      <c r="AN979" s="2"/>
      <c r="AQ979" s="1"/>
      <c r="BG979" s="1"/>
    </row>
    <row r="980" spans="15:59">
      <c r="O980" s="1"/>
      <c r="P980" s="1"/>
      <c r="AA980" s="1"/>
      <c r="AB980" s="1"/>
      <c r="AG980" s="1"/>
      <c r="AH980" s="1"/>
      <c r="AK980" s="1"/>
      <c r="AL980" s="1"/>
      <c r="AM980" s="2"/>
      <c r="AN980" s="2"/>
      <c r="AQ980" s="1"/>
      <c r="BG980" s="1"/>
    </row>
    <row r="981" spans="15:59">
      <c r="O981" s="1"/>
      <c r="P981" s="1"/>
      <c r="AA981" s="1"/>
      <c r="AB981" s="1"/>
      <c r="AG981" s="1"/>
      <c r="AH981" s="1"/>
      <c r="AK981" s="1"/>
      <c r="AL981" s="1"/>
      <c r="AM981" s="2"/>
      <c r="AN981" s="2"/>
      <c r="AQ981" s="1"/>
      <c r="BG981" s="1"/>
    </row>
    <row r="982" spans="15:59">
      <c r="O982" s="1"/>
      <c r="P982" s="1"/>
      <c r="AA982" s="1"/>
      <c r="AB982" s="1"/>
      <c r="AG982" s="1"/>
      <c r="AH982" s="1"/>
      <c r="AK982" s="1"/>
      <c r="AL982" s="1"/>
      <c r="AM982" s="2"/>
      <c r="AN982" s="2"/>
      <c r="AQ982" s="1"/>
      <c r="BG982" s="1"/>
    </row>
    <row r="983" spans="15:59">
      <c r="O983" s="1"/>
      <c r="P983" s="1"/>
      <c r="AA983" s="1"/>
      <c r="AB983" s="1"/>
      <c r="AG983" s="1"/>
      <c r="AH983" s="1"/>
      <c r="AK983" s="1"/>
      <c r="AL983" s="1"/>
      <c r="AM983" s="2"/>
      <c r="AN983" s="2"/>
      <c r="AQ983" s="1"/>
      <c r="BG983" s="1"/>
    </row>
    <row r="984" spans="15:59">
      <c r="O984" s="1"/>
      <c r="P984" s="1"/>
      <c r="AA984" s="1"/>
      <c r="AB984" s="1"/>
      <c r="AG984" s="1"/>
      <c r="AH984" s="1"/>
      <c r="AK984" s="1"/>
      <c r="AL984" s="1"/>
      <c r="AM984" s="2"/>
      <c r="AN984" s="2"/>
      <c r="AQ984" s="1"/>
      <c r="BG984" s="1"/>
    </row>
    <row r="985" spans="15:59">
      <c r="O985" s="1"/>
      <c r="P985" s="1"/>
      <c r="AA985" s="1"/>
      <c r="AB985" s="1"/>
      <c r="AG985" s="1"/>
      <c r="AH985" s="1"/>
      <c r="AK985" s="1"/>
      <c r="AL985" s="1"/>
      <c r="AM985" s="2"/>
      <c r="AN985" s="2"/>
      <c r="AQ985" s="1"/>
      <c r="BG985" s="1"/>
    </row>
    <row r="986" spans="15:59">
      <c r="O986" s="1"/>
      <c r="P986" s="1"/>
      <c r="AA986" s="1"/>
      <c r="AB986" s="1"/>
      <c r="AG986" s="1"/>
      <c r="AH986" s="1"/>
      <c r="AK986" s="1"/>
      <c r="AL986" s="1"/>
      <c r="AM986" s="2"/>
      <c r="AN986" s="2"/>
      <c r="AQ986" s="1"/>
      <c r="BG986" s="1"/>
    </row>
    <row r="987" spans="15:59">
      <c r="O987" s="1"/>
      <c r="P987" s="1"/>
      <c r="AA987" s="1"/>
      <c r="AB987" s="1"/>
      <c r="AG987" s="1"/>
      <c r="AH987" s="1"/>
      <c r="AK987" s="1"/>
      <c r="AL987" s="1"/>
      <c r="AM987" s="2"/>
      <c r="AN987" s="2"/>
      <c r="AQ987" s="1"/>
      <c r="BG987" s="1"/>
    </row>
    <row r="988" spans="15:59">
      <c r="O988" s="1"/>
      <c r="P988" s="1"/>
      <c r="AA988" s="1"/>
      <c r="AB988" s="1"/>
      <c r="AG988" s="1"/>
      <c r="AH988" s="1"/>
      <c r="AK988" s="1"/>
      <c r="AL988" s="1"/>
      <c r="AM988" s="2"/>
      <c r="AN988" s="2"/>
      <c r="AQ988" s="1"/>
      <c r="BG988" s="1"/>
    </row>
    <row r="989" spans="15:59">
      <c r="O989" s="1"/>
      <c r="P989" s="1"/>
      <c r="AA989" s="1"/>
      <c r="AB989" s="1"/>
      <c r="AG989" s="1"/>
      <c r="AH989" s="1"/>
      <c r="AK989" s="1"/>
      <c r="AL989" s="1"/>
      <c r="AM989" s="2"/>
      <c r="AN989" s="2"/>
      <c r="AQ989" s="1"/>
      <c r="BG989" s="1"/>
    </row>
    <row r="990" spans="15:59">
      <c r="O990" s="1"/>
      <c r="P990" s="1"/>
      <c r="AA990" s="1"/>
      <c r="AB990" s="1"/>
      <c r="AG990" s="1"/>
      <c r="AH990" s="1"/>
      <c r="AK990" s="1"/>
      <c r="AL990" s="1"/>
      <c r="AM990" s="2"/>
      <c r="AN990" s="2"/>
      <c r="AQ990" s="1"/>
      <c r="BG990" s="1"/>
    </row>
    <row r="991" spans="15:59">
      <c r="O991" s="1"/>
      <c r="P991" s="1"/>
      <c r="AA991" s="1"/>
      <c r="AB991" s="1"/>
      <c r="AG991" s="1"/>
      <c r="AH991" s="1"/>
      <c r="AK991" s="1"/>
      <c r="AL991" s="1"/>
      <c r="AM991" s="2"/>
      <c r="AN991" s="2"/>
      <c r="AQ991" s="1"/>
      <c r="BG991" s="1"/>
    </row>
    <row r="992" spans="15:59">
      <c r="O992" s="1"/>
      <c r="P992" s="1"/>
      <c r="AA992" s="1"/>
      <c r="AB992" s="1"/>
      <c r="AG992" s="1"/>
      <c r="AH992" s="1"/>
      <c r="AK992" s="1"/>
      <c r="AL992" s="1"/>
      <c r="AM992" s="2"/>
      <c r="AN992" s="2"/>
      <c r="AQ992" s="1"/>
      <c r="BG992" s="1"/>
    </row>
    <row r="993" spans="15:59">
      <c r="O993" s="1"/>
      <c r="P993" s="1"/>
      <c r="AA993" s="1"/>
      <c r="AB993" s="1"/>
      <c r="AG993" s="1"/>
      <c r="AH993" s="1"/>
      <c r="AK993" s="1"/>
      <c r="AL993" s="1"/>
      <c r="AM993" s="2"/>
      <c r="AN993" s="2"/>
      <c r="AQ993" s="1"/>
      <c r="BG993" s="1"/>
    </row>
    <row r="994" spans="15:59">
      <c r="O994" s="1"/>
      <c r="P994" s="1"/>
      <c r="AA994" s="1"/>
      <c r="AB994" s="1"/>
      <c r="AG994" s="1"/>
      <c r="AH994" s="1"/>
      <c r="AK994" s="1"/>
      <c r="AL994" s="1"/>
      <c r="AM994" s="2"/>
      <c r="AN994" s="2"/>
      <c r="AQ994" s="1"/>
      <c r="BG994" s="1"/>
    </row>
    <row r="995" spans="15:59">
      <c r="O995" s="1"/>
      <c r="P995" s="1"/>
      <c r="AA995" s="1"/>
      <c r="AB995" s="1"/>
      <c r="AG995" s="1"/>
      <c r="AH995" s="1"/>
      <c r="AK995" s="1"/>
      <c r="AL995" s="1"/>
      <c r="AM995" s="2"/>
      <c r="AN995" s="2"/>
      <c r="AQ995" s="1"/>
      <c r="BG995" s="1"/>
    </row>
    <row r="996" spans="15:59">
      <c r="O996" s="1"/>
      <c r="P996" s="1"/>
      <c r="AA996" s="1"/>
      <c r="AB996" s="1"/>
      <c r="AG996" s="1"/>
      <c r="AH996" s="1"/>
      <c r="AK996" s="1"/>
      <c r="AL996" s="1"/>
      <c r="AM996" s="2"/>
      <c r="AN996" s="2"/>
      <c r="AQ996" s="1"/>
      <c r="BG996" s="1"/>
    </row>
    <row r="997" spans="15:59">
      <c r="O997" s="1"/>
      <c r="P997" s="1"/>
      <c r="AA997" s="1"/>
      <c r="AB997" s="1"/>
      <c r="AG997" s="1"/>
      <c r="AH997" s="1"/>
      <c r="AK997" s="1"/>
      <c r="AL997" s="1"/>
      <c r="AM997" s="2"/>
      <c r="AN997" s="2"/>
      <c r="AQ997" s="1"/>
      <c r="BG997" s="1"/>
    </row>
    <row r="998" spans="15:59">
      <c r="O998" s="1"/>
      <c r="P998" s="1"/>
      <c r="AA998" s="1"/>
      <c r="AB998" s="1"/>
      <c r="AG998" s="1"/>
      <c r="AH998" s="1"/>
      <c r="AK998" s="1"/>
      <c r="AL998" s="1"/>
      <c r="AM998" s="2"/>
      <c r="AN998" s="2"/>
      <c r="AQ998" s="1"/>
      <c r="BG998" s="1"/>
    </row>
    <row r="999" spans="15:59">
      <c r="O999" s="1"/>
      <c r="P999" s="1"/>
      <c r="AA999" s="1"/>
      <c r="AB999" s="1"/>
      <c r="AG999" s="1"/>
      <c r="AH999" s="1"/>
      <c r="AK999" s="1"/>
      <c r="AL999" s="1"/>
      <c r="AM999" s="2"/>
      <c r="AN999" s="2"/>
      <c r="AQ999" s="1"/>
      <c r="BG999" s="1"/>
    </row>
    <row r="1000" spans="15:59">
      <c r="O1000" s="1"/>
      <c r="P1000" s="1"/>
      <c r="AA1000" s="1"/>
      <c r="AB1000" s="1"/>
      <c r="AG1000" s="1"/>
      <c r="AH1000" s="1"/>
      <c r="AK1000" s="1"/>
      <c r="AL1000" s="1"/>
      <c r="AM1000" s="2"/>
      <c r="AN1000" s="2"/>
      <c r="AQ1000" s="1"/>
      <c r="BG1000" s="1"/>
    </row>
    <row r="1001" spans="15:59">
      <c r="O1001" s="1"/>
      <c r="P1001" s="1"/>
      <c r="AA1001" s="1"/>
      <c r="AB1001" s="1"/>
      <c r="AG1001" s="1"/>
      <c r="AH1001" s="1"/>
      <c r="AK1001" s="1"/>
      <c r="AL1001" s="1"/>
      <c r="AM1001" s="2"/>
      <c r="AN1001" s="2"/>
      <c r="AQ1001" s="1"/>
      <c r="BG1001" s="1"/>
    </row>
    <row r="1002" spans="15:59">
      <c r="O1002" s="1"/>
      <c r="P1002" s="1"/>
      <c r="AA1002" s="1"/>
      <c r="AB1002" s="1"/>
      <c r="AG1002" s="1"/>
      <c r="AH1002" s="1"/>
      <c r="AK1002" s="1"/>
      <c r="AL1002" s="1"/>
      <c r="AM1002" s="2"/>
      <c r="AN1002" s="2"/>
      <c r="AQ1002" s="1"/>
      <c r="BG1002" s="1"/>
    </row>
    <row r="1003" spans="15:59">
      <c r="O1003" s="1"/>
      <c r="P1003" s="1"/>
      <c r="AA1003" s="1"/>
      <c r="AB1003" s="1"/>
      <c r="AG1003" s="1"/>
      <c r="AH1003" s="1"/>
      <c r="AK1003" s="1"/>
      <c r="AL1003" s="1"/>
      <c r="AM1003" s="2"/>
      <c r="AN1003" s="2"/>
      <c r="AQ1003" s="1"/>
      <c r="BG1003" s="1"/>
    </row>
    <row r="1004" spans="15:59">
      <c r="O1004" s="1"/>
      <c r="P1004" s="1"/>
      <c r="AA1004" s="1"/>
      <c r="AB1004" s="1"/>
      <c r="AG1004" s="1"/>
      <c r="AH1004" s="1"/>
      <c r="AK1004" s="1"/>
      <c r="AL1004" s="1"/>
      <c r="AM1004" s="2"/>
      <c r="AN1004" s="2"/>
      <c r="AQ1004" s="1"/>
      <c r="BG1004" s="1"/>
    </row>
    <row r="1005" spans="15:59">
      <c r="O1005" s="1"/>
      <c r="P1005" s="1"/>
      <c r="AA1005" s="1"/>
      <c r="AB1005" s="1"/>
      <c r="AG1005" s="1"/>
      <c r="AH1005" s="1"/>
      <c r="AK1005" s="1"/>
      <c r="AL1005" s="1"/>
      <c r="AM1005" s="2"/>
      <c r="AN1005" s="2"/>
      <c r="AQ1005" s="1"/>
      <c r="BG1005" s="1"/>
    </row>
    <row r="1006" spans="15:59">
      <c r="O1006" s="1"/>
      <c r="P1006" s="1"/>
      <c r="AA1006" s="1"/>
      <c r="AB1006" s="1"/>
      <c r="AG1006" s="1"/>
      <c r="AH1006" s="1"/>
      <c r="AK1006" s="1"/>
      <c r="AL1006" s="1"/>
      <c r="AM1006" s="2"/>
      <c r="AN1006" s="2"/>
      <c r="AQ1006" s="1"/>
      <c r="BG1006" s="1"/>
    </row>
    <row r="1007" spans="15:59">
      <c r="O1007" s="1"/>
      <c r="P1007" s="1"/>
      <c r="AA1007" s="1"/>
      <c r="AB1007" s="1"/>
      <c r="AG1007" s="1"/>
      <c r="AH1007" s="1"/>
      <c r="AK1007" s="1"/>
      <c r="AL1007" s="1"/>
      <c r="AM1007" s="2"/>
      <c r="AN1007" s="2"/>
      <c r="AQ1007" s="1"/>
      <c r="BG1007" s="1"/>
    </row>
    <row r="1008" spans="15:59">
      <c r="O1008" s="1"/>
      <c r="P1008" s="1"/>
      <c r="AA1008" s="1"/>
      <c r="AB1008" s="1"/>
      <c r="AG1008" s="1"/>
      <c r="AH1008" s="1"/>
      <c r="AK1008" s="1"/>
      <c r="AL1008" s="1"/>
      <c r="AM1008" s="2"/>
      <c r="AN1008" s="2"/>
      <c r="AQ1008" s="1"/>
      <c r="BG1008" s="1"/>
    </row>
    <row r="1009" spans="15:59">
      <c r="O1009" s="1"/>
      <c r="P1009" s="1"/>
      <c r="AA1009" s="1"/>
      <c r="AB1009" s="1"/>
      <c r="AG1009" s="1"/>
      <c r="AH1009" s="1"/>
      <c r="AK1009" s="1"/>
      <c r="AL1009" s="1"/>
      <c r="AM1009" s="2"/>
      <c r="AN1009" s="2"/>
      <c r="AQ1009" s="1"/>
      <c r="BG1009" s="1"/>
    </row>
    <row r="1010" spans="15:59">
      <c r="O1010" s="1"/>
      <c r="P1010" s="1"/>
      <c r="AA1010" s="1"/>
      <c r="AB1010" s="1"/>
      <c r="AG1010" s="1"/>
      <c r="AH1010" s="1"/>
      <c r="AK1010" s="1"/>
      <c r="AL1010" s="1"/>
      <c r="AM1010" s="2"/>
      <c r="AN1010" s="2"/>
      <c r="AQ1010" s="1"/>
      <c r="BG1010" s="1"/>
    </row>
    <row r="1011" spans="15:59">
      <c r="O1011" s="1"/>
      <c r="P1011" s="1"/>
      <c r="AA1011" s="1"/>
      <c r="AB1011" s="1"/>
      <c r="AG1011" s="1"/>
      <c r="AH1011" s="1"/>
      <c r="AK1011" s="1"/>
      <c r="AL1011" s="1"/>
      <c r="AM1011" s="2"/>
      <c r="AN1011" s="2"/>
      <c r="AQ1011" s="1"/>
      <c r="BG1011" s="1"/>
    </row>
    <row r="1012" spans="15:59">
      <c r="O1012" s="1"/>
      <c r="P1012" s="1"/>
      <c r="AA1012" s="1"/>
      <c r="AB1012" s="1"/>
      <c r="AG1012" s="1"/>
      <c r="AH1012" s="1"/>
      <c r="AK1012" s="1"/>
      <c r="AL1012" s="1"/>
      <c r="AM1012" s="2"/>
      <c r="AN1012" s="2"/>
      <c r="AQ1012" s="1"/>
      <c r="BG1012" s="1"/>
    </row>
    <row r="1013" spans="15:59">
      <c r="O1013" s="1"/>
      <c r="P1013" s="1"/>
      <c r="AA1013" s="1"/>
      <c r="AB1013" s="1"/>
      <c r="AG1013" s="1"/>
      <c r="AH1013" s="1"/>
      <c r="AK1013" s="1"/>
      <c r="AL1013" s="1"/>
      <c r="AM1013" s="2"/>
      <c r="AN1013" s="2"/>
      <c r="AQ1013" s="1"/>
      <c r="BG1013" s="1"/>
    </row>
    <row r="1014" spans="15:59">
      <c r="O1014" s="1"/>
      <c r="P1014" s="1"/>
      <c r="AA1014" s="1"/>
      <c r="AB1014" s="1"/>
      <c r="AG1014" s="1"/>
      <c r="AH1014" s="1"/>
      <c r="AK1014" s="1"/>
      <c r="AL1014" s="1"/>
      <c r="AM1014" s="2"/>
      <c r="AN1014" s="2"/>
      <c r="AQ1014" s="1"/>
      <c r="BG1014" s="1"/>
    </row>
    <row r="1015" spans="15:59">
      <c r="O1015" s="1"/>
      <c r="P1015" s="1"/>
      <c r="AA1015" s="1"/>
      <c r="AB1015" s="1"/>
      <c r="AG1015" s="1"/>
      <c r="AH1015" s="1"/>
      <c r="AK1015" s="1"/>
      <c r="AL1015" s="1"/>
      <c r="AM1015" s="2"/>
      <c r="AN1015" s="2"/>
      <c r="AQ1015" s="1"/>
      <c r="BG1015" s="1"/>
    </row>
    <row r="1016" spans="15:59">
      <c r="O1016" s="1"/>
      <c r="P1016" s="1"/>
      <c r="AA1016" s="1"/>
      <c r="AB1016" s="1"/>
      <c r="AG1016" s="1"/>
      <c r="AH1016" s="1"/>
      <c r="AK1016" s="1"/>
      <c r="AL1016" s="1"/>
      <c r="AM1016" s="2"/>
      <c r="AN1016" s="2"/>
      <c r="AQ1016" s="1"/>
      <c r="BG1016" s="1"/>
    </row>
    <row r="1017" spans="15:59">
      <c r="O1017" s="1"/>
      <c r="P1017" s="1"/>
      <c r="AA1017" s="1"/>
      <c r="AB1017" s="1"/>
      <c r="AG1017" s="1"/>
      <c r="AH1017" s="1"/>
      <c r="AK1017" s="1"/>
      <c r="AL1017" s="1"/>
      <c r="AM1017" s="2"/>
      <c r="AN1017" s="2"/>
      <c r="AQ1017" s="1"/>
      <c r="BG1017" s="1"/>
    </row>
    <row r="1018" spans="15:59">
      <c r="O1018" s="1"/>
      <c r="P1018" s="1"/>
      <c r="AA1018" s="1"/>
      <c r="AB1018" s="1"/>
      <c r="AG1018" s="1"/>
      <c r="AH1018" s="1"/>
      <c r="AK1018" s="1"/>
      <c r="AL1018" s="1"/>
      <c r="AM1018" s="2"/>
      <c r="AN1018" s="2"/>
      <c r="AQ1018" s="1"/>
      <c r="BG1018" s="1"/>
    </row>
    <row r="1019" spans="15:59">
      <c r="O1019" s="1"/>
      <c r="P1019" s="1"/>
      <c r="AA1019" s="1"/>
      <c r="AB1019" s="1"/>
      <c r="AG1019" s="1"/>
      <c r="AH1019" s="1"/>
      <c r="AK1019" s="1"/>
      <c r="AL1019" s="1"/>
      <c r="AM1019" s="2"/>
      <c r="AN1019" s="2"/>
      <c r="AQ1019" s="1"/>
      <c r="BG1019" s="1"/>
    </row>
    <row r="1020" spans="15:59">
      <c r="O1020" s="1"/>
      <c r="P1020" s="1"/>
      <c r="AA1020" s="1"/>
      <c r="AB1020" s="1"/>
      <c r="AG1020" s="1"/>
      <c r="AH1020" s="1"/>
      <c r="AK1020" s="1"/>
      <c r="AL1020" s="1"/>
      <c r="AM1020" s="2"/>
      <c r="AN1020" s="2"/>
      <c r="AQ1020" s="1"/>
      <c r="BG1020" s="1"/>
    </row>
    <row r="1021" spans="15:59">
      <c r="O1021" s="1"/>
      <c r="P1021" s="1"/>
      <c r="AA1021" s="1"/>
      <c r="AB1021" s="1"/>
      <c r="AG1021" s="1"/>
      <c r="AH1021" s="1"/>
      <c r="AK1021" s="1"/>
      <c r="AL1021" s="1"/>
      <c r="AM1021" s="2"/>
      <c r="AN1021" s="2"/>
      <c r="AQ1021" s="1"/>
      <c r="BG1021" s="1"/>
    </row>
    <row r="1022" spans="15:59">
      <c r="O1022" s="1"/>
      <c r="P1022" s="1"/>
      <c r="AA1022" s="1"/>
      <c r="AB1022" s="1"/>
      <c r="AG1022" s="1"/>
      <c r="AH1022" s="1"/>
      <c r="AK1022" s="1"/>
      <c r="AL1022" s="1"/>
      <c r="AM1022" s="2"/>
      <c r="AN1022" s="2"/>
      <c r="AQ1022" s="1"/>
      <c r="BG1022" s="1"/>
    </row>
    <row r="1023" spans="15:59">
      <c r="O1023" s="1"/>
      <c r="P1023" s="1"/>
      <c r="AA1023" s="1"/>
      <c r="AB1023" s="1"/>
      <c r="AG1023" s="1"/>
      <c r="AH1023" s="1"/>
      <c r="AK1023" s="1"/>
      <c r="AL1023" s="1"/>
      <c r="AM1023" s="2"/>
      <c r="AN1023" s="2"/>
      <c r="AQ1023" s="1"/>
      <c r="BG1023" s="1"/>
    </row>
    <row r="1024" spans="15:59">
      <c r="O1024" s="1"/>
      <c r="P1024" s="1"/>
      <c r="AA1024" s="1"/>
      <c r="AB1024" s="1"/>
      <c r="AG1024" s="1"/>
      <c r="AH1024" s="1"/>
      <c r="AK1024" s="1"/>
      <c r="AL1024" s="1"/>
      <c r="AM1024" s="2"/>
      <c r="AN1024" s="2"/>
      <c r="AQ1024" s="1"/>
      <c r="BG1024" s="1"/>
    </row>
    <row r="1025" spans="15:59">
      <c r="O1025" s="1"/>
      <c r="P1025" s="1"/>
      <c r="AA1025" s="1"/>
      <c r="AB1025" s="1"/>
      <c r="AG1025" s="1"/>
      <c r="AH1025" s="1"/>
      <c r="AK1025" s="1"/>
      <c r="AL1025" s="1"/>
      <c r="AM1025" s="2"/>
      <c r="AN1025" s="2"/>
      <c r="AQ1025" s="1"/>
      <c r="BG1025" s="1"/>
    </row>
    <row r="1026" spans="15:59">
      <c r="O1026" s="1"/>
      <c r="P1026" s="1"/>
      <c r="AA1026" s="1"/>
      <c r="AB1026" s="1"/>
      <c r="AG1026" s="1"/>
      <c r="AH1026" s="1"/>
      <c r="AK1026" s="1"/>
      <c r="AL1026" s="1"/>
      <c r="AM1026" s="2"/>
      <c r="AN1026" s="2"/>
      <c r="AQ1026" s="1"/>
      <c r="BG1026" s="1"/>
    </row>
    <row r="1027" spans="15:59">
      <c r="O1027" s="1"/>
      <c r="P1027" s="1"/>
      <c r="AA1027" s="1"/>
      <c r="AB1027" s="1"/>
      <c r="AG1027" s="1"/>
      <c r="AH1027" s="1"/>
      <c r="AK1027" s="1"/>
      <c r="AL1027" s="1"/>
      <c r="AM1027" s="2"/>
      <c r="AN1027" s="2"/>
      <c r="AQ1027" s="1"/>
      <c r="BG1027" s="1"/>
    </row>
    <row r="1028" spans="15:59">
      <c r="O1028" s="1"/>
      <c r="P1028" s="1"/>
      <c r="AA1028" s="1"/>
      <c r="AB1028" s="1"/>
      <c r="AG1028" s="1"/>
      <c r="AH1028" s="1"/>
      <c r="AK1028" s="1"/>
      <c r="AL1028" s="1"/>
      <c r="AM1028" s="2"/>
      <c r="AN1028" s="2"/>
      <c r="AQ1028" s="1"/>
      <c r="BG1028" s="1"/>
    </row>
    <row r="1029" spans="15:59">
      <c r="O1029" s="1"/>
      <c r="P1029" s="1"/>
      <c r="AA1029" s="1"/>
      <c r="AB1029" s="1"/>
      <c r="AG1029" s="1"/>
      <c r="AH1029" s="1"/>
      <c r="AK1029" s="1"/>
      <c r="AL1029" s="1"/>
      <c r="AM1029" s="2"/>
      <c r="AN1029" s="2"/>
      <c r="AQ1029" s="1"/>
      <c r="BG1029" s="1"/>
    </row>
    <row r="1030" spans="15:59">
      <c r="O1030" s="1"/>
      <c r="P1030" s="1"/>
      <c r="AA1030" s="1"/>
      <c r="AB1030" s="1"/>
      <c r="AG1030" s="1"/>
      <c r="AH1030" s="1"/>
      <c r="AK1030" s="1"/>
      <c r="AL1030" s="1"/>
      <c r="AM1030" s="2"/>
      <c r="AN1030" s="2"/>
      <c r="AQ1030" s="1"/>
      <c r="BG1030" s="1"/>
    </row>
    <row r="1031" spans="15:59">
      <c r="O1031" s="1"/>
      <c r="P1031" s="1"/>
      <c r="AA1031" s="1"/>
      <c r="AB1031" s="1"/>
      <c r="AG1031" s="1"/>
      <c r="AH1031" s="1"/>
      <c r="AK1031" s="1"/>
      <c r="AL1031" s="1"/>
      <c r="AM1031" s="2"/>
      <c r="AN1031" s="2"/>
      <c r="AQ1031" s="1"/>
      <c r="BG1031" s="1"/>
    </row>
    <row r="1032" spans="15:59">
      <c r="O1032" s="1"/>
      <c r="P1032" s="1"/>
      <c r="AA1032" s="1"/>
      <c r="AB1032" s="1"/>
      <c r="AG1032" s="1"/>
      <c r="AH1032" s="1"/>
      <c r="AK1032" s="1"/>
      <c r="AL1032" s="1"/>
      <c r="AM1032" s="2"/>
      <c r="AN1032" s="2"/>
      <c r="AQ1032" s="1"/>
      <c r="BG1032" s="1"/>
    </row>
    <row r="1033" spans="15:59">
      <c r="O1033" s="1"/>
      <c r="P1033" s="1"/>
      <c r="AA1033" s="1"/>
      <c r="AB1033" s="1"/>
      <c r="AG1033" s="1"/>
      <c r="AH1033" s="1"/>
      <c r="AK1033" s="1"/>
      <c r="AL1033" s="1"/>
      <c r="AM1033" s="2"/>
      <c r="AN1033" s="2"/>
      <c r="AQ1033" s="1"/>
      <c r="BG1033" s="1"/>
    </row>
    <row r="1034" spans="15:59">
      <c r="O1034" s="1"/>
      <c r="P1034" s="1"/>
      <c r="AA1034" s="1"/>
      <c r="AB1034" s="1"/>
      <c r="AG1034" s="1"/>
      <c r="AH1034" s="1"/>
      <c r="AK1034" s="1"/>
      <c r="AL1034" s="1"/>
      <c r="AM1034" s="2"/>
      <c r="AN1034" s="2"/>
      <c r="AQ1034" s="1"/>
      <c r="BG1034" s="1"/>
    </row>
    <row r="1035" spans="15:59">
      <c r="O1035" s="1"/>
      <c r="P1035" s="1"/>
      <c r="AA1035" s="1"/>
      <c r="AB1035" s="1"/>
      <c r="AG1035" s="1"/>
      <c r="AH1035" s="1"/>
      <c r="AK1035" s="1"/>
      <c r="AL1035" s="1"/>
      <c r="AM1035" s="2"/>
      <c r="AN1035" s="2"/>
      <c r="AQ1035" s="1"/>
      <c r="BG1035" s="1"/>
    </row>
    <row r="1036" spans="15:59">
      <c r="O1036" s="1"/>
      <c r="P1036" s="1"/>
      <c r="AA1036" s="1"/>
      <c r="AB1036" s="1"/>
      <c r="AG1036" s="1"/>
      <c r="AH1036" s="1"/>
      <c r="AK1036" s="1"/>
      <c r="AL1036" s="1"/>
      <c r="AM1036" s="2"/>
      <c r="AN1036" s="2"/>
      <c r="AQ1036" s="1"/>
      <c r="BG1036" s="1"/>
    </row>
    <row r="1037" spans="15:59">
      <c r="O1037" s="1"/>
      <c r="P1037" s="1"/>
      <c r="AA1037" s="1"/>
      <c r="AB1037" s="1"/>
      <c r="AG1037" s="1"/>
      <c r="AH1037" s="1"/>
      <c r="AK1037" s="1"/>
      <c r="AL1037" s="1"/>
      <c r="AM1037" s="2"/>
      <c r="AN1037" s="2"/>
      <c r="AQ1037" s="1"/>
      <c r="BG1037" s="1"/>
    </row>
    <row r="1038" spans="15:59">
      <c r="O1038" s="1"/>
      <c r="P1038" s="1"/>
      <c r="AA1038" s="1"/>
      <c r="AB1038" s="1"/>
      <c r="AG1038" s="1"/>
      <c r="AH1038" s="1"/>
      <c r="AK1038" s="1"/>
      <c r="AL1038" s="1"/>
      <c r="AM1038" s="2"/>
      <c r="AN1038" s="2"/>
      <c r="AQ1038" s="1"/>
      <c r="BG1038" s="1"/>
    </row>
    <row r="1039" spans="15:59">
      <c r="O1039" s="1"/>
      <c r="P1039" s="1"/>
      <c r="AA1039" s="1"/>
      <c r="AB1039" s="1"/>
      <c r="AG1039" s="1"/>
      <c r="AH1039" s="1"/>
      <c r="AK1039" s="1"/>
      <c r="AL1039" s="1"/>
      <c r="AM1039" s="2"/>
      <c r="AN1039" s="2"/>
      <c r="AQ1039" s="1"/>
      <c r="BG1039" s="1"/>
    </row>
    <row r="1040" spans="15:59">
      <c r="O1040" s="1"/>
      <c r="P1040" s="1"/>
      <c r="AA1040" s="1"/>
      <c r="AB1040" s="1"/>
      <c r="AG1040" s="1"/>
      <c r="AH1040" s="1"/>
      <c r="AK1040" s="1"/>
      <c r="AL1040" s="1"/>
      <c r="AM1040" s="2"/>
      <c r="AN1040" s="2"/>
      <c r="AQ1040" s="1"/>
      <c r="BG1040" s="1"/>
    </row>
    <row r="1041" spans="15:59">
      <c r="O1041" s="1"/>
      <c r="P1041" s="1"/>
      <c r="AA1041" s="1"/>
      <c r="AB1041" s="1"/>
      <c r="AG1041" s="1"/>
      <c r="AH1041" s="1"/>
      <c r="AK1041" s="1"/>
      <c r="AL1041" s="1"/>
      <c r="AM1041" s="2"/>
      <c r="AN1041" s="2"/>
      <c r="AQ1041" s="1"/>
      <c r="BG1041" s="1"/>
    </row>
    <row r="1042" spans="15:59">
      <c r="O1042" s="1"/>
      <c r="P1042" s="1"/>
      <c r="AA1042" s="1"/>
      <c r="AB1042" s="1"/>
      <c r="AG1042" s="1"/>
      <c r="AH1042" s="1"/>
      <c r="AK1042" s="1"/>
      <c r="AL1042" s="1"/>
      <c r="AM1042" s="2"/>
      <c r="AN1042" s="2"/>
      <c r="AQ1042" s="1"/>
      <c r="BG1042" s="1"/>
    </row>
    <row r="1043" spans="15:59">
      <c r="O1043" s="1"/>
      <c r="P1043" s="1"/>
      <c r="AA1043" s="1"/>
      <c r="AB1043" s="1"/>
      <c r="AG1043" s="1"/>
      <c r="AH1043" s="1"/>
      <c r="AK1043" s="1"/>
      <c r="AL1043" s="1"/>
      <c r="AM1043" s="2"/>
      <c r="AN1043" s="2"/>
      <c r="AQ1043" s="1"/>
      <c r="BG1043" s="1"/>
    </row>
    <row r="1044" spans="15:59">
      <c r="O1044" s="1"/>
      <c r="P1044" s="1"/>
      <c r="AA1044" s="1"/>
      <c r="AB1044" s="1"/>
      <c r="AG1044" s="1"/>
      <c r="AH1044" s="1"/>
      <c r="AK1044" s="1"/>
      <c r="AL1044" s="1"/>
      <c r="AM1044" s="2"/>
      <c r="AN1044" s="2"/>
      <c r="AQ1044" s="1"/>
      <c r="BG1044" s="1"/>
    </row>
    <row r="1045" spans="15:59">
      <c r="O1045" s="1"/>
      <c r="P1045" s="1"/>
      <c r="AA1045" s="1"/>
      <c r="AB1045" s="1"/>
      <c r="AG1045" s="1"/>
      <c r="AH1045" s="1"/>
      <c r="AK1045" s="1"/>
      <c r="AL1045" s="1"/>
      <c r="AM1045" s="2"/>
      <c r="AN1045" s="2"/>
      <c r="AQ1045" s="1"/>
      <c r="BG1045" s="1"/>
    </row>
    <row r="1046" spans="15:59">
      <c r="O1046" s="1"/>
      <c r="P1046" s="1"/>
      <c r="AA1046" s="1"/>
      <c r="AB1046" s="1"/>
      <c r="AG1046" s="1"/>
      <c r="AH1046" s="1"/>
      <c r="AK1046" s="1"/>
      <c r="AL1046" s="1"/>
      <c r="AM1046" s="2"/>
      <c r="AN1046" s="2"/>
      <c r="AQ1046" s="1"/>
      <c r="BG1046" s="1"/>
    </row>
    <row r="1047" spans="15:59">
      <c r="O1047" s="1"/>
      <c r="P1047" s="1"/>
      <c r="AA1047" s="1"/>
      <c r="AB1047" s="1"/>
      <c r="AG1047" s="1"/>
      <c r="AH1047" s="1"/>
      <c r="AK1047" s="1"/>
      <c r="AL1047" s="1"/>
      <c r="AM1047" s="2"/>
      <c r="AN1047" s="2"/>
      <c r="AQ1047" s="1"/>
      <c r="BG1047" s="1"/>
    </row>
    <row r="1048" spans="15:59">
      <c r="O1048" s="1"/>
      <c r="P1048" s="1"/>
      <c r="AA1048" s="1"/>
      <c r="AB1048" s="1"/>
      <c r="AG1048" s="1"/>
      <c r="AH1048" s="1"/>
      <c r="AK1048" s="1"/>
      <c r="AL1048" s="1"/>
      <c r="AM1048" s="2"/>
      <c r="AN1048" s="2"/>
      <c r="AQ1048" s="1"/>
      <c r="BG1048" s="1"/>
    </row>
    <row r="1049" spans="15:59">
      <c r="O1049" s="1"/>
      <c r="P1049" s="1"/>
      <c r="AA1049" s="1"/>
      <c r="AB1049" s="1"/>
      <c r="AG1049" s="1"/>
      <c r="AH1049" s="1"/>
      <c r="AK1049" s="1"/>
      <c r="AL1049" s="1"/>
      <c r="AM1049" s="2"/>
      <c r="AN1049" s="2"/>
      <c r="AQ1049" s="1"/>
      <c r="BG1049" s="1"/>
    </row>
    <row r="1050" spans="15:59">
      <c r="O1050" s="1"/>
      <c r="P1050" s="1"/>
      <c r="AA1050" s="1"/>
      <c r="AB1050" s="1"/>
      <c r="AG1050" s="1"/>
      <c r="AH1050" s="1"/>
      <c r="AK1050" s="1"/>
      <c r="AL1050" s="1"/>
      <c r="AM1050" s="2"/>
      <c r="AN1050" s="2"/>
      <c r="AQ1050" s="1"/>
      <c r="BG1050" s="1"/>
    </row>
    <row r="1051" spans="15:59">
      <c r="O1051" s="1"/>
      <c r="P1051" s="1"/>
      <c r="AA1051" s="1"/>
      <c r="AB1051" s="1"/>
      <c r="AG1051" s="1"/>
      <c r="AH1051" s="1"/>
      <c r="AK1051" s="1"/>
      <c r="AL1051" s="1"/>
      <c r="AM1051" s="2"/>
      <c r="AN1051" s="2"/>
      <c r="AQ1051" s="1"/>
      <c r="BG1051" s="1"/>
    </row>
    <row r="1052" spans="15:59">
      <c r="O1052" s="1"/>
      <c r="P1052" s="1"/>
      <c r="AA1052" s="1"/>
      <c r="AB1052" s="1"/>
      <c r="AG1052" s="1"/>
      <c r="AH1052" s="1"/>
      <c r="AK1052" s="1"/>
      <c r="AL1052" s="1"/>
      <c r="AM1052" s="2"/>
      <c r="AN1052" s="2"/>
      <c r="AQ1052" s="1"/>
      <c r="BG1052" s="1"/>
    </row>
    <row r="1053" spans="15:59">
      <c r="O1053" s="1"/>
      <c r="P1053" s="1"/>
      <c r="AA1053" s="1"/>
      <c r="AB1053" s="1"/>
      <c r="AG1053" s="1"/>
      <c r="AH1053" s="1"/>
      <c r="AK1053" s="1"/>
      <c r="AL1053" s="1"/>
      <c r="AM1053" s="2"/>
      <c r="AN1053" s="2"/>
      <c r="AQ1053" s="1"/>
      <c r="BG1053" s="1"/>
    </row>
    <row r="1054" spans="15:59">
      <c r="O1054" s="1"/>
      <c r="P1054" s="1"/>
      <c r="AA1054" s="1"/>
      <c r="AB1054" s="1"/>
      <c r="AG1054" s="1"/>
      <c r="AH1054" s="1"/>
      <c r="AK1054" s="1"/>
      <c r="AL1054" s="1"/>
      <c r="AM1054" s="2"/>
      <c r="AN1054" s="2"/>
      <c r="AQ1054" s="1"/>
      <c r="BG1054" s="1"/>
    </row>
    <row r="1055" spans="15:59">
      <c r="O1055" s="1"/>
      <c r="P1055" s="1"/>
      <c r="AA1055" s="1"/>
      <c r="AB1055" s="1"/>
      <c r="AG1055" s="1"/>
      <c r="AH1055" s="1"/>
      <c r="AK1055" s="1"/>
      <c r="AL1055" s="1"/>
      <c r="AM1055" s="2"/>
      <c r="AN1055" s="2"/>
      <c r="AQ1055" s="1"/>
      <c r="BG1055" s="1"/>
    </row>
    <row r="1056" spans="15:59">
      <c r="O1056" s="1"/>
      <c r="P1056" s="1"/>
      <c r="AA1056" s="1"/>
      <c r="AB1056" s="1"/>
      <c r="AG1056" s="1"/>
      <c r="AH1056" s="1"/>
      <c r="AK1056" s="1"/>
      <c r="AL1056" s="1"/>
      <c r="AM1056" s="2"/>
      <c r="AN1056" s="2"/>
      <c r="AQ1056" s="1"/>
      <c r="BG1056" s="1"/>
    </row>
    <row r="1057" spans="15:59">
      <c r="O1057" s="1"/>
      <c r="P1057" s="1"/>
      <c r="AA1057" s="1"/>
      <c r="AB1057" s="1"/>
      <c r="AG1057" s="1"/>
      <c r="AH1057" s="1"/>
      <c r="AK1057" s="1"/>
      <c r="AL1057" s="1"/>
      <c r="AM1057" s="2"/>
      <c r="AN1057" s="2"/>
      <c r="AQ1057" s="1"/>
      <c r="BG1057" s="1"/>
    </row>
    <row r="1058" spans="15:59">
      <c r="O1058" s="1"/>
      <c r="P1058" s="1"/>
      <c r="AA1058" s="1"/>
      <c r="AB1058" s="1"/>
      <c r="AG1058" s="1"/>
      <c r="AH1058" s="1"/>
      <c r="AK1058" s="1"/>
      <c r="AL1058" s="1"/>
      <c r="AM1058" s="2"/>
      <c r="AN1058" s="2"/>
      <c r="AQ1058" s="1"/>
      <c r="BG1058" s="1"/>
    </row>
    <row r="1059" spans="15:59">
      <c r="O1059" s="1"/>
      <c r="P1059" s="1"/>
      <c r="AA1059" s="1"/>
      <c r="AB1059" s="1"/>
      <c r="AG1059" s="1"/>
      <c r="AH1059" s="1"/>
      <c r="AK1059" s="1"/>
      <c r="AL1059" s="1"/>
      <c r="AM1059" s="2"/>
      <c r="AN1059" s="2"/>
      <c r="AQ1059" s="1"/>
      <c r="BG1059" s="1"/>
    </row>
    <row r="1060" spans="15:59">
      <c r="O1060" s="1"/>
      <c r="P1060" s="1"/>
      <c r="AA1060" s="1"/>
      <c r="AB1060" s="1"/>
      <c r="AG1060" s="1"/>
      <c r="AH1060" s="1"/>
      <c r="AK1060" s="1"/>
      <c r="AL1060" s="1"/>
      <c r="AM1060" s="2"/>
      <c r="AN1060" s="2"/>
      <c r="AQ1060" s="1"/>
      <c r="BG1060" s="1"/>
    </row>
    <row r="1061" spans="15:59">
      <c r="O1061" s="1"/>
      <c r="P1061" s="1"/>
      <c r="AA1061" s="1"/>
      <c r="AB1061" s="1"/>
      <c r="AG1061" s="1"/>
      <c r="AH1061" s="1"/>
      <c r="AK1061" s="1"/>
      <c r="AL1061" s="1"/>
      <c r="AM1061" s="2"/>
      <c r="AN1061" s="2"/>
      <c r="AQ1061" s="1"/>
      <c r="BG1061" s="1"/>
    </row>
    <row r="1062" spans="15:59">
      <c r="O1062" s="1"/>
      <c r="P1062" s="1"/>
      <c r="AA1062" s="1"/>
      <c r="AB1062" s="1"/>
      <c r="AG1062" s="1"/>
      <c r="AH1062" s="1"/>
      <c r="AK1062" s="1"/>
      <c r="AL1062" s="1"/>
      <c r="AM1062" s="2"/>
      <c r="AN1062" s="2"/>
      <c r="AQ1062" s="1"/>
      <c r="BG1062" s="1"/>
    </row>
    <row r="1063" spans="15:59">
      <c r="O1063" s="1"/>
      <c r="P1063" s="1"/>
      <c r="AA1063" s="1"/>
      <c r="AB1063" s="1"/>
      <c r="AG1063" s="1"/>
      <c r="AH1063" s="1"/>
      <c r="AK1063" s="1"/>
      <c r="AL1063" s="1"/>
      <c r="AM1063" s="2"/>
      <c r="AN1063" s="2"/>
      <c r="AQ1063" s="1"/>
      <c r="BG1063" s="1"/>
    </row>
    <row r="1064" spans="15:59">
      <c r="O1064" s="1"/>
      <c r="P1064" s="1"/>
      <c r="AA1064" s="1"/>
      <c r="AB1064" s="1"/>
      <c r="AG1064" s="1"/>
      <c r="AH1064" s="1"/>
      <c r="AK1064" s="1"/>
      <c r="AL1064" s="1"/>
      <c r="AM1064" s="2"/>
      <c r="AN1064" s="2"/>
      <c r="AQ1064" s="1"/>
      <c r="BG1064" s="1"/>
    </row>
    <row r="1065" spans="15:59">
      <c r="O1065" s="1"/>
      <c r="P1065" s="1"/>
      <c r="AA1065" s="1"/>
      <c r="AB1065" s="1"/>
      <c r="AG1065" s="1"/>
      <c r="AH1065" s="1"/>
      <c r="AK1065" s="1"/>
      <c r="AL1065" s="1"/>
      <c r="AM1065" s="2"/>
      <c r="AN1065" s="2"/>
      <c r="AQ1065" s="1"/>
      <c r="BG1065" s="1"/>
    </row>
    <row r="1066" spans="15:59">
      <c r="O1066" s="1"/>
      <c r="P1066" s="1"/>
      <c r="AA1066" s="1"/>
      <c r="AB1066" s="1"/>
      <c r="AG1066" s="1"/>
      <c r="AH1066" s="1"/>
      <c r="AK1066" s="1"/>
      <c r="AL1066" s="1"/>
      <c r="AM1066" s="2"/>
      <c r="AN1066" s="2"/>
      <c r="AQ1066" s="1"/>
      <c r="BG1066" s="1"/>
    </row>
    <row r="1067" spans="15:59">
      <c r="O1067" s="1"/>
      <c r="P1067" s="1"/>
      <c r="AA1067" s="1"/>
      <c r="AB1067" s="1"/>
      <c r="AG1067" s="1"/>
      <c r="AH1067" s="1"/>
      <c r="AK1067" s="1"/>
      <c r="AL1067" s="1"/>
      <c r="AM1067" s="2"/>
      <c r="AN1067" s="2"/>
      <c r="AQ1067" s="1"/>
      <c r="BG1067" s="1"/>
    </row>
    <row r="1068" spans="15:59">
      <c r="O1068" s="1"/>
      <c r="P1068" s="1"/>
      <c r="AA1068" s="1"/>
      <c r="AB1068" s="1"/>
      <c r="AG1068" s="1"/>
      <c r="AH1068" s="1"/>
      <c r="AK1068" s="1"/>
      <c r="AL1068" s="1"/>
      <c r="AM1068" s="2"/>
      <c r="AN1068" s="2"/>
      <c r="AQ1068" s="1"/>
      <c r="BG1068" s="1"/>
    </row>
    <row r="1069" spans="15:59">
      <c r="O1069" s="1"/>
      <c r="P1069" s="1"/>
      <c r="AA1069" s="1"/>
      <c r="AB1069" s="1"/>
      <c r="AG1069" s="1"/>
      <c r="AH1069" s="1"/>
      <c r="AK1069" s="1"/>
      <c r="AL1069" s="1"/>
      <c r="AM1069" s="2"/>
      <c r="AN1069" s="2"/>
      <c r="AQ1069" s="1"/>
      <c r="BG1069" s="1"/>
    </row>
    <row r="1070" spans="15:59">
      <c r="O1070" s="1"/>
      <c r="P1070" s="1"/>
      <c r="AA1070" s="1"/>
      <c r="AB1070" s="1"/>
      <c r="AG1070" s="1"/>
      <c r="AH1070" s="1"/>
      <c r="AK1070" s="1"/>
      <c r="AL1070" s="1"/>
      <c r="AM1070" s="2"/>
      <c r="AN1070" s="2"/>
      <c r="AQ1070" s="1"/>
      <c r="BG1070" s="1"/>
    </row>
    <row r="1071" spans="15:59">
      <c r="O1071" s="1"/>
      <c r="P1071" s="1"/>
      <c r="AA1071" s="1"/>
      <c r="AB1071" s="1"/>
      <c r="AG1071" s="1"/>
      <c r="AH1071" s="1"/>
      <c r="AK1071" s="1"/>
      <c r="AL1071" s="1"/>
      <c r="AM1071" s="2"/>
      <c r="AN1071" s="2"/>
      <c r="AQ1071" s="1"/>
      <c r="BG1071" s="1"/>
    </row>
    <row r="1072" spans="15:59">
      <c r="O1072" s="1"/>
      <c r="P1072" s="1"/>
      <c r="AA1072" s="1"/>
      <c r="AB1072" s="1"/>
      <c r="AG1072" s="1"/>
      <c r="AH1072" s="1"/>
      <c r="AK1072" s="1"/>
      <c r="AL1072" s="1"/>
      <c r="AM1072" s="2"/>
      <c r="AN1072" s="2"/>
      <c r="AQ1072" s="1"/>
      <c r="BG1072" s="1"/>
    </row>
    <row r="1073" spans="15:59">
      <c r="O1073" s="1"/>
      <c r="P1073" s="1"/>
      <c r="AA1073" s="1"/>
      <c r="AB1073" s="1"/>
      <c r="AG1073" s="1"/>
      <c r="AH1073" s="1"/>
      <c r="AK1073" s="1"/>
      <c r="AL1073" s="1"/>
      <c r="AM1073" s="2"/>
      <c r="AN1073" s="2"/>
      <c r="AQ1073" s="1"/>
      <c r="BG1073" s="1"/>
    </row>
    <row r="1074" spans="15:59">
      <c r="O1074" s="1"/>
      <c r="P1074" s="1"/>
      <c r="AA1074" s="1"/>
      <c r="AB1074" s="1"/>
      <c r="AG1074" s="1"/>
      <c r="AH1074" s="1"/>
      <c r="AK1074" s="1"/>
      <c r="AL1074" s="1"/>
      <c r="AM1074" s="2"/>
      <c r="AN1074" s="2"/>
      <c r="AQ1074" s="1"/>
      <c r="BG1074" s="1"/>
    </row>
    <row r="1075" spans="15:59">
      <c r="O1075" s="1"/>
      <c r="P1075" s="1"/>
      <c r="AA1075" s="1"/>
      <c r="AB1075" s="1"/>
      <c r="AG1075" s="1"/>
      <c r="AH1075" s="1"/>
      <c r="AK1075" s="1"/>
      <c r="AL1075" s="1"/>
      <c r="AM1075" s="2"/>
      <c r="AN1075" s="2"/>
      <c r="AQ1075" s="1"/>
      <c r="BG1075" s="1"/>
    </row>
    <row r="1076" spans="15:59">
      <c r="O1076" s="1"/>
      <c r="P1076" s="1"/>
      <c r="AA1076" s="1"/>
      <c r="AB1076" s="1"/>
      <c r="AG1076" s="1"/>
      <c r="AH1076" s="1"/>
      <c r="AK1076" s="1"/>
      <c r="AL1076" s="1"/>
      <c r="AM1076" s="2"/>
      <c r="AN1076" s="2"/>
      <c r="AQ1076" s="1"/>
      <c r="BG1076" s="1"/>
    </row>
    <row r="1077" spans="15:59">
      <c r="O1077" s="1"/>
      <c r="P1077" s="1"/>
      <c r="AA1077" s="1"/>
      <c r="AB1077" s="1"/>
      <c r="AG1077" s="1"/>
      <c r="AH1077" s="1"/>
      <c r="AK1077" s="1"/>
      <c r="AL1077" s="1"/>
      <c r="AM1077" s="2"/>
      <c r="AN1077" s="2"/>
      <c r="AQ1077" s="1"/>
      <c r="BG1077" s="1"/>
    </row>
    <row r="1078" spans="15:59">
      <c r="O1078" s="1"/>
      <c r="P1078" s="1"/>
      <c r="AA1078" s="1"/>
      <c r="AB1078" s="1"/>
      <c r="AG1078" s="1"/>
      <c r="AH1078" s="1"/>
      <c r="AK1078" s="1"/>
      <c r="AL1078" s="1"/>
      <c r="AM1078" s="2"/>
      <c r="AN1078" s="2"/>
      <c r="AQ1078" s="1"/>
      <c r="BG1078" s="1"/>
    </row>
    <row r="1079" spans="15:59">
      <c r="O1079" s="1"/>
      <c r="P1079" s="1"/>
      <c r="AA1079" s="1"/>
      <c r="AB1079" s="1"/>
      <c r="AG1079" s="1"/>
      <c r="AH1079" s="1"/>
      <c r="AK1079" s="1"/>
      <c r="AL1079" s="1"/>
      <c r="AM1079" s="2"/>
      <c r="AN1079" s="2"/>
      <c r="AQ1079" s="1"/>
      <c r="BG1079" s="1"/>
    </row>
    <row r="1080" spans="15:59">
      <c r="O1080" s="1"/>
      <c r="P1080" s="1"/>
      <c r="AA1080" s="1"/>
      <c r="AB1080" s="1"/>
      <c r="AG1080" s="1"/>
      <c r="AH1080" s="1"/>
      <c r="AK1080" s="1"/>
      <c r="AL1080" s="1"/>
      <c r="AM1080" s="2"/>
      <c r="AN1080" s="2"/>
      <c r="AQ1080" s="1"/>
      <c r="BG1080" s="1"/>
    </row>
    <row r="1081" spans="15:59">
      <c r="O1081" s="1"/>
      <c r="P1081" s="1"/>
      <c r="AA1081" s="1"/>
      <c r="AB1081" s="1"/>
      <c r="AG1081" s="1"/>
      <c r="AH1081" s="1"/>
      <c r="AK1081" s="1"/>
      <c r="AL1081" s="1"/>
      <c r="AM1081" s="2"/>
      <c r="AN1081" s="2"/>
      <c r="AQ1081" s="1"/>
      <c r="BG1081" s="1"/>
    </row>
    <row r="1082" spans="15:59">
      <c r="O1082" s="1"/>
      <c r="P1082" s="1"/>
      <c r="AA1082" s="1"/>
      <c r="AB1082" s="1"/>
      <c r="AG1082" s="1"/>
      <c r="AH1082" s="1"/>
      <c r="AK1082" s="1"/>
      <c r="AL1082" s="1"/>
      <c r="AM1082" s="2"/>
      <c r="AN1082" s="2"/>
      <c r="AQ1082" s="1"/>
      <c r="BG1082" s="1"/>
    </row>
    <row r="1083" spans="15:59">
      <c r="O1083" s="1"/>
      <c r="P1083" s="1"/>
      <c r="AA1083" s="1"/>
      <c r="AB1083" s="1"/>
      <c r="AG1083" s="1"/>
      <c r="AH1083" s="1"/>
      <c r="AK1083" s="1"/>
      <c r="AL1083" s="1"/>
      <c r="AM1083" s="2"/>
      <c r="AN1083" s="2"/>
      <c r="AQ1083" s="1"/>
      <c r="BG1083" s="1"/>
    </row>
    <row r="1084" spans="15:59">
      <c r="O1084" s="1"/>
      <c r="P1084" s="1"/>
      <c r="AA1084" s="1"/>
      <c r="AB1084" s="1"/>
      <c r="AG1084" s="1"/>
      <c r="AH1084" s="1"/>
      <c r="AK1084" s="1"/>
      <c r="AL1084" s="1"/>
      <c r="AM1084" s="2"/>
      <c r="AN1084" s="2"/>
      <c r="AQ1084" s="1"/>
      <c r="BG1084" s="1"/>
    </row>
    <row r="1085" spans="15:59">
      <c r="O1085" s="1"/>
      <c r="P1085" s="1"/>
      <c r="AA1085" s="1"/>
      <c r="AB1085" s="1"/>
      <c r="AG1085" s="1"/>
      <c r="AH1085" s="1"/>
      <c r="AK1085" s="1"/>
      <c r="AL1085" s="1"/>
      <c r="AM1085" s="2"/>
      <c r="AN1085" s="2"/>
      <c r="AQ1085" s="1"/>
      <c r="BG1085" s="1"/>
    </row>
    <row r="1086" spans="15:59">
      <c r="O1086" s="1"/>
      <c r="P1086" s="1"/>
      <c r="AA1086" s="1"/>
      <c r="AB1086" s="1"/>
      <c r="AG1086" s="1"/>
      <c r="AH1086" s="1"/>
      <c r="AK1086" s="1"/>
      <c r="AL1086" s="1"/>
      <c r="AM1086" s="2"/>
      <c r="AN1086" s="2"/>
      <c r="AQ1086" s="1"/>
      <c r="BG1086" s="1"/>
    </row>
    <row r="1087" spans="15:59">
      <c r="O1087" s="1"/>
      <c r="P1087" s="1"/>
      <c r="AA1087" s="1"/>
      <c r="AB1087" s="1"/>
      <c r="AG1087" s="1"/>
      <c r="AH1087" s="1"/>
      <c r="AK1087" s="1"/>
      <c r="AL1087" s="1"/>
      <c r="AM1087" s="2"/>
      <c r="AN1087" s="2"/>
      <c r="AQ1087" s="1"/>
      <c r="BG1087" s="1"/>
    </row>
    <row r="1088" spans="15:59">
      <c r="O1088" s="1"/>
      <c r="P1088" s="1"/>
      <c r="AA1088" s="1"/>
      <c r="AB1088" s="1"/>
      <c r="AG1088" s="1"/>
      <c r="AH1088" s="1"/>
      <c r="AK1088" s="1"/>
      <c r="AL1088" s="1"/>
      <c r="AM1088" s="2"/>
      <c r="AN1088" s="2"/>
      <c r="AQ1088" s="1"/>
      <c r="BG1088" s="1"/>
    </row>
    <row r="1089" spans="15:59">
      <c r="O1089" s="1"/>
      <c r="P1089" s="1"/>
      <c r="AA1089" s="1"/>
      <c r="AB1089" s="1"/>
      <c r="AG1089" s="1"/>
      <c r="AH1089" s="1"/>
      <c r="AK1089" s="1"/>
      <c r="AL1089" s="1"/>
      <c r="AM1089" s="2"/>
      <c r="AN1089" s="2"/>
      <c r="AQ1089" s="1"/>
      <c r="BG1089" s="1"/>
    </row>
    <row r="1090" spans="15:59">
      <c r="O1090" s="1"/>
      <c r="P1090" s="1"/>
      <c r="AA1090" s="1"/>
      <c r="AB1090" s="1"/>
      <c r="AG1090" s="1"/>
      <c r="AH1090" s="1"/>
      <c r="AK1090" s="1"/>
      <c r="AL1090" s="1"/>
      <c r="AM1090" s="2"/>
      <c r="AN1090" s="2"/>
      <c r="AQ1090" s="1"/>
      <c r="BG1090" s="1"/>
    </row>
    <row r="1091" spans="15:59">
      <c r="O1091" s="1"/>
      <c r="P1091" s="1"/>
      <c r="AA1091" s="1"/>
      <c r="AB1091" s="1"/>
      <c r="AG1091" s="1"/>
      <c r="AH1091" s="1"/>
      <c r="AK1091" s="1"/>
      <c r="AL1091" s="1"/>
      <c r="AM1091" s="2"/>
      <c r="AN1091" s="2"/>
      <c r="AQ1091" s="1"/>
      <c r="BG1091" s="1"/>
    </row>
    <row r="1092" spans="15:59">
      <c r="O1092" s="1"/>
      <c r="P1092" s="1"/>
      <c r="AA1092" s="1"/>
      <c r="AB1092" s="1"/>
      <c r="AG1092" s="1"/>
      <c r="AH1092" s="1"/>
      <c r="AK1092" s="1"/>
      <c r="AL1092" s="1"/>
      <c r="AM1092" s="2"/>
      <c r="AN1092" s="2"/>
      <c r="AQ1092" s="1"/>
      <c r="BG1092" s="1"/>
    </row>
    <row r="1093" spans="15:59">
      <c r="O1093" s="1"/>
      <c r="P1093" s="1"/>
      <c r="AA1093" s="1"/>
      <c r="AB1093" s="1"/>
      <c r="AG1093" s="1"/>
      <c r="AH1093" s="1"/>
      <c r="AK1093" s="1"/>
      <c r="AL1093" s="1"/>
      <c r="AM1093" s="2"/>
      <c r="AN1093" s="2"/>
      <c r="AQ1093" s="1"/>
      <c r="BG1093" s="1"/>
    </row>
    <row r="1094" spans="15:59">
      <c r="O1094" s="1"/>
      <c r="P1094" s="1"/>
      <c r="AA1094" s="1"/>
      <c r="AB1094" s="1"/>
      <c r="AG1094" s="1"/>
      <c r="AH1094" s="1"/>
      <c r="AK1094" s="1"/>
      <c r="AL1094" s="1"/>
      <c r="AM1094" s="2"/>
      <c r="AN1094" s="2"/>
      <c r="AQ1094" s="1"/>
      <c r="BG1094" s="1"/>
    </row>
    <row r="1095" spans="15:59">
      <c r="O1095" s="1"/>
      <c r="P1095" s="1"/>
      <c r="AA1095" s="1"/>
      <c r="AB1095" s="1"/>
      <c r="AG1095" s="1"/>
      <c r="AH1095" s="1"/>
      <c r="AK1095" s="1"/>
      <c r="AL1095" s="1"/>
      <c r="AM1095" s="2"/>
      <c r="AN1095" s="2"/>
      <c r="AQ1095" s="1"/>
      <c r="BG1095" s="1"/>
    </row>
    <row r="1096" spans="15:59">
      <c r="O1096" s="1"/>
      <c r="P1096" s="1"/>
      <c r="AA1096" s="1"/>
      <c r="AB1096" s="1"/>
      <c r="AG1096" s="1"/>
      <c r="AH1096" s="1"/>
      <c r="AK1096" s="1"/>
      <c r="AL1096" s="1"/>
      <c r="AM1096" s="2"/>
      <c r="AN1096" s="2"/>
      <c r="AQ1096" s="1"/>
      <c r="BG1096" s="1"/>
    </row>
    <row r="1097" spans="15:59">
      <c r="O1097" s="1"/>
      <c r="P1097" s="1"/>
      <c r="AA1097" s="1"/>
      <c r="AB1097" s="1"/>
      <c r="AG1097" s="1"/>
      <c r="AH1097" s="1"/>
      <c r="AK1097" s="1"/>
      <c r="AL1097" s="1"/>
      <c r="AM1097" s="2"/>
      <c r="AN1097" s="2"/>
      <c r="AQ1097" s="1"/>
      <c r="BG1097" s="1"/>
    </row>
    <row r="1098" spans="15:59">
      <c r="O1098" s="1"/>
      <c r="P1098" s="1"/>
      <c r="AA1098" s="1"/>
      <c r="AB1098" s="1"/>
      <c r="AG1098" s="1"/>
      <c r="AH1098" s="1"/>
      <c r="AK1098" s="1"/>
      <c r="AL1098" s="1"/>
      <c r="AM1098" s="2"/>
      <c r="AN1098" s="2"/>
      <c r="AQ1098" s="1"/>
      <c r="BG1098" s="1"/>
    </row>
    <row r="1099" spans="15:59">
      <c r="O1099" s="1"/>
      <c r="P1099" s="1"/>
      <c r="AA1099" s="1"/>
      <c r="AB1099" s="1"/>
      <c r="AG1099" s="1"/>
      <c r="AH1099" s="1"/>
      <c r="AK1099" s="1"/>
      <c r="AL1099" s="1"/>
      <c r="AM1099" s="2"/>
      <c r="AN1099" s="2"/>
      <c r="AQ1099" s="1"/>
      <c r="BG1099" s="1"/>
    </row>
    <row r="1100" spans="15:59">
      <c r="O1100" s="1"/>
      <c r="P1100" s="1"/>
      <c r="AA1100" s="1"/>
      <c r="AB1100" s="1"/>
      <c r="AG1100" s="1"/>
      <c r="AH1100" s="1"/>
      <c r="AK1100" s="1"/>
      <c r="AL1100" s="1"/>
      <c r="AM1100" s="2"/>
      <c r="AN1100" s="2"/>
      <c r="AQ1100" s="1"/>
      <c r="BG1100" s="1"/>
    </row>
    <row r="1101" spans="15:59">
      <c r="O1101" s="1"/>
      <c r="P1101" s="1"/>
      <c r="AA1101" s="1"/>
      <c r="AB1101" s="1"/>
      <c r="AG1101" s="1"/>
      <c r="AH1101" s="1"/>
      <c r="AK1101" s="1"/>
      <c r="AL1101" s="1"/>
      <c r="AM1101" s="2"/>
      <c r="AN1101" s="2"/>
      <c r="AQ1101" s="1"/>
      <c r="BG1101" s="1"/>
    </row>
    <row r="1102" spans="15:59">
      <c r="O1102" s="1"/>
      <c r="P1102" s="1"/>
      <c r="AA1102" s="1"/>
      <c r="AB1102" s="1"/>
      <c r="AG1102" s="1"/>
      <c r="AH1102" s="1"/>
      <c r="AK1102" s="1"/>
      <c r="AL1102" s="1"/>
      <c r="AM1102" s="2"/>
      <c r="AN1102" s="2"/>
      <c r="AQ1102" s="1"/>
      <c r="BG1102" s="1"/>
    </row>
    <row r="1103" spans="15:59">
      <c r="O1103" s="1"/>
      <c r="P1103" s="1"/>
      <c r="AA1103" s="1"/>
      <c r="AB1103" s="1"/>
      <c r="AG1103" s="1"/>
      <c r="AH1103" s="1"/>
      <c r="AK1103" s="1"/>
      <c r="AL1103" s="1"/>
      <c r="AM1103" s="2"/>
      <c r="AN1103" s="2"/>
      <c r="AQ1103" s="1"/>
      <c r="BG1103" s="1"/>
    </row>
    <row r="1104" spans="15:59">
      <c r="O1104" s="1"/>
      <c r="P1104" s="1"/>
      <c r="AA1104" s="1"/>
      <c r="AB1104" s="1"/>
      <c r="AG1104" s="1"/>
      <c r="AH1104" s="1"/>
      <c r="AK1104" s="1"/>
      <c r="AL1104" s="1"/>
      <c r="AM1104" s="2"/>
      <c r="AN1104" s="2"/>
      <c r="AQ1104" s="1"/>
      <c r="BG1104" s="1"/>
    </row>
    <row r="1105" spans="15:59">
      <c r="O1105" s="1"/>
      <c r="P1105" s="1"/>
      <c r="AA1105" s="1"/>
      <c r="AB1105" s="1"/>
      <c r="AG1105" s="1"/>
      <c r="AH1105" s="1"/>
      <c r="AK1105" s="1"/>
      <c r="AL1105" s="1"/>
      <c r="AM1105" s="2"/>
      <c r="AN1105" s="2"/>
      <c r="AQ1105" s="1"/>
      <c r="BG1105" s="1"/>
    </row>
    <row r="1106" spans="15:59">
      <c r="O1106" s="1"/>
      <c r="P1106" s="1"/>
      <c r="AA1106" s="1"/>
      <c r="AB1106" s="1"/>
      <c r="AG1106" s="1"/>
      <c r="AH1106" s="1"/>
      <c r="AK1106" s="1"/>
      <c r="AL1106" s="1"/>
      <c r="AM1106" s="2"/>
      <c r="AN1106" s="2"/>
      <c r="AQ1106" s="1"/>
      <c r="BG1106" s="1"/>
    </row>
    <row r="1107" spans="15:59">
      <c r="O1107" s="1"/>
      <c r="P1107" s="1"/>
      <c r="AA1107" s="1"/>
      <c r="AB1107" s="1"/>
      <c r="AG1107" s="1"/>
      <c r="AH1107" s="1"/>
      <c r="AK1107" s="1"/>
      <c r="AL1107" s="1"/>
      <c r="AM1107" s="2"/>
      <c r="AN1107" s="2"/>
      <c r="AQ1107" s="1"/>
      <c r="BG1107" s="1"/>
    </row>
    <row r="1108" spans="15:59">
      <c r="O1108" s="1"/>
      <c r="P1108" s="1"/>
      <c r="AA1108" s="1"/>
      <c r="AB1108" s="1"/>
      <c r="AG1108" s="1"/>
      <c r="AH1108" s="1"/>
      <c r="AK1108" s="1"/>
      <c r="AL1108" s="1"/>
      <c r="AM1108" s="2"/>
      <c r="AN1108" s="2"/>
      <c r="AQ1108" s="1"/>
      <c r="BG1108" s="1"/>
    </row>
    <row r="1109" spans="15:59">
      <c r="O1109" s="1"/>
      <c r="P1109" s="1"/>
      <c r="AA1109" s="1"/>
      <c r="AB1109" s="1"/>
      <c r="AG1109" s="1"/>
      <c r="AH1109" s="1"/>
      <c r="AK1109" s="1"/>
      <c r="AL1109" s="1"/>
      <c r="AM1109" s="2"/>
      <c r="AN1109" s="2"/>
      <c r="AQ1109" s="1"/>
      <c r="BG1109" s="1"/>
    </row>
    <row r="1110" spans="15:59">
      <c r="O1110" s="1"/>
      <c r="P1110" s="1"/>
      <c r="AA1110" s="1"/>
      <c r="AB1110" s="1"/>
      <c r="AG1110" s="1"/>
      <c r="AH1110" s="1"/>
      <c r="AK1110" s="1"/>
      <c r="AL1110" s="1"/>
      <c r="AM1110" s="2"/>
      <c r="AN1110" s="2"/>
      <c r="AQ1110" s="1"/>
      <c r="BG1110" s="1"/>
    </row>
    <row r="1111" spans="15:59">
      <c r="O1111" s="1"/>
      <c r="P1111" s="1"/>
      <c r="AA1111" s="1"/>
      <c r="AB1111" s="1"/>
      <c r="AG1111" s="1"/>
      <c r="AH1111" s="1"/>
      <c r="AK1111" s="1"/>
      <c r="AL1111" s="1"/>
      <c r="AM1111" s="2"/>
      <c r="AN1111" s="2"/>
      <c r="AQ1111" s="1"/>
      <c r="BG1111" s="1"/>
    </row>
    <row r="1112" spans="15:59">
      <c r="O1112" s="1"/>
      <c r="P1112" s="1"/>
      <c r="AA1112" s="1"/>
      <c r="AB1112" s="1"/>
      <c r="AG1112" s="1"/>
      <c r="AH1112" s="1"/>
      <c r="AK1112" s="1"/>
      <c r="AL1112" s="1"/>
      <c r="AM1112" s="2"/>
      <c r="AN1112" s="2"/>
      <c r="AQ1112" s="1"/>
      <c r="BG1112" s="1"/>
    </row>
    <row r="1113" spans="15:59">
      <c r="O1113" s="1"/>
      <c r="P1113" s="1"/>
      <c r="AA1113" s="1"/>
      <c r="AB1113" s="1"/>
      <c r="AG1113" s="1"/>
      <c r="AH1113" s="1"/>
      <c r="AK1113" s="1"/>
      <c r="AL1113" s="1"/>
      <c r="AM1113" s="2"/>
      <c r="AN1113" s="2"/>
      <c r="AQ1113" s="1"/>
      <c r="BG1113" s="1"/>
    </row>
    <row r="1114" spans="15:59">
      <c r="O1114" s="1"/>
      <c r="P1114" s="1"/>
      <c r="AA1114" s="1"/>
      <c r="AB1114" s="1"/>
      <c r="AG1114" s="1"/>
      <c r="AH1114" s="1"/>
      <c r="AK1114" s="1"/>
      <c r="AL1114" s="1"/>
      <c r="AM1114" s="2"/>
      <c r="AN1114" s="2"/>
      <c r="AQ1114" s="1"/>
      <c r="BG1114" s="1"/>
    </row>
    <row r="1115" spans="15:59">
      <c r="O1115" s="1"/>
      <c r="P1115" s="1"/>
      <c r="AA1115" s="1"/>
      <c r="AB1115" s="1"/>
      <c r="AG1115" s="1"/>
      <c r="AH1115" s="1"/>
      <c r="AK1115" s="1"/>
      <c r="AL1115" s="1"/>
      <c r="AM1115" s="2"/>
      <c r="AN1115" s="2"/>
      <c r="AQ1115" s="1"/>
      <c r="BG1115" s="1"/>
    </row>
    <row r="1116" spans="15:59">
      <c r="O1116" s="1"/>
      <c r="P1116" s="1"/>
      <c r="AA1116" s="1"/>
      <c r="AB1116" s="1"/>
      <c r="AG1116" s="1"/>
      <c r="AH1116" s="1"/>
      <c r="AK1116" s="1"/>
      <c r="AL1116" s="1"/>
      <c r="AM1116" s="2"/>
      <c r="AN1116" s="2"/>
      <c r="AQ1116" s="1"/>
      <c r="BG1116" s="1"/>
    </row>
    <row r="1117" spans="15:59">
      <c r="O1117" s="1"/>
      <c r="P1117" s="1"/>
      <c r="AA1117" s="1"/>
      <c r="AB1117" s="1"/>
      <c r="AG1117" s="1"/>
      <c r="AH1117" s="1"/>
      <c r="AK1117" s="1"/>
      <c r="AL1117" s="1"/>
      <c r="AM1117" s="2"/>
      <c r="AN1117" s="2"/>
      <c r="AQ1117" s="1"/>
      <c r="BG1117" s="1"/>
    </row>
    <row r="1118" spans="15:59">
      <c r="O1118" s="1"/>
      <c r="P1118" s="1"/>
      <c r="AA1118" s="1"/>
      <c r="AB1118" s="1"/>
      <c r="AG1118" s="1"/>
      <c r="AH1118" s="1"/>
      <c r="AK1118" s="1"/>
      <c r="AL1118" s="1"/>
      <c r="AM1118" s="2"/>
      <c r="AN1118" s="2"/>
      <c r="AQ1118" s="1"/>
      <c r="BG1118" s="1"/>
    </row>
    <row r="1119" spans="15:59">
      <c r="O1119" s="1"/>
      <c r="P1119" s="1"/>
      <c r="AA1119" s="1"/>
      <c r="AB1119" s="1"/>
      <c r="AG1119" s="1"/>
      <c r="AH1119" s="1"/>
      <c r="AK1119" s="1"/>
      <c r="AL1119" s="1"/>
      <c r="AM1119" s="2"/>
      <c r="AN1119" s="2"/>
      <c r="AQ1119" s="1"/>
      <c r="BG1119" s="1"/>
    </row>
    <row r="1120" spans="15:59">
      <c r="O1120" s="1"/>
      <c r="P1120" s="1"/>
      <c r="AA1120" s="1"/>
      <c r="AB1120" s="1"/>
      <c r="AG1120" s="1"/>
      <c r="AH1120" s="1"/>
      <c r="AK1120" s="1"/>
      <c r="AL1120" s="1"/>
      <c r="AM1120" s="2"/>
      <c r="AN1120" s="2"/>
      <c r="AQ1120" s="1"/>
      <c r="BG1120" s="1"/>
    </row>
    <row r="1121" spans="15:59">
      <c r="O1121" s="1"/>
      <c r="P1121" s="1"/>
      <c r="AA1121" s="1"/>
      <c r="AB1121" s="1"/>
      <c r="AG1121" s="1"/>
      <c r="AH1121" s="1"/>
      <c r="AK1121" s="1"/>
      <c r="AL1121" s="1"/>
      <c r="AM1121" s="2"/>
      <c r="AN1121" s="2"/>
      <c r="AQ1121" s="1"/>
      <c r="BG1121" s="1"/>
    </row>
    <row r="1122" spans="15:59">
      <c r="O1122" s="1"/>
      <c r="P1122" s="1"/>
      <c r="AA1122" s="1"/>
      <c r="AB1122" s="1"/>
      <c r="AG1122" s="1"/>
      <c r="AH1122" s="1"/>
      <c r="AK1122" s="1"/>
      <c r="AL1122" s="1"/>
      <c r="AM1122" s="2"/>
      <c r="AN1122" s="2"/>
      <c r="AQ1122" s="1"/>
      <c r="BG1122" s="1"/>
    </row>
    <row r="1123" spans="15:59">
      <c r="O1123" s="1"/>
      <c r="P1123" s="1"/>
      <c r="AA1123" s="1"/>
      <c r="AB1123" s="1"/>
      <c r="AG1123" s="1"/>
      <c r="AH1123" s="1"/>
      <c r="AK1123" s="1"/>
      <c r="AL1123" s="1"/>
      <c r="AM1123" s="2"/>
      <c r="AN1123" s="2"/>
      <c r="AQ1123" s="1"/>
      <c r="BG1123" s="1"/>
    </row>
    <row r="1124" spans="15:59">
      <c r="O1124" s="1"/>
      <c r="P1124" s="1"/>
      <c r="AA1124" s="1"/>
      <c r="AB1124" s="1"/>
      <c r="AG1124" s="1"/>
      <c r="AH1124" s="1"/>
      <c r="AK1124" s="1"/>
      <c r="AL1124" s="1"/>
      <c r="AM1124" s="2"/>
      <c r="AN1124" s="2"/>
      <c r="AQ1124" s="1"/>
      <c r="BG1124" s="1"/>
    </row>
    <row r="1125" spans="15:59">
      <c r="O1125" s="1"/>
      <c r="P1125" s="1"/>
      <c r="AA1125" s="1"/>
      <c r="AB1125" s="1"/>
      <c r="AG1125" s="1"/>
      <c r="AH1125" s="1"/>
      <c r="AK1125" s="1"/>
      <c r="AL1125" s="1"/>
      <c r="AM1125" s="2"/>
      <c r="AN1125" s="2"/>
      <c r="AQ1125" s="1"/>
      <c r="BG1125" s="1"/>
    </row>
    <row r="1126" spans="15:59">
      <c r="O1126" s="1"/>
      <c r="P1126" s="1"/>
      <c r="AA1126" s="1"/>
      <c r="AB1126" s="1"/>
      <c r="AG1126" s="1"/>
      <c r="AH1126" s="1"/>
      <c r="AK1126" s="1"/>
      <c r="AL1126" s="1"/>
      <c r="AM1126" s="2"/>
      <c r="AN1126" s="2"/>
      <c r="AQ1126" s="1"/>
      <c r="BG1126" s="1"/>
    </row>
    <row r="1127" spans="15:59">
      <c r="O1127" s="1"/>
      <c r="P1127" s="1"/>
      <c r="AA1127" s="1"/>
      <c r="AB1127" s="1"/>
      <c r="AG1127" s="1"/>
      <c r="AH1127" s="1"/>
      <c r="AK1127" s="1"/>
      <c r="AL1127" s="1"/>
      <c r="AM1127" s="2"/>
      <c r="AN1127" s="2"/>
      <c r="AQ1127" s="1"/>
      <c r="BG1127" s="1"/>
    </row>
    <row r="1128" spans="15:59">
      <c r="O1128" s="1"/>
      <c r="P1128" s="1"/>
      <c r="AA1128" s="1"/>
      <c r="AB1128" s="1"/>
      <c r="AG1128" s="1"/>
      <c r="AH1128" s="1"/>
      <c r="AK1128" s="1"/>
      <c r="AL1128" s="1"/>
      <c r="AM1128" s="2"/>
      <c r="AN1128" s="2"/>
      <c r="AQ1128" s="1"/>
      <c r="BG1128" s="1"/>
    </row>
    <row r="1129" spans="15:59">
      <c r="O1129" s="1"/>
      <c r="P1129" s="1"/>
      <c r="AA1129" s="1"/>
      <c r="AB1129" s="1"/>
      <c r="AG1129" s="1"/>
      <c r="AH1129" s="1"/>
      <c r="AK1129" s="1"/>
      <c r="AL1129" s="1"/>
      <c r="AM1129" s="2"/>
      <c r="AN1129" s="2"/>
      <c r="AQ1129" s="1"/>
      <c r="BG1129" s="1"/>
    </row>
    <row r="1130" spans="15:59">
      <c r="O1130" s="1"/>
      <c r="P1130" s="1"/>
      <c r="AA1130" s="1"/>
      <c r="AB1130" s="1"/>
      <c r="AG1130" s="1"/>
      <c r="AH1130" s="1"/>
      <c r="AK1130" s="1"/>
      <c r="AL1130" s="1"/>
      <c r="AM1130" s="2"/>
      <c r="AN1130" s="2"/>
      <c r="AQ1130" s="1"/>
      <c r="BG1130" s="1"/>
    </row>
    <row r="1131" spans="15:59">
      <c r="O1131" s="1"/>
      <c r="P1131" s="1"/>
      <c r="AA1131" s="1"/>
      <c r="AB1131" s="1"/>
      <c r="AG1131" s="1"/>
      <c r="AH1131" s="1"/>
      <c r="AK1131" s="1"/>
      <c r="AL1131" s="1"/>
      <c r="AM1131" s="2"/>
      <c r="AN1131" s="2"/>
      <c r="AQ1131" s="1"/>
      <c r="BG1131" s="1"/>
    </row>
    <row r="1132" spans="15:59">
      <c r="O1132" s="1"/>
      <c r="P1132" s="1"/>
      <c r="AA1132" s="1"/>
      <c r="AB1132" s="1"/>
      <c r="AG1132" s="1"/>
      <c r="AH1132" s="1"/>
      <c r="AK1132" s="1"/>
      <c r="AL1132" s="1"/>
      <c r="AM1132" s="2"/>
      <c r="AN1132" s="2"/>
      <c r="AQ1132" s="1"/>
      <c r="BG1132" s="1"/>
    </row>
    <row r="1133" spans="15:59">
      <c r="O1133" s="1"/>
      <c r="P1133" s="1"/>
      <c r="AA1133" s="1"/>
      <c r="AB1133" s="1"/>
      <c r="AG1133" s="1"/>
      <c r="AH1133" s="1"/>
      <c r="AK1133" s="1"/>
      <c r="AL1133" s="1"/>
      <c r="AM1133" s="2"/>
      <c r="AN1133" s="2"/>
      <c r="AQ1133" s="1"/>
      <c r="BG1133" s="1"/>
    </row>
    <row r="1134" spans="15:59">
      <c r="O1134" s="1"/>
      <c r="P1134" s="1"/>
      <c r="AA1134" s="1"/>
      <c r="AB1134" s="1"/>
      <c r="AG1134" s="1"/>
      <c r="AH1134" s="1"/>
      <c r="AK1134" s="1"/>
      <c r="AL1134" s="1"/>
      <c r="AM1134" s="2"/>
      <c r="AN1134" s="2"/>
      <c r="AQ1134" s="1"/>
      <c r="BG1134" s="1"/>
    </row>
    <row r="1135" spans="15:59">
      <c r="O1135" s="1"/>
      <c r="P1135" s="1"/>
      <c r="AA1135" s="1"/>
      <c r="AB1135" s="1"/>
      <c r="AG1135" s="1"/>
      <c r="AH1135" s="1"/>
      <c r="AK1135" s="1"/>
      <c r="AL1135" s="1"/>
      <c r="AM1135" s="2"/>
      <c r="AN1135" s="2"/>
      <c r="AQ1135" s="1"/>
      <c r="BG1135" s="1"/>
    </row>
    <row r="1136" spans="15:59">
      <c r="O1136" s="1"/>
      <c r="P1136" s="1"/>
      <c r="AA1136" s="1"/>
      <c r="AB1136" s="1"/>
      <c r="AG1136" s="1"/>
      <c r="AH1136" s="1"/>
      <c r="AK1136" s="1"/>
      <c r="AL1136" s="1"/>
      <c r="AM1136" s="2"/>
      <c r="AN1136" s="2"/>
      <c r="AQ1136" s="1"/>
      <c r="BG1136" s="1"/>
    </row>
    <row r="1137" spans="15:59">
      <c r="O1137" s="1"/>
      <c r="P1137" s="1"/>
      <c r="AA1137" s="1"/>
      <c r="AB1137" s="1"/>
      <c r="AG1137" s="1"/>
      <c r="AH1137" s="1"/>
      <c r="AK1137" s="1"/>
      <c r="AL1137" s="1"/>
      <c r="AM1137" s="2"/>
      <c r="AN1137" s="2"/>
      <c r="AQ1137" s="1"/>
      <c r="BG1137" s="1"/>
    </row>
    <row r="1138" spans="15:59">
      <c r="O1138" s="1"/>
      <c r="P1138" s="1"/>
      <c r="AA1138" s="1"/>
      <c r="AB1138" s="1"/>
      <c r="AG1138" s="1"/>
      <c r="AH1138" s="1"/>
      <c r="AK1138" s="1"/>
      <c r="AL1138" s="1"/>
      <c r="AM1138" s="2"/>
      <c r="AN1138" s="2"/>
      <c r="AQ1138" s="1"/>
      <c r="BG1138" s="1"/>
    </row>
    <row r="1139" spans="15:59">
      <c r="O1139" s="1"/>
      <c r="P1139" s="1"/>
      <c r="AA1139" s="1"/>
      <c r="AB1139" s="1"/>
      <c r="AG1139" s="1"/>
      <c r="AH1139" s="1"/>
      <c r="AK1139" s="1"/>
      <c r="AL1139" s="1"/>
      <c r="AM1139" s="2"/>
      <c r="AN1139" s="2"/>
      <c r="AQ1139" s="1"/>
      <c r="BG1139" s="1"/>
    </row>
    <row r="1140" spans="15:59">
      <c r="O1140" s="1"/>
      <c r="P1140" s="1"/>
      <c r="AA1140" s="1"/>
      <c r="AB1140" s="1"/>
      <c r="AG1140" s="1"/>
      <c r="AH1140" s="1"/>
      <c r="AK1140" s="1"/>
      <c r="AL1140" s="1"/>
      <c r="AM1140" s="2"/>
      <c r="AN1140" s="2"/>
      <c r="AQ1140" s="1"/>
      <c r="BG1140" s="1"/>
    </row>
    <row r="1141" spans="15:59">
      <c r="O1141" s="1"/>
      <c r="P1141" s="1"/>
      <c r="AA1141" s="1"/>
      <c r="AB1141" s="1"/>
      <c r="AG1141" s="1"/>
      <c r="AH1141" s="1"/>
      <c r="AK1141" s="1"/>
      <c r="AL1141" s="1"/>
      <c r="AM1141" s="2"/>
      <c r="AN1141" s="2"/>
      <c r="AQ1141" s="1"/>
      <c r="BG1141" s="1"/>
    </row>
    <row r="1142" spans="15:59">
      <c r="O1142" s="1"/>
      <c r="P1142" s="1"/>
      <c r="AA1142" s="1"/>
      <c r="AB1142" s="1"/>
      <c r="AG1142" s="1"/>
      <c r="AH1142" s="1"/>
      <c r="AK1142" s="1"/>
      <c r="AL1142" s="1"/>
      <c r="AM1142" s="2"/>
      <c r="AN1142" s="2"/>
      <c r="AQ1142" s="1"/>
      <c r="BG1142" s="1"/>
    </row>
    <row r="1143" spans="15:59">
      <c r="O1143" s="1"/>
      <c r="P1143" s="1"/>
      <c r="AA1143" s="1"/>
      <c r="AB1143" s="1"/>
      <c r="AG1143" s="1"/>
      <c r="AH1143" s="1"/>
      <c r="AK1143" s="1"/>
      <c r="AL1143" s="1"/>
      <c r="AM1143" s="2"/>
      <c r="AN1143" s="2"/>
      <c r="AQ1143" s="1"/>
      <c r="BG1143" s="1"/>
    </row>
    <row r="1144" spans="15:59">
      <c r="O1144" s="1"/>
      <c r="P1144" s="1"/>
      <c r="AA1144" s="1"/>
      <c r="AB1144" s="1"/>
      <c r="AG1144" s="1"/>
      <c r="AH1144" s="1"/>
      <c r="AK1144" s="1"/>
      <c r="AL1144" s="1"/>
      <c r="AM1144" s="2"/>
      <c r="AN1144" s="2"/>
      <c r="AQ1144" s="1"/>
      <c r="BG1144" s="1"/>
    </row>
    <row r="1145" spans="15:59">
      <c r="O1145" s="1"/>
      <c r="P1145" s="1"/>
      <c r="AA1145" s="1"/>
      <c r="AB1145" s="1"/>
      <c r="AG1145" s="1"/>
      <c r="AH1145" s="1"/>
      <c r="AK1145" s="1"/>
      <c r="AL1145" s="1"/>
      <c r="AM1145" s="2"/>
      <c r="AN1145" s="2"/>
      <c r="AQ1145" s="1"/>
      <c r="BG1145" s="1"/>
    </row>
    <row r="1146" spans="15:59">
      <c r="O1146" s="1"/>
      <c r="P1146" s="1"/>
      <c r="AA1146" s="1"/>
      <c r="AB1146" s="1"/>
      <c r="AG1146" s="1"/>
      <c r="AH1146" s="1"/>
      <c r="AK1146" s="1"/>
      <c r="AL1146" s="1"/>
      <c r="AM1146" s="2"/>
      <c r="AN1146" s="2"/>
      <c r="AQ1146" s="1"/>
      <c r="BG1146" s="1"/>
    </row>
    <row r="1147" spans="15:59">
      <c r="O1147" s="1"/>
      <c r="P1147" s="1"/>
      <c r="AA1147" s="1"/>
      <c r="AB1147" s="1"/>
      <c r="AG1147" s="1"/>
      <c r="AH1147" s="1"/>
      <c r="AK1147" s="1"/>
      <c r="AL1147" s="1"/>
      <c r="AM1147" s="2"/>
      <c r="AN1147" s="2"/>
      <c r="AQ1147" s="1"/>
      <c r="BG1147" s="1"/>
    </row>
    <row r="1148" spans="15:59">
      <c r="O1148" s="1"/>
      <c r="P1148" s="1"/>
      <c r="AA1148" s="1"/>
      <c r="AB1148" s="1"/>
      <c r="AG1148" s="1"/>
      <c r="AH1148" s="1"/>
      <c r="AK1148" s="1"/>
      <c r="AL1148" s="1"/>
      <c r="AM1148" s="2"/>
      <c r="AN1148" s="2"/>
      <c r="AQ1148" s="1"/>
      <c r="BG1148" s="1"/>
    </row>
    <row r="1149" spans="15:59">
      <c r="O1149" s="1"/>
      <c r="P1149" s="1"/>
      <c r="AA1149" s="1"/>
      <c r="AB1149" s="1"/>
      <c r="AG1149" s="1"/>
      <c r="AH1149" s="1"/>
      <c r="AK1149" s="1"/>
      <c r="AL1149" s="1"/>
      <c r="AM1149" s="2"/>
      <c r="AN1149" s="2"/>
      <c r="AQ1149" s="1"/>
      <c r="BG1149" s="1"/>
    </row>
    <row r="1150" spans="15:59">
      <c r="O1150" s="1"/>
      <c r="P1150" s="1"/>
      <c r="AA1150" s="1"/>
      <c r="AB1150" s="1"/>
      <c r="AG1150" s="1"/>
      <c r="AH1150" s="1"/>
      <c r="AK1150" s="1"/>
      <c r="AL1150" s="1"/>
      <c r="AM1150" s="2"/>
      <c r="AN1150" s="2"/>
      <c r="AQ1150" s="1"/>
      <c r="BG1150" s="1"/>
    </row>
    <row r="1151" spans="15:59">
      <c r="O1151" s="1"/>
      <c r="P1151" s="1"/>
      <c r="AA1151" s="1"/>
      <c r="AB1151" s="1"/>
      <c r="AG1151" s="1"/>
      <c r="AH1151" s="1"/>
      <c r="AK1151" s="1"/>
      <c r="AL1151" s="1"/>
      <c r="AM1151" s="2"/>
      <c r="AN1151" s="2"/>
      <c r="AQ1151" s="1"/>
      <c r="BG1151" s="1"/>
    </row>
    <row r="1152" spans="15:59">
      <c r="O1152" s="1"/>
      <c r="P1152" s="1"/>
      <c r="AA1152" s="1"/>
      <c r="AB1152" s="1"/>
      <c r="AG1152" s="1"/>
      <c r="AH1152" s="1"/>
      <c r="AK1152" s="1"/>
      <c r="AL1152" s="1"/>
      <c r="AM1152" s="2"/>
      <c r="AN1152" s="2"/>
      <c r="AQ1152" s="1"/>
      <c r="BG1152" s="1"/>
    </row>
    <row r="1153" spans="15:59">
      <c r="O1153" s="1"/>
      <c r="P1153" s="1"/>
      <c r="AA1153" s="1"/>
      <c r="AB1153" s="1"/>
      <c r="AG1153" s="1"/>
      <c r="AH1153" s="1"/>
      <c r="AK1153" s="1"/>
      <c r="AL1153" s="1"/>
      <c r="AM1153" s="2"/>
      <c r="AN1153" s="2"/>
      <c r="AQ1153" s="1"/>
      <c r="BG1153" s="1"/>
    </row>
    <row r="1154" spans="15:59">
      <c r="O1154" s="1"/>
      <c r="P1154" s="1"/>
      <c r="AA1154" s="1"/>
      <c r="AB1154" s="1"/>
      <c r="AG1154" s="1"/>
      <c r="AH1154" s="1"/>
      <c r="AK1154" s="1"/>
      <c r="AL1154" s="1"/>
      <c r="AM1154" s="2"/>
      <c r="AN1154" s="2"/>
      <c r="AQ1154" s="1"/>
      <c r="BG1154" s="1"/>
    </row>
    <row r="1155" spans="15:59">
      <c r="O1155" s="1"/>
      <c r="P1155" s="1"/>
      <c r="AA1155" s="1"/>
      <c r="AB1155" s="1"/>
      <c r="AG1155" s="1"/>
      <c r="AH1155" s="1"/>
      <c r="AK1155" s="1"/>
      <c r="AL1155" s="1"/>
      <c r="AM1155" s="2"/>
      <c r="AN1155" s="2"/>
      <c r="AQ1155" s="1"/>
      <c r="BG1155" s="1"/>
    </row>
    <row r="1156" spans="15:59">
      <c r="O1156" s="1"/>
      <c r="P1156" s="1"/>
      <c r="AA1156" s="1"/>
      <c r="AB1156" s="1"/>
      <c r="AG1156" s="1"/>
      <c r="AH1156" s="1"/>
      <c r="AK1156" s="1"/>
      <c r="AL1156" s="1"/>
      <c r="AM1156" s="2"/>
      <c r="AN1156" s="2"/>
      <c r="AQ1156" s="1"/>
      <c r="BG1156" s="1"/>
    </row>
    <row r="1157" spans="15:59">
      <c r="O1157" s="1"/>
      <c r="P1157" s="1"/>
      <c r="AA1157" s="1"/>
      <c r="AB1157" s="1"/>
      <c r="AG1157" s="1"/>
      <c r="AH1157" s="1"/>
      <c r="AK1157" s="1"/>
      <c r="AL1157" s="1"/>
      <c r="AM1157" s="2"/>
      <c r="AN1157" s="2"/>
      <c r="AQ1157" s="1"/>
      <c r="BG1157" s="1"/>
    </row>
    <row r="1158" spans="15:59">
      <c r="O1158" s="1"/>
      <c r="P1158" s="1"/>
      <c r="AA1158" s="1"/>
      <c r="AB1158" s="1"/>
      <c r="AG1158" s="1"/>
      <c r="AH1158" s="1"/>
      <c r="AK1158" s="1"/>
      <c r="AL1158" s="1"/>
      <c r="AM1158" s="2"/>
      <c r="AN1158" s="2"/>
      <c r="AQ1158" s="1"/>
      <c r="BG1158" s="1"/>
    </row>
    <row r="1159" spans="15:59">
      <c r="O1159" s="1"/>
      <c r="P1159" s="1"/>
      <c r="AA1159" s="1"/>
      <c r="AB1159" s="1"/>
      <c r="AG1159" s="1"/>
      <c r="AH1159" s="1"/>
      <c r="AK1159" s="1"/>
      <c r="AL1159" s="1"/>
      <c r="AM1159" s="2"/>
      <c r="AN1159" s="2"/>
      <c r="AQ1159" s="1"/>
      <c r="BG1159" s="1"/>
    </row>
    <row r="1160" spans="15:59">
      <c r="O1160" s="1"/>
      <c r="P1160" s="1"/>
      <c r="AA1160" s="1"/>
      <c r="AB1160" s="1"/>
      <c r="AG1160" s="1"/>
      <c r="AH1160" s="1"/>
      <c r="AK1160" s="1"/>
      <c r="AL1160" s="1"/>
      <c r="AM1160" s="2"/>
      <c r="AN1160" s="2"/>
      <c r="AQ1160" s="1"/>
      <c r="BG1160" s="1"/>
    </row>
    <row r="1161" spans="15:59">
      <c r="O1161" s="1"/>
      <c r="P1161" s="1"/>
      <c r="AA1161" s="1"/>
      <c r="AB1161" s="1"/>
      <c r="AG1161" s="1"/>
      <c r="AH1161" s="1"/>
      <c r="AK1161" s="1"/>
      <c r="AL1161" s="1"/>
      <c r="AM1161" s="2"/>
      <c r="AN1161" s="2"/>
      <c r="AQ1161" s="1"/>
      <c r="BG1161" s="1"/>
    </row>
    <row r="1162" spans="15:59">
      <c r="O1162" s="1"/>
      <c r="P1162" s="1"/>
      <c r="AA1162" s="1"/>
      <c r="AB1162" s="1"/>
      <c r="AG1162" s="1"/>
      <c r="AH1162" s="1"/>
      <c r="AK1162" s="1"/>
      <c r="AL1162" s="1"/>
      <c r="AM1162" s="2"/>
      <c r="AN1162" s="2"/>
      <c r="AQ1162" s="1"/>
      <c r="BG1162" s="1"/>
    </row>
    <row r="1163" spans="15:59">
      <c r="O1163" s="1"/>
      <c r="P1163" s="1"/>
      <c r="AA1163" s="1"/>
      <c r="AB1163" s="1"/>
      <c r="AG1163" s="1"/>
      <c r="AH1163" s="1"/>
      <c r="AK1163" s="1"/>
      <c r="AL1163" s="1"/>
      <c r="AM1163" s="2"/>
      <c r="AN1163" s="2"/>
      <c r="AQ1163" s="1"/>
      <c r="BG1163" s="1"/>
    </row>
    <row r="1164" spans="15:59">
      <c r="O1164" s="1"/>
      <c r="P1164" s="1"/>
      <c r="AA1164" s="1"/>
      <c r="AB1164" s="1"/>
      <c r="AG1164" s="1"/>
      <c r="AH1164" s="1"/>
      <c r="AK1164" s="1"/>
      <c r="AL1164" s="1"/>
      <c r="AM1164" s="2"/>
      <c r="AN1164" s="2"/>
      <c r="AQ1164" s="1"/>
      <c r="BG1164" s="1"/>
    </row>
    <row r="1165" spans="15:59">
      <c r="O1165" s="1"/>
      <c r="P1165" s="1"/>
      <c r="AA1165" s="1"/>
      <c r="AB1165" s="1"/>
      <c r="AG1165" s="1"/>
      <c r="AH1165" s="1"/>
      <c r="AK1165" s="1"/>
      <c r="AL1165" s="1"/>
      <c r="AM1165" s="2"/>
      <c r="AN1165" s="2"/>
      <c r="AQ1165" s="1"/>
      <c r="BG1165" s="1"/>
    </row>
    <row r="1166" spans="15:59">
      <c r="O1166" s="1"/>
      <c r="P1166" s="1"/>
      <c r="AA1166" s="1"/>
      <c r="AB1166" s="1"/>
      <c r="AG1166" s="1"/>
      <c r="AH1166" s="1"/>
      <c r="AK1166" s="1"/>
      <c r="AL1166" s="1"/>
      <c r="AM1166" s="2"/>
      <c r="AN1166" s="2"/>
      <c r="AQ1166" s="1"/>
      <c r="BG1166" s="1"/>
    </row>
    <row r="1167" spans="15:59">
      <c r="O1167" s="1"/>
      <c r="P1167" s="1"/>
      <c r="AA1167" s="1"/>
      <c r="AB1167" s="1"/>
      <c r="AG1167" s="1"/>
      <c r="AH1167" s="1"/>
      <c r="AK1167" s="1"/>
      <c r="AL1167" s="1"/>
      <c r="AM1167" s="2"/>
      <c r="AN1167" s="2"/>
      <c r="AQ1167" s="1"/>
      <c r="BG1167" s="1"/>
    </row>
    <row r="1168" spans="15:59">
      <c r="O1168" s="1"/>
      <c r="P1168" s="1"/>
      <c r="AA1168" s="1"/>
      <c r="AB1168" s="1"/>
      <c r="AG1168" s="1"/>
      <c r="AH1168" s="1"/>
      <c r="AK1168" s="1"/>
      <c r="AL1168" s="1"/>
      <c r="AM1168" s="2"/>
      <c r="AN1168" s="2"/>
      <c r="AQ1168" s="1"/>
      <c r="BG1168" s="1"/>
    </row>
    <row r="1169" spans="15:59">
      <c r="O1169" s="1"/>
      <c r="P1169" s="1"/>
      <c r="AA1169" s="1"/>
      <c r="AB1169" s="1"/>
      <c r="AG1169" s="1"/>
      <c r="AH1169" s="1"/>
      <c r="AK1169" s="1"/>
      <c r="AL1169" s="1"/>
      <c r="AM1169" s="2"/>
      <c r="AN1169" s="2"/>
      <c r="AQ1169" s="1"/>
      <c r="BG1169" s="1"/>
    </row>
    <row r="1170" spans="15:59">
      <c r="O1170" s="1"/>
      <c r="P1170" s="1"/>
      <c r="AA1170" s="1"/>
      <c r="AB1170" s="1"/>
      <c r="AG1170" s="1"/>
      <c r="AH1170" s="1"/>
      <c r="AK1170" s="1"/>
      <c r="AL1170" s="1"/>
      <c r="AM1170" s="2"/>
      <c r="AN1170" s="2"/>
      <c r="AQ1170" s="1"/>
      <c r="BG1170" s="1"/>
    </row>
    <row r="1171" spans="15:59">
      <c r="O1171" s="1"/>
      <c r="P1171" s="1"/>
      <c r="AA1171" s="1"/>
      <c r="AB1171" s="1"/>
      <c r="AG1171" s="1"/>
      <c r="AH1171" s="1"/>
      <c r="AK1171" s="1"/>
      <c r="AL1171" s="1"/>
      <c r="AM1171" s="2"/>
      <c r="AN1171" s="2"/>
      <c r="AQ1171" s="1"/>
      <c r="BG1171" s="1"/>
    </row>
    <row r="1172" spans="15:59">
      <c r="O1172" s="1"/>
      <c r="P1172" s="1"/>
      <c r="AA1172" s="1"/>
      <c r="AB1172" s="1"/>
      <c r="AG1172" s="1"/>
      <c r="AH1172" s="1"/>
      <c r="AK1172" s="1"/>
      <c r="AL1172" s="1"/>
      <c r="AM1172" s="2"/>
      <c r="AN1172" s="2"/>
      <c r="AQ1172" s="1"/>
      <c r="BG1172" s="1"/>
    </row>
    <row r="1173" spans="15:59">
      <c r="O1173" s="1"/>
      <c r="P1173" s="1"/>
      <c r="AA1173" s="1"/>
      <c r="AB1173" s="1"/>
      <c r="AG1173" s="1"/>
      <c r="AH1173" s="1"/>
      <c r="AK1173" s="1"/>
      <c r="AL1173" s="1"/>
      <c r="AM1173" s="2"/>
      <c r="AN1173" s="2"/>
      <c r="AQ1173" s="1"/>
      <c r="BG1173" s="1"/>
    </row>
    <row r="1174" spans="15:59">
      <c r="O1174" s="1"/>
      <c r="P1174" s="1"/>
      <c r="AA1174" s="1"/>
      <c r="AB1174" s="1"/>
      <c r="AG1174" s="1"/>
      <c r="AH1174" s="1"/>
      <c r="AK1174" s="1"/>
      <c r="AL1174" s="1"/>
      <c r="AM1174" s="2"/>
      <c r="AN1174" s="2"/>
      <c r="AQ1174" s="1"/>
      <c r="BG1174" s="1"/>
    </row>
    <row r="1175" spans="15:59">
      <c r="O1175" s="1"/>
      <c r="P1175" s="1"/>
      <c r="AA1175" s="1"/>
      <c r="AB1175" s="1"/>
      <c r="AG1175" s="1"/>
      <c r="AH1175" s="1"/>
      <c r="AK1175" s="1"/>
      <c r="AL1175" s="1"/>
      <c r="AM1175" s="2"/>
      <c r="AN1175" s="2"/>
      <c r="AQ1175" s="1"/>
      <c r="BG1175" s="1"/>
    </row>
    <row r="1176" spans="15:59">
      <c r="O1176" s="1"/>
      <c r="P1176" s="1"/>
      <c r="AA1176" s="1"/>
      <c r="AB1176" s="1"/>
      <c r="AG1176" s="1"/>
      <c r="AH1176" s="1"/>
      <c r="AK1176" s="1"/>
      <c r="AL1176" s="1"/>
      <c r="AM1176" s="2"/>
      <c r="AN1176" s="2"/>
      <c r="AQ1176" s="1"/>
      <c r="BG1176" s="1"/>
    </row>
    <row r="1177" spans="15:59">
      <c r="O1177" s="1"/>
      <c r="P1177" s="1"/>
      <c r="AA1177" s="1"/>
      <c r="AB1177" s="1"/>
      <c r="AG1177" s="1"/>
      <c r="AH1177" s="1"/>
      <c r="AK1177" s="1"/>
      <c r="AL1177" s="1"/>
      <c r="AM1177" s="2"/>
      <c r="AN1177" s="2"/>
      <c r="AQ1177" s="1"/>
      <c r="BG1177" s="1"/>
    </row>
    <row r="1178" spans="15:59">
      <c r="O1178" s="1"/>
      <c r="P1178" s="1"/>
      <c r="AA1178" s="1"/>
      <c r="AB1178" s="1"/>
      <c r="AG1178" s="1"/>
      <c r="AH1178" s="1"/>
      <c r="AK1178" s="1"/>
      <c r="AL1178" s="1"/>
      <c r="AM1178" s="2"/>
      <c r="AN1178" s="2"/>
      <c r="AQ1178" s="1"/>
      <c r="BG1178" s="1"/>
    </row>
    <row r="1179" spans="15:59">
      <c r="O1179" s="1"/>
      <c r="P1179" s="1"/>
      <c r="AA1179" s="1"/>
      <c r="AB1179" s="1"/>
      <c r="AG1179" s="1"/>
      <c r="AH1179" s="1"/>
      <c r="AK1179" s="1"/>
      <c r="AL1179" s="1"/>
      <c r="AM1179" s="2"/>
      <c r="AN1179" s="2"/>
      <c r="AQ1179" s="1"/>
      <c r="BG1179" s="1"/>
    </row>
    <row r="1180" spans="15:59">
      <c r="O1180" s="1"/>
      <c r="P1180" s="1"/>
      <c r="AA1180" s="1"/>
      <c r="AB1180" s="1"/>
      <c r="AG1180" s="1"/>
      <c r="AH1180" s="1"/>
      <c r="AK1180" s="1"/>
      <c r="AL1180" s="1"/>
      <c r="AM1180" s="2"/>
      <c r="AN1180" s="2"/>
      <c r="AQ1180" s="1"/>
      <c r="BG1180" s="1"/>
    </row>
    <row r="1181" spans="15:59">
      <c r="O1181" s="1"/>
      <c r="P1181" s="1"/>
      <c r="AA1181" s="1"/>
      <c r="AB1181" s="1"/>
      <c r="AG1181" s="1"/>
      <c r="AH1181" s="1"/>
      <c r="AK1181" s="1"/>
      <c r="AL1181" s="1"/>
      <c r="AM1181" s="2"/>
      <c r="AN1181" s="2"/>
      <c r="AQ1181" s="1"/>
      <c r="BG1181" s="1"/>
    </row>
    <row r="1182" spans="15:59">
      <c r="O1182" s="1"/>
      <c r="P1182" s="1"/>
      <c r="AA1182" s="1"/>
      <c r="AB1182" s="1"/>
      <c r="AG1182" s="1"/>
      <c r="AH1182" s="1"/>
      <c r="AK1182" s="1"/>
      <c r="AL1182" s="1"/>
      <c r="AM1182" s="2"/>
      <c r="AN1182" s="2"/>
      <c r="AQ1182" s="1"/>
      <c r="BG1182" s="1"/>
    </row>
    <row r="1183" spans="15:59">
      <c r="O1183" s="1"/>
      <c r="P1183" s="1"/>
      <c r="AA1183" s="1"/>
      <c r="AB1183" s="1"/>
      <c r="AG1183" s="1"/>
      <c r="AH1183" s="1"/>
      <c r="AK1183" s="1"/>
      <c r="AL1183" s="1"/>
      <c r="AM1183" s="2"/>
      <c r="AN1183" s="2"/>
      <c r="AQ1183" s="1"/>
      <c r="BG1183" s="1"/>
    </row>
    <row r="1184" spans="15:59">
      <c r="O1184" s="1"/>
      <c r="P1184" s="1"/>
      <c r="AA1184" s="1"/>
      <c r="AB1184" s="1"/>
      <c r="AG1184" s="1"/>
      <c r="AH1184" s="1"/>
      <c r="AK1184" s="1"/>
      <c r="AL1184" s="1"/>
      <c r="AM1184" s="2"/>
      <c r="AN1184" s="2"/>
      <c r="AQ1184" s="1"/>
      <c r="BG1184" s="1"/>
    </row>
    <row r="1185" spans="15:59">
      <c r="O1185" s="1"/>
      <c r="P1185" s="1"/>
      <c r="AA1185" s="1"/>
      <c r="AB1185" s="1"/>
      <c r="AG1185" s="1"/>
      <c r="AH1185" s="1"/>
      <c r="AK1185" s="1"/>
      <c r="AL1185" s="1"/>
      <c r="AM1185" s="2"/>
      <c r="AN1185" s="2"/>
      <c r="AQ1185" s="1"/>
      <c r="BG1185" s="1"/>
    </row>
    <row r="1186" spans="15:59">
      <c r="O1186" s="1"/>
      <c r="P1186" s="1"/>
      <c r="AA1186" s="1"/>
      <c r="AB1186" s="1"/>
      <c r="AG1186" s="1"/>
      <c r="AH1186" s="1"/>
      <c r="AK1186" s="1"/>
      <c r="AL1186" s="1"/>
      <c r="AM1186" s="2"/>
      <c r="AN1186" s="2"/>
      <c r="AQ1186" s="1"/>
      <c r="BG1186" s="1"/>
    </row>
    <row r="1187" spans="15:59">
      <c r="O1187" s="1"/>
      <c r="P1187" s="1"/>
      <c r="AA1187" s="1"/>
      <c r="AB1187" s="1"/>
      <c r="AG1187" s="1"/>
      <c r="AH1187" s="1"/>
      <c r="AK1187" s="1"/>
      <c r="AL1187" s="1"/>
      <c r="AM1187" s="2"/>
      <c r="AN1187" s="2"/>
      <c r="AQ1187" s="1"/>
      <c r="BG1187" s="1"/>
    </row>
    <row r="1188" spans="15:59">
      <c r="O1188" s="1"/>
      <c r="P1188" s="1"/>
      <c r="AA1188" s="1"/>
      <c r="AB1188" s="1"/>
      <c r="AG1188" s="1"/>
      <c r="AH1188" s="1"/>
      <c r="AK1188" s="1"/>
      <c r="AL1188" s="1"/>
      <c r="AM1188" s="2"/>
      <c r="AN1188" s="2"/>
      <c r="AQ1188" s="1"/>
      <c r="BG1188" s="1"/>
    </row>
    <row r="1189" spans="15:59">
      <c r="O1189" s="1"/>
      <c r="P1189" s="1"/>
      <c r="AA1189" s="1"/>
      <c r="AB1189" s="1"/>
      <c r="AG1189" s="1"/>
      <c r="AH1189" s="1"/>
      <c r="AK1189" s="1"/>
      <c r="AL1189" s="1"/>
      <c r="AM1189" s="2"/>
      <c r="AN1189" s="2"/>
      <c r="AQ1189" s="1"/>
      <c r="BG1189" s="1"/>
    </row>
    <row r="1190" spans="15:59">
      <c r="O1190" s="1"/>
      <c r="P1190" s="1"/>
      <c r="AA1190" s="1"/>
      <c r="AB1190" s="1"/>
      <c r="AG1190" s="1"/>
      <c r="AH1190" s="1"/>
      <c r="AK1190" s="1"/>
      <c r="AL1190" s="1"/>
      <c r="AM1190" s="2"/>
      <c r="AN1190" s="2"/>
      <c r="AQ1190" s="1"/>
      <c r="BG1190" s="1"/>
    </row>
    <row r="1191" spans="15:59">
      <c r="O1191" s="1"/>
      <c r="P1191" s="1"/>
      <c r="AA1191" s="1"/>
      <c r="AB1191" s="1"/>
      <c r="AG1191" s="1"/>
      <c r="AH1191" s="1"/>
      <c r="AK1191" s="1"/>
      <c r="AL1191" s="1"/>
      <c r="AM1191" s="2"/>
      <c r="AN1191" s="2"/>
      <c r="AQ1191" s="1"/>
      <c r="BG1191" s="1"/>
    </row>
    <row r="1192" spans="15:59">
      <c r="O1192" s="1"/>
      <c r="P1192" s="1"/>
      <c r="AA1192" s="1"/>
      <c r="AB1192" s="1"/>
      <c r="AG1192" s="1"/>
      <c r="AH1192" s="1"/>
      <c r="AK1192" s="1"/>
      <c r="AL1192" s="1"/>
      <c r="AM1192" s="2"/>
      <c r="AN1192" s="2"/>
      <c r="AQ1192" s="1"/>
      <c r="BG1192" s="1"/>
    </row>
    <row r="1193" spans="15:59">
      <c r="O1193" s="1"/>
      <c r="P1193" s="1"/>
      <c r="AA1193" s="1"/>
      <c r="AB1193" s="1"/>
      <c r="AG1193" s="1"/>
      <c r="AH1193" s="1"/>
      <c r="AK1193" s="1"/>
      <c r="AL1193" s="1"/>
      <c r="AM1193" s="2"/>
      <c r="AN1193" s="2"/>
      <c r="AQ1193" s="1"/>
      <c r="BG1193" s="1"/>
    </row>
    <row r="1194" spans="15:59">
      <c r="O1194" s="1"/>
      <c r="P1194" s="1"/>
      <c r="AA1194" s="1"/>
      <c r="AB1194" s="1"/>
      <c r="AG1194" s="1"/>
      <c r="AH1194" s="1"/>
      <c r="AK1194" s="1"/>
      <c r="AL1194" s="1"/>
      <c r="AM1194" s="2"/>
      <c r="AN1194" s="2"/>
      <c r="AQ1194" s="1"/>
      <c r="BG1194" s="1"/>
    </row>
    <row r="1195" spans="15:59">
      <c r="O1195" s="1"/>
      <c r="P1195" s="1"/>
      <c r="AA1195" s="1"/>
      <c r="AB1195" s="1"/>
      <c r="AG1195" s="1"/>
      <c r="AH1195" s="1"/>
      <c r="AK1195" s="1"/>
      <c r="AL1195" s="1"/>
      <c r="AM1195" s="2"/>
      <c r="AN1195" s="2"/>
      <c r="AQ1195" s="1"/>
      <c r="BG1195" s="1"/>
    </row>
    <row r="1196" spans="15:59">
      <c r="O1196" s="1"/>
      <c r="P1196" s="1"/>
      <c r="AA1196" s="1"/>
      <c r="AB1196" s="1"/>
      <c r="AG1196" s="1"/>
      <c r="AH1196" s="1"/>
      <c r="AK1196" s="1"/>
      <c r="AL1196" s="1"/>
      <c r="AM1196" s="2"/>
      <c r="AN1196" s="2"/>
      <c r="AQ1196" s="1"/>
      <c r="BG1196" s="1"/>
    </row>
    <row r="1197" spans="15:59">
      <c r="O1197" s="1"/>
      <c r="P1197" s="1"/>
      <c r="AA1197" s="1"/>
      <c r="AB1197" s="1"/>
      <c r="AG1197" s="1"/>
      <c r="AH1197" s="1"/>
      <c r="AK1197" s="1"/>
      <c r="AL1197" s="1"/>
      <c r="AM1197" s="2"/>
      <c r="AN1197" s="2"/>
      <c r="AQ1197" s="1"/>
      <c r="BG1197" s="1"/>
    </row>
    <row r="1198" spans="15:59">
      <c r="O1198" s="1"/>
      <c r="P1198" s="1"/>
      <c r="AA1198" s="1"/>
      <c r="AB1198" s="1"/>
      <c r="AG1198" s="1"/>
      <c r="AH1198" s="1"/>
      <c r="AK1198" s="1"/>
      <c r="AL1198" s="1"/>
      <c r="AM1198" s="2"/>
      <c r="AN1198" s="2"/>
      <c r="AQ1198" s="1"/>
      <c r="BG1198" s="1"/>
    </row>
    <row r="1199" spans="15:59">
      <c r="O1199" s="1"/>
      <c r="P1199" s="1"/>
      <c r="AA1199" s="1"/>
      <c r="AB1199" s="1"/>
      <c r="AG1199" s="1"/>
      <c r="AH1199" s="1"/>
      <c r="AK1199" s="1"/>
      <c r="AL1199" s="1"/>
      <c r="AM1199" s="2"/>
      <c r="AN1199" s="2"/>
      <c r="AQ1199" s="1"/>
      <c r="BG1199" s="1"/>
    </row>
    <row r="1200" spans="15:59">
      <c r="O1200" s="1"/>
      <c r="P1200" s="1"/>
      <c r="AA1200" s="1"/>
      <c r="AB1200" s="1"/>
      <c r="AG1200" s="1"/>
      <c r="AH1200" s="1"/>
      <c r="AK1200" s="1"/>
      <c r="AL1200" s="1"/>
      <c r="AM1200" s="2"/>
      <c r="AN1200" s="2"/>
      <c r="AQ1200" s="1"/>
      <c r="BG1200" s="1"/>
    </row>
    <row r="1201" spans="15:59">
      <c r="O1201" s="1"/>
      <c r="P1201" s="1"/>
      <c r="AA1201" s="1"/>
      <c r="AB1201" s="1"/>
      <c r="AG1201" s="1"/>
      <c r="AH1201" s="1"/>
      <c r="AK1201" s="1"/>
      <c r="AL1201" s="1"/>
      <c r="AM1201" s="2"/>
      <c r="AN1201" s="2"/>
      <c r="AQ1201" s="1"/>
      <c r="BG1201" s="1"/>
    </row>
    <row r="1202" spans="15:59">
      <c r="O1202" s="1"/>
      <c r="P1202" s="1"/>
      <c r="AA1202" s="1"/>
      <c r="AB1202" s="1"/>
      <c r="AG1202" s="1"/>
      <c r="AH1202" s="1"/>
      <c r="AK1202" s="1"/>
      <c r="AL1202" s="1"/>
      <c r="AM1202" s="2"/>
      <c r="AN1202" s="2"/>
      <c r="AQ1202" s="1"/>
      <c r="BG1202" s="1"/>
    </row>
    <row r="1203" spans="15:59">
      <c r="O1203" s="1"/>
      <c r="P1203" s="1"/>
      <c r="AA1203" s="1"/>
      <c r="AB1203" s="1"/>
      <c r="AG1203" s="1"/>
      <c r="AH1203" s="1"/>
      <c r="AK1203" s="1"/>
      <c r="AL1203" s="1"/>
      <c r="AM1203" s="2"/>
      <c r="AN1203" s="2"/>
      <c r="AQ1203" s="1"/>
      <c r="BG1203" s="1"/>
    </row>
    <row r="1204" spans="15:59">
      <c r="O1204" s="1"/>
      <c r="P1204" s="1"/>
      <c r="AA1204" s="1"/>
      <c r="AB1204" s="1"/>
      <c r="AG1204" s="1"/>
      <c r="AH1204" s="1"/>
      <c r="AK1204" s="1"/>
      <c r="AL1204" s="1"/>
      <c r="AM1204" s="2"/>
      <c r="AN1204" s="2"/>
      <c r="AQ1204" s="1"/>
      <c r="BG1204" s="1"/>
    </row>
    <row r="1205" spans="15:59">
      <c r="O1205" s="1"/>
      <c r="P1205" s="1"/>
      <c r="AA1205" s="1"/>
      <c r="AB1205" s="1"/>
      <c r="AG1205" s="1"/>
      <c r="AH1205" s="1"/>
      <c r="AK1205" s="1"/>
      <c r="AL1205" s="1"/>
      <c r="AM1205" s="2"/>
      <c r="AN1205" s="2"/>
      <c r="AQ1205" s="1"/>
      <c r="BG1205" s="1"/>
    </row>
    <row r="1206" spans="15:59">
      <c r="O1206" s="1"/>
      <c r="P1206" s="1"/>
      <c r="AA1206" s="1"/>
      <c r="AB1206" s="1"/>
      <c r="AG1206" s="1"/>
      <c r="AH1206" s="1"/>
      <c r="AK1206" s="1"/>
      <c r="AL1206" s="1"/>
      <c r="AM1206" s="2"/>
      <c r="AN1206" s="2"/>
      <c r="AQ1206" s="1"/>
      <c r="BG1206" s="1"/>
    </row>
    <row r="1207" spans="15:59">
      <c r="O1207" s="1"/>
      <c r="P1207" s="1"/>
      <c r="AA1207" s="1"/>
      <c r="AB1207" s="1"/>
      <c r="AG1207" s="1"/>
      <c r="AH1207" s="1"/>
      <c r="AK1207" s="1"/>
      <c r="AL1207" s="1"/>
      <c r="AM1207" s="2"/>
      <c r="AN1207" s="2"/>
      <c r="AQ1207" s="1"/>
      <c r="BG1207" s="1"/>
    </row>
    <row r="1208" spans="15:59">
      <c r="O1208" s="1"/>
      <c r="P1208" s="1"/>
      <c r="AA1208" s="1"/>
      <c r="AB1208" s="1"/>
      <c r="AG1208" s="1"/>
      <c r="AH1208" s="1"/>
      <c r="AK1208" s="1"/>
      <c r="AL1208" s="1"/>
      <c r="AM1208" s="2"/>
      <c r="AN1208" s="2"/>
      <c r="AQ1208" s="1"/>
      <c r="BG1208" s="1"/>
    </row>
    <row r="1209" spans="15:59">
      <c r="O1209" s="1"/>
      <c r="P1209" s="1"/>
      <c r="AA1209" s="1"/>
      <c r="AB1209" s="1"/>
      <c r="AG1209" s="1"/>
      <c r="AH1209" s="1"/>
      <c r="AK1209" s="1"/>
      <c r="AL1209" s="1"/>
      <c r="AM1209" s="2"/>
      <c r="AN1209" s="2"/>
      <c r="AQ1209" s="1"/>
      <c r="BG1209" s="1"/>
    </row>
    <row r="1210" spans="15:59">
      <c r="O1210" s="1"/>
      <c r="P1210" s="1"/>
      <c r="AA1210" s="1"/>
      <c r="AB1210" s="1"/>
      <c r="AG1210" s="1"/>
      <c r="AH1210" s="1"/>
      <c r="AK1210" s="1"/>
      <c r="AL1210" s="1"/>
      <c r="AM1210" s="2"/>
      <c r="AN1210" s="2"/>
      <c r="AQ1210" s="1"/>
      <c r="BG1210" s="1"/>
    </row>
    <row r="1211" spans="15:59">
      <c r="O1211" s="1"/>
      <c r="P1211" s="1"/>
      <c r="AA1211" s="1"/>
      <c r="AB1211" s="1"/>
      <c r="AG1211" s="1"/>
      <c r="AH1211" s="1"/>
      <c r="AK1211" s="1"/>
      <c r="AL1211" s="1"/>
      <c r="AM1211" s="2"/>
      <c r="AN1211" s="2"/>
      <c r="AQ1211" s="1"/>
      <c r="BG1211" s="1"/>
    </row>
    <row r="1212" spans="15:59">
      <c r="O1212" s="1"/>
      <c r="P1212" s="1"/>
      <c r="AA1212" s="1"/>
      <c r="AB1212" s="1"/>
      <c r="AG1212" s="1"/>
      <c r="AH1212" s="1"/>
      <c r="AK1212" s="1"/>
      <c r="AL1212" s="1"/>
      <c r="AM1212" s="2"/>
      <c r="AN1212" s="2"/>
      <c r="AQ1212" s="1"/>
      <c r="BG1212" s="1"/>
    </row>
    <row r="1213" spans="15:59">
      <c r="O1213" s="1"/>
      <c r="P1213" s="1"/>
      <c r="AA1213" s="1"/>
      <c r="AB1213" s="1"/>
      <c r="AG1213" s="1"/>
      <c r="AH1213" s="1"/>
      <c r="AK1213" s="1"/>
      <c r="AL1213" s="1"/>
      <c r="AM1213" s="2"/>
      <c r="AN1213" s="2"/>
      <c r="AQ1213" s="1"/>
      <c r="BG1213" s="1"/>
    </row>
    <row r="1214" spans="15:59">
      <c r="O1214" s="1"/>
      <c r="P1214" s="1"/>
      <c r="AA1214" s="1"/>
      <c r="AB1214" s="1"/>
      <c r="AG1214" s="1"/>
      <c r="AH1214" s="1"/>
      <c r="AK1214" s="1"/>
      <c r="AL1214" s="1"/>
      <c r="AM1214" s="2"/>
      <c r="AN1214" s="2"/>
      <c r="AQ1214" s="1"/>
      <c r="BG1214" s="1"/>
    </row>
    <row r="1215" spans="15:59">
      <c r="O1215" s="1"/>
      <c r="P1215" s="1"/>
      <c r="AA1215" s="1"/>
      <c r="AB1215" s="1"/>
      <c r="AG1215" s="1"/>
      <c r="AH1215" s="1"/>
      <c r="AK1215" s="1"/>
      <c r="AL1215" s="1"/>
      <c r="AM1215" s="2"/>
      <c r="AN1215" s="2"/>
      <c r="AQ1215" s="1"/>
      <c r="BG1215" s="1"/>
    </row>
    <row r="1216" spans="15:59">
      <c r="O1216" s="1"/>
      <c r="P1216" s="1"/>
      <c r="AA1216" s="1"/>
      <c r="AB1216" s="1"/>
      <c r="AG1216" s="1"/>
      <c r="AH1216" s="1"/>
      <c r="AK1216" s="1"/>
      <c r="AL1216" s="1"/>
      <c r="AM1216" s="2"/>
      <c r="AN1216" s="2"/>
      <c r="AQ1216" s="1"/>
      <c r="BG1216" s="1"/>
    </row>
    <row r="1217" spans="15:59">
      <c r="O1217" s="1"/>
      <c r="P1217" s="1"/>
      <c r="AA1217" s="1"/>
      <c r="AB1217" s="1"/>
      <c r="AG1217" s="1"/>
      <c r="AH1217" s="1"/>
      <c r="AK1217" s="1"/>
      <c r="AL1217" s="1"/>
      <c r="AM1217" s="2"/>
      <c r="AN1217" s="2"/>
      <c r="AQ1217" s="1"/>
      <c r="BG1217" s="1"/>
    </row>
    <row r="1218" spans="15:59">
      <c r="O1218" s="1"/>
      <c r="P1218" s="1"/>
      <c r="AA1218" s="1"/>
      <c r="AB1218" s="1"/>
      <c r="AG1218" s="1"/>
      <c r="AH1218" s="1"/>
      <c r="AK1218" s="1"/>
      <c r="AL1218" s="1"/>
      <c r="AM1218" s="2"/>
      <c r="AN1218" s="2"/>
      <c r="AQ1218" s="1"/>
      <c r="BG1218" s="1"/>
    </row>
    <row r="1219" spans="15:59">
      <c r="O1219" s="1"/>
      <c r="P1219" s="1"/>
      <c r="AA1219" s="1"/>
      <c r="AB1219" s="1"/>
      <c r="AG1219" s="1"/>
      <c r="AH1219" s="1"/>
      <c r="AK1219" s="1"/>
      <c r="AL1219" s="1"/>
      <c r="AM1219" s="2"/>
      <c r="AN1219" s="2"/>
      <c r="AQ1219" s="1"/>
      <c r="BG1219" s="1"/>
    </row>
    <row r="1220" spans="15:59">
      <c r="O1220" s="1"/>
      <c r="P1220" s="1"/>
      <c r="AA1220" s="1"/>
      <c r="AB1220" s="1"/>
      <c r="AG1220" s="1"/>
      <c r="AH1220" s="1"/>
      <c r="AK1220" s="1"/>
      <c r="AL1220" s="1"/>
      <c r="AM1220" s="2"/>
      <c r="AN1220" s="2"/>
      <c r="AQ1220" s="1"/>
      <c r="BG1220" s="1"/>
    </row>
    <row r="1221" spans="15:59">
      <c r="O1221" s="1"/>
      <c r="P1221" s="1"/>
      <c r="AA1221" s="1"/>
      <c r="AB1221" s="1"/>
      <c r="AG1221" s="1"/>
      <c r="AH1221" s="1"/>
      <c r="AK1221" s="1"/>
      <c r="AL1221" s="1"/>
      <c r="AM1221" s="2"/>
      <c r="AN1221" s="2"/>
      <c r="AQ1221" s="1"/>
      <c r="BG1221" s="1"/>
    </row>
    <row r="1222" spans="15:59">
      <c r="O1222" s="1"/>
      <c r="P1222" s="1"/>
      <c r="AA1222" s="1"/>
      <c r="AB1222" s="1"/>
      <c r="AG1222" s="1"/>
      <c r="AH1222" s="1"/>
      <c r="AK1222" s="1"/>
      <c r="AL1222" s="1"/>
      <c r="AM1222" s="2"/>
      <c r="AN1222" s="2"/>
      <c r="AQ1222" s="1"/>
      <c r="BG1222" s="1"/>
    </row>
    <row r="1223" spans="15:59">
      <c r="O1223" s="1"/>
      <c r="P1223" s="1"/>
      <c r="AA1223" s="1"/>
      <c r="AB1223" s="1"/>
      <c r="AG1223" s="1"/>
      <c r="AH1223" s="1"/>
      <c r="AK1223" s="1"/>
      <c r="AL1223" s="1"/>
      <c r="AM1223" s="2"/>
      <c r="AN1223" s="2"/>
      <c r="AQ1223" s="1"/>
      <c r="BG1223" s="1"/>
    </row>
    <row r="1224" spans="15:59">
      <c r="O1224" s="1"/>
      <c r="P1224" s="1"/>
      <c r="AA1224" s="1"/>
      <c r="AB1224" s="1"/>
      <c r="AG1224" s="1"/>
      <c r="AH1224" s="1"/>
      <c r="AK1224" s="1"/>
      <c r="AL1224" s="1"/>
      <c r="AM1224" s="2"/>
      <c r="AN1224" s="2"/>
      <c r="AQ1224" s="1"/>
      <c r="BG1224" s="1"/>
    </row>
    <row r="1225" spans="15:59">
      <c r="O1225" s="1"/>
      <c r="P1225" s="1"/>
      <c r="AA1225" s="1"/>
      <c r="AB1225" s="1"/>
      <c r="AG1225" s="1"/>
      <c r="AH1225" s="1"/>
      <c r="AK1225" s="1"/>
      <c r="AL1225" s="1"/>
      <c r="AM1225" s="2"/>
      <c r="AN1225" s="2"/>
      <c r="AQ1225" s="1"/>
      <c r="BG1225" s="1"/>
    </row>
    <row r="1226" spans="15:59">
      <c r="O1226" s="1"/>
      <c r="P1226" s="1"/>
      <c r="AA1226" s="1"/>
      <c r="AB1226" s="1"/>
      <c r="AG1226" s="1"/>
      <c r="AH1226" s="1"/>
      <c r="AK1226" s="1"/>
      <c r="AL1226" s="1"/>
      <c r="AM1226" s="2"/>
      <c r="AN1226" s="2"/>
      <c r="AQ1226" s="1"/>
      <c r="BG1226" s="1"/>
    </row>
    <row r="1227" spans="15:59">
      <c r="O1227" s="1"/>
      <c r="P1227" s="1"/>
      <c r="AA1227" s="1"/>
      <c r="AB1227" s="1"/>
      <c r="AG1227" s="1"/>
      <c r="AH1227" s="1"/>
      <c r="AK1227" s="1"/>
      <c r="AL1227" s="1"/>
      <c r="AM1227" s="2"/>
      <c r="AN1227" s="2"/>
      <c r="AQ1227" s="1"/>
      <c r="BG1227" s="1"/>
    </row>
    <row r="1228" spans="15:59">
      <c r="O1228" s="1"/>
      <c r="P1228" s="1"/>
      <c r="AA1228" s="1"/>
      <c r="AB1228" s="1"/>
      <c r="AG1228" s="1"/>
      <c r="AH1228" s="1"/>
      <c r="AK1228" s="1"/>
      <c r="AL1228" s="1"/>
      <c r="AM1228" s="2"/>
      <c r="AN1228" s="2"/>
      <c r="AQ1228" s="1"/>
      <c r="BG1228" s="1"/>
    </row>
    <row r="1229" spans="15:59">
      <c r="O1229" s="1"/>
      <c r="P1229" s="1"/>
      <c r="AA1229" s="1"/>
      <c r="AB1229" s="1"/>
      <c r="AG1229" s="1"/>
      <c r="AH1229" s="1"/>
      <c r="AK1229" s="1"/>
      <c r="AL1229" s="1"/>
      <c r="AM1229" s="2"/>
      <c r="AN1229" s="2"/>
      <c r="AQ1229" s="1"/>
      <c r="BG1229" s="1"/>
    </row>
    <row r="1230" spans="15:59">
      <c r="O1230" s="1"/>
      <c r="P1230" s="1"/>
      <c r="AA1230" s="1"/>
      <c r="AB1230" s="1"/>
      <c r="AG1230" s="1"/>
      <c r="AH1230" s="1"/>
      <c r="AK1230" s="1"/>
      <c r="AL1230" s="1"/>
      <c r="AM1230" s="2"/>
      <c r="AN1230" s="2"/>
      <c r="AQ1230" s="1"/>
      <c r="BG1230" s="1"/>
    </row>
    <row r="1231" spans="15:59">
      <c r="O1231" s="1"/>
      <c r="P1231" s="1"/>
      <c r="AA1231" s="1"/>
      <c r="AB1231" s="1"/>
      <c r="AG1231" s="1"/>
      <c r="AH1231" s="1"/>
      <c r="AK1231" s="1"/>
      <c r="AL1231" s="1"/>
      <c r="AM1231" s="2"/>
      <c r="AN1231" s="2"/>
      <c r="AQ1231" s="1"/>
      <c r="BG1231" s="1"/>
    </row>
    <row r="1232" spans="15:59">
      <c r="O1232" s="1"/>
      <c r="P1232" s="1"/>
      <c r="AA1232" s="1"/>
      <c r="AB1232" s="1"/>
      <c r="AG1232" s="1"/>
      <c r="AH1232" s="1"/>
      <c r="AK1232" s="1"/>
      <c r="AL1232" s="1"/>
      <c r="AM1232" s="2"/>
      <c r="AN1232" s="2"/>
      <c r="AQ1232" s="1"/>
      <c r="BG1232" s="1"/>
    </row>
    <row r="1233" spans="15:59">
      <c r="O1233" s="1"/>
      <c r="P1233" s="1"/>
      <c r="AA1233" s="1"/>
      <c r="AB1233" s="1"/>
      <c r="AG1233" s="1"/>
      <c r="AH1233" s="1"/>
      <c r="AK1233" s="1"/>
      <c r="AL1233" s="1"/>
      <c r="AM1233" s="2"/>
      <c r="AN1233" s="2"/>
      <c r="AQ1233" s="1"/>
      <c r="BG1233" s="1"/>
    </row>
    <row r="1234" spans="15:59">
      <c r="O1234" s="1"/>
      <c r="P1234" s="1"/>
      <c r="AA1234" s="1"/>
      <c r="AB1234" s="1"/>
      <c r="AG1234" s="1"/>
      <c r="AH1234" s="1"/>
      <c r="AK1234" s="1"/>
      <c r="AL1234" s="1"/>
      <c r="AM1234" s="2"/>
      <c r="AN1234" s="2"/>
      <c r="AQ1234" s="1"/>
      <c r="BG1234" s="1"/>
    </row>
    <row r="1235" spans="15:59">
      <c r="O1235" s="1"/>
      <c r="P1235" s="1"/>
      <c r="AA1235" s="1"/>
      <c r="AB1235" s="1"/>
      <c r="AG1235" s="1"/>
      <c r="AH1235" s="1"/>
      <c r="AK1235" s="1"/>
      <c r="AL1235" s="1"/>
      <c r="AM1235" s="2"/>
      <c r="AN1235" s="2"/>
      <c r="AQ1235" s="1"/>
      <c r="BG1235" s="1"/>
    </row>
    <row r="1236" spans="15:59">
      <c r="O1236" s="1"/>
      <c r="P1236" s="1"/>
      <c r="AA1236" s="1"/>
      <c r="AB1236" s="1"/>
      <c r="AG1236" s="1"/>
      <c r="AH1236" s="1"/>
      <c r="AK1236" s="1"/>
      <c r="AL1236" s="1"/>
      <c r="AM1236" s="2"/>
      <c r="AN1236" s="2"/>
      <c r="AQ1236" s="1"/>
      <c r="BG1236" s="1"/>
    </row>
    <row r="1237" spans="15:59">
      <c r="O1237" s="1"/>
      <c r="P1237" s="1"/>
      <c r="AA1237" s="1"/>
      <c r="AB1237" s="1"/>
      <c r="AG1237" s="1"/>
      <c r="AH1237" s="1"/>
      <c r="AK1237" s="1"/>
      <c r="AL1237" s="1"/>
      <c r="AM1237" s="2"/>
      <c r="AN1237" s="2"/>
      <c r="AQ1237" s="1"/>
      <c r="BG1237" s="1"/>
    </row>
    <row r="1238" spans="15:59">
      <c r="O1238" s="1"/>
      <c r="P1238" s="1"/>
      <c r="AA1238" s="1"/>
      <c r="AB1238" s="1"/>
      <c r="AG1238" s="1"/>
      <c r="AH1238" s="1"/>
      <c r="AK1238" s="1"/>
      <c r="AL1238" s="1"/>
      <c r="AM1238" s="2"/>
      <c r="AN1238" s="2"/>
      <c r="AQ1238" s="1"/>
      <c r="BG1238" s="1"/>
    </row>
    <row r="1239" spans="15:59">
      <c r="O1239" s="1"/>
      <c r="P1239" s="1"/>
      <c r="AA1239" s="1"/>
      <c r="AB1239" s="1"/>
      <c r="AG1239" s="1"/>
      <c r="AH1239" s="1"/>
      <c r="AK1239" s="1"/>
      <c r="AL1239" s="1"/>
      <c r="AM1239" s="2"/>
      <c r="AN1239" s="2"/>
      <c r="AQ1239" s="1"/>
      <c r="BG1239" s="1"/>
    </row>
    <row r="1240" spans="15:59">
      <c r="O1240" s="1"/>
      <c r="P1240" s="1"/>
      <c r="AA1240" s="1"/>
      <c r="AB1240" s="1"/>
      <c r="AG1240" s="1"/>
      <c r="AH1240" s="1"/>
      <c r="AK1240" s="1"/>
      <c r="AL1240" s="1"/>
      <c r="AM1240" s="2"/>
      <c r="AN1240" s="2"/>
      <c r="AQ1240" s="1"/>
      <c r="BG1240" s="1"/>
    </row>
    <row r="1241" spans="15:59">
      <c r="O1241" s="1"/>
      <c r="P1241" s="1"/>
      <c r="AA1241" s="1"/>
      <c r="AB1241" s="1"/>
      <c r="AG1241" s="1"/>
      <c r="AH1241" s="1"/>
      <c r="AK1241" s="1"/>
      <c r="AL1241" s="1"/>
      <c r="AM1241" s="2"/>
      <c r="AN1241" s="2"/>
      <c r="AQ1241" s="1"/>
      <c r="BG1241" s="1"/>
    </row>
    <row r="1242" spans="15:59">
      <c r="O1242" s="1"/>
      <c r="P1242" s="1"/>
      <c r="AA1242" s="1"/>
      <c r="AB1242" s="1"/>
      <c r="AG1242" s="1"/>
      <c r="AH1242" s="1"/>
      <c r="AK1242" s="1"/>
      <c r="AL1242" s="1"/>
      <c r="AM1242" s="2"/>
      <c r="AN1242" s="2"/>
      <c r="AQ1242" s="1"/>
      <c r="BG1242" s="1"/>
    </row>
    <row r="1243" spans="15:59">
      <c r="O1243" s="1"/>
      <c r="P1243" s="1"/>
      <c r="AA1243" s="1"/>
      <c r="AB1243" s="1"/>
      <c r="AG1243" s="1"/>
      <c r="AH1243" s="1"/>
      <c r="AK1243" s="1"/>
      <c r="AL1243" s="1"/>
      <c r="AM1243" s="2"/>
      <c r="AN1243" s="2"/>
      <c r="AQ1243" s="1"/>
      <c r="BG1243" s="1"/>
    </row>
    <row r="1244" spans="15:59">
      <c r="O1244" s="1"/>
      <c r="P1244" s="1"/>
      <c r="AA1244" s="1"/>
      <c r="AB1244" s="1"/>
      <c r="AG1244" s="1"/>
      <c r="AH1244" s="1"/>
      <c r="AK1244" s="1"/>
      <c r="AL1244" s="1"/>
      <c r="AM1244" s="2"/>
      <c r="AN1244" s="2"/>
      <c r="AQ1244" s="1"/>
      <c r="BG1244" s="1"/>
    </row>
    <row r="1245" spans="15:59">
      <c r="O1245" s="1"/>
      <c r="P1245" s="1"/>
      <c r="AA1245" s="1"/>
      <c r="AB1245" s="1"/>
      <c r="AG1245" s="1"/>
      <c r="AH1245" s="1"/>
      <c r="AK1245" s="1"/>
      <c r="AL1245" s="1"/>
      <c r="AM1245" s="2"/>
      <c r="AN1245" s="2"/>
      <c r="AQ1245" s="1"/>
      <c r="BG1245" s="1"/>
    </row>
    <row r="1246" spans="15:59">
      <c r="O1246" s="1"/>
      <c r="P1246" s="1"/>
      <c r="AA1246" s="1"/>
      <c r="AB1246" s="1"/>
      <c r="AG1246" s="1"/>
      <c r="AH1246" s="1"/>
      <c r="AK1246" s="1"/>
      <c r="AL1246" s="1"/>
      <c r="AM1246" s="2"/>
      <c r="AN1246" s="2"/>
      <c r="AQ1246" s="1"/>
      <c r="BG1246" s="1"/>
    </row>
    <row r="1247" spans="15:59">
      <c r="O1247" s="1"/>
      <c r="P1247" s="1"/>
      <c r="AA1247" s="1"/>
      <c r="AB1247" s="1"/>
      <c r="AG1247" s="1"/>
      <c r="AH1247" s="1"/>
      <c r="AK1247" s="1"/>
      <c r="AL1247" s="1"/>
      <c r="AM1247" s="2"/>
      <c r="AN1247" s="2"/>
      <c r="AQ1247" s="1"/>
      <c r="BG1247" s="1"/>
    </row>
    <row r="1248" spans="15:59">
      <c r="O1248" s="1"/>
      <c r="P1248" s="1"/>
      <c r="AA1248" s="1"/>
      <c r="AB1248" s="1"/>
      <c r="AG1248" s="1"/>
      <c r="AH1248" s="1"/>
      <c r="AK1248" s="1"/>
      <c r="AL1248" s="1"/>
      <c r="AM1248" s="2"/>
      <c r="AN1248" s="2"/>
      <c r="AQ1248" s="1"/>
      <c r="BG1248" s="1"/>
    </row>
    <row r="1249" spans="15:59">
      <c r="O1249" s="1"/>
      <c r="P1249" s="1"/>
      <c r="AA1249" s="1"/>
      <c r="AB1249" s="1"/>
      <c r="AG1249" s="1"/>
      <c r="AH1249" s="1"/>
      <c r="AK1249" s="1"/>
      <c r="AL1249" s="1"/>
      <c r="AM1249" s="2"/>
      <c r="AN1249" s="2"/>
      <c r="AQ1249" s="1"/>
      <c r="BG1249" s="1"/>
    </row>
    <row r="1250" spans="15:59">
      <c r="O1250" s="1"/>
      <c r="P1250" s="1"/>
      <c r="AA1250" s="1"/>
      <c r="AB1250" s="1"/>
      <c r="AG1250" s="1"/>
      <c r="AH1250" s="1"/>
      <c r="AK1250" s="1"/>
      <c r="AL1250" s="1"/>
      <c r="AM1250" s="2"/>
      <c r="AN1250" s="2"/>
      <c r="AQ1250" s="1"/>
      <c r="BG1250" s="1"/>
    </row>
    <row r="1251" spans="15:59">
      <c r="O1251" s="1"/>
      <c r="P1251" s="1"/>
      <c r="AA1251" s="1"/>
      <c r="AB1251" s="1"/>
      <c r="AG1251" s="1"/>
      <c r="AH1251" s="1"/>
      <c r="AK1251" s="1"/>
      <c r="AL1251" s="1"/>
      <c r="AM1251" s="2"/>
      <c r="AN1251" s="2"/>
      <c r="AQ1251" s="1"/>
      <c r="BG1251" s="1"/>
    </row>
    <row r="1252" spans="15:59">
      <c r="O1252" s="1"/>
      <c r="P1252" s="1"/>
      <c r="AA1252" s="1"/>
      <c r="AB1252" s="1"/>
      <c r="AG1252" s="1"/>
      <c r="AH1252" s="1"/>
      <c r="AK1252" s="1"/>
      <c r="AL1252" s="1"/>
      <c r="AM1252" s="2"/>
      <c r="AN1252" s="2"/>
      <c r="AQ1252" s="1"/>
      <c r="BG1252" s="1"/>
    </row>
    <row r="1253" spans="15:59">
      <c r="O1253" s="1"/>
      <c r="P1253" s="1"/>
      <c r="AA1253" s="1"/>
      <c r="AB1253" s="1"/>
      <c r="AG1253" s="1"/>
      <c r="AH1253" s="1"/>
      <c r="AK1253" s="1"/>
      <c r="AL1253" s="1"/>
      <c r="AM1253" s="2"/>
      <c r="AN1253" s="2"/>
      <c r="AQ1253" s="1"/>
      <c r="BG1253" s="1"/>
    </row>
    <row r="1254" spans="15:59">
      <c r="O1254" s="1"/>
      <c r="P1254" s="1"/>
      <c r="AA1254" s="1"/>
      <c r="AB1254" s="1"/>
      <c r="AG1254" s="1"/>
      <c r="AH1254" s="1"/>
      <c r="AK1254" s="1"/>
      <c r="AL1254" s="1"/>
      <c r="AM1254" s="2"/>
      <c r="AN1254" s="2"/>
      <c r="AQ1254" s="1"/>
      <c r="BG1254" s="1"/>
    </row>
    <row r="1255" spans="15:59">
      <c r="O1255" s="1"/>
      <c r="P1255" s="1"/>
      <c r="AA1255" s="1"/>
      <c r="AB1255" s="1"/>
      <c r="AG1255" s="1"/>
      <c r="AH1255" s="1"/>
      <c r="AK1255" s="1"/>
      <c r="AL1255" s="1"/>
      <c r="AM1255" s="2"/>
      <c r="AN1255" s="2"/>
      <c r="AQ1255" s="1"/>
      <c r="BG1255" s="1"/>
    </row>
    <row r="1256" spans="15:59">
      <c r="O1256" s="1"/>
      <c r="P1256" s="1"/>
      <c r="AA1256" s="1"/>
      <c r="AB1256" s="1"/>
      <c r="AG1256" s="1"/>
      <c r="AH1256" s="1"/>
      <c r="AK1256" s="1"/>
      <c r="AL1256" s="1"/>
      <c r="AM1256" s="2"/>
      <c r="AN1256" s="2"/>
      <c r="AQ1256" s="1"/>
      <c r="BG1256" s="1"/>
    </row>
    <row r="1257" spans="15:59">
      <c r="O1257" s="1"/>
      <c r="P1257" s="1"/>
      <c r="AA1257" s="1"/>
      <c r="AB1257" s="1"/>
      <c r="AG1257" s="1"/>
      <c r="AH1257" s="1"/>
      <c r="AK1257" s="1"/>
      <c r="AL1257" s="1"/>
      <c r="AM1257" s="2"/>
      <c r="AN1257" s="2"/>
      <c r="AQ1257" s="1"/>
      <c r="BG1257" s="1"/>
    </row>
    <row r="1258" spans="15:59">
      <c r="O1258" s="1"/>
      <c r="P1258" s="1"/>
      <c r="AA1258" s="1"/>
      <c r="AB1258" s="1"/>
      <c r="AG1258" s="1"/>
      <c r="AH1258" s="1"/>
      <c r="AK1258" s="1"/>
      <c r="AL1258" s="1"/>
      <c r="AM1258" s="2"/>
      <c r="AN1258" s="2"/>
      <c r="AQ1258" s="1"/>
      <c r="BG1258" s="1"/>
    </row>
    <row r="1259" spans="15:59">
      <c r="O1259" s="1"/>
      <c r="P1259" s="1"/>
      <c r="AA1259" s="1"/>
      <c r="AB1259" s="1"/>
      <c r="AG1259" s="1"/>
      <c r="AH1259" s="1"/>
      <c r="AK1259" s="1"/>
      <c r="AL1259" s="1"/>
      <c r="AM1259" s="2"/>
      <c r="AN1259" s="2"/>
      <c r="AQ1259" s="1"/>
      <c r="BG1259" s="1"/>
    </row>
    <row r="1260" spans="15:59">
      <c r="O1260" s="1"/>
      <c r="P1260" s="1"/>
      <c r="AA1260" s="1"/>
      <c r="AB1260" s="1"/>
      <c r="AG1260" s="1"/>
      <c r="AH1260" s="1"/>
      <c r="AK1260" s="1"/>
      <c r="AL1260" s="1"/>
      <c r="AM1260" s="2"/>
      <c r="AN1260" s="2"/>
      <c r="AQ1260" s="1"/>
      <c r="BG1260" s="1"/>
    </row>
    <row r="1261" spans="15:59">
      <c r="O1261" s="1"/>
      <c r="P1261" s="1"/>
      <c r="AA1261" s="1"/>
      <c r="AB1261" s="1"/>
      <c r="AG1261" s="1"/>
      <c r="AH1261" s="1"/>
      <c r="AK1261" s="1"/>
      <c r="AL1261" s="1"/>
      <c r="AM1261" s="2"/>
      <c r="AN1261" s="2"/>
      <c r="AQ1261" s="1"/>
      <c r="BG1261" s="1"/>
    </row>
    <row r="1262" spans="15:59">
      <c r="O1262" s="1"/>
      <c r="P1262" s="1"/>
      <c r="AA1262" s="1"/>
      <c r="AB1262" s="1"/>
      <c r="AG1262" s="1"/>
      <c r="AH1262" s="1"/>
      <c r="AK1262" s="1"/>
      <c r="AL1262" s="1"/>
      <c r="AM1262" s="2"/>
      <c r="AN1262" s="2"/>
      <c r="AQ1262" s="1"/>
      <c r="BG1262" s="1"/>
    </row>
    <row r="1263" spans="15:59">
      <c r="O1263" s="1"/>
      <c r="P1263" s="1"/>
      <c r="AA1263" s="1"/>
      <c r="AB1263" s="1"/>
      <c r="AG1263" s="1"/>
      <c r="AH1263" s="1"/>
      <c r="AK1263" s="1"/>
      <c r="AL1263" s="1"/>
      <c r="AM1263" s="2"/>
      <c r="AN1263" s="2"/>
      <c r="AQ1263" s="1"/>
      <c r="BG1263" s="1"/>
    </row>
    <row r="1264" spans="15:59">
      <c r="O1264" s="1"/>
      <c r="P1264" s="1"/>
      <c r="AA1264" s="1"/>
      <c r="AB1264" s="1"/>
      <c r="AG1264" s="1"/>
      <c r="AH1264" s="1"/>
      <c r="AK1264" s="1"/>
      <c r="AL1264" s="1"/>
      <c r="AM1264" s="2"/>
      <c r="AN1264" s="2"/>
      <c r="AQ1264" s="1"/>
      <c r="BG1264" s="1"/>
    </row>
    <row r="1265" spans="15:59">
      <c r="O1265" s="1"/>
      <c r="P1265" s="1"/>
      <c r="AA1265" s="1"/>
      <c r="AB1265" s="1"/>
      <c r="AG1265" s="1"/>
      <c r="AH1265" s="1"/>
      <c r="AK1265" s="1"/>
      <c r="AL1265" s="1"/>
      <c r="AM1265" s="2"/>
      <c r="AN1265" s="2"/>
      <c r="AQ1265" s="1"/>
      <c r="BG1265" s="1"/>
    </row>
    <row r="1266" spans="15:59">
      <c r="O1266" s="1"/>
      <c r="P1266" s="1"/>
      <c r="AA1266" s="1"/>
      <c r="AB1266" s="1"/>
      <c r="AG1266" s="1"/>
      <c r="AH1266" s="1"/>
      <c r="AK1266" s="1"/>
      <c r="AL1266" s="1"/>
      <c r="AM1266" s="2"/>
      <c r="AN1266" s="2"/>
      <c r="AQ1266" s="1"/>
      <c r="BG1266" s="1"/>
    </row>
    <row r="1267" spans="15:59">
      <c r="O1267" s="1"/>
      <c r="P1267" s="1"/>
      <c r="AA1267" s="1"/>
      <c r="AB1267" s="1"/>
      <c r="AG1267" s="1"/>
      <c r="AH1267" s="1"/>
      <c r="AK1267" s="1"/>
      <c r="AL1267" s="1"/>
      <c r="AM1267" s="2"/>
      <c r="AN1267" s="2"/>
      <c r="AQ1267" s="1"/>
      <c r="BG1267" s="1"/>
    </row>
    <row r="1268" spans="15:59">
      <c r="O1268" s="1"/>
      <c r="P1268" s="1"/>
      <c r="AA1268" s="1"/>
      <c r="AB1268" s="1"/>
      <c r="AG1268" s="1"/>
      <c r="AH1268" s="1"/>
      <c r="AK1268" s="1"/>
      <c r="AL1268" s="1"/>
      <c r="AM1268" s="2"/>
      <c r="AN1268" s="2"/>
      <c r="AQ1268" s="1"/>
      <c r="BG1268" s="1"/>
    </row>
    <row r="1269" spans="15:59">
      <c r="O1269" s="1"/>
      <c r="P1269" s="1"/>
      <c r="AA1269" s="1"/>
      <c r="AB1269" s="1"/>
      <c r="AG1269" s="1"/>
      <c r="AH1269" s="1"/>
      <c r="AK1269" s="1"/>
      <c r="AL1269" s="1"/>
      <c r="AM1269" s="2"/>
      <c r="AN1269" s="2"/>
      <c r="AQ1269" s="1"/>
      <c r="BG1269" s="1"/>
    </row>
    <row r="1270" spans="15:59">
      <c r="O1270" s="1"/>
      <c r="P1270" s="1"/>
      <c r="AA1270" s="1"/>
      <c r="AB1270" s="1"/>
      <c r="AG1270" s="1"/>
      <c r="AH1270" s="1"/>
      <c r="AK1270" s="1"/>
      <c r="AL1270" s="1"/>
      <c r="AM1270" s="2"/>
      <c r="AN1270" s="2"/>
      <c r="AQ1270" s="1"/>
      <c r="BG1270" s="1"/>
    </row>
    <row r="1271" spans="15:59">
      <c r="O1271" s="1"/>
      <c r="P1271" s="1"/>
      <c r="AA1271" s="1"/>
      <c r="AB1271" s="1"/>
      <c r="AG1271" s="1"/>
      <c r="AH1271" s="1"/>
      <c r="AK1271" s="1"/>
      <c r="AL1271" s="1"/>
      <c r="AM1271" s="2"/>
      <c r="AN1271" s="2"/>
      <c r="AQ1271" s="1"/>
      <c r="BG1271" s="1"/>
    </row>
    <row r="1272" spans="15:59">
      <c r="O1272" s="1"/>
      <c r="P1272" s="1"/>
      <c r="AA1272" s="1"/>
      <c r="AB1272" s="1"/>
      <c r="AG1272" s="1"/>
      <c r="AH1272" s="1"/>
      <c r="AK1272" s="1"/>
      <c r="AL1272" s="1"/>
      <c r="AM1272" s="2"/>
      <c r="AN1272" s="2"/>
      <c r="AQ1272" s="1"/>
      <c r="BG1272" s="1"/>
    </row>
    <row r="1273" spans="15:59">
      <c r="O1273" s="1"/>
      <c r="P1273" s="1"/>
      <c r="AA1273" s="1"/>
      <c r="AB1273" s="1"/>
      <c r="AG1273" s="1"/>
      <c r="AH1273" s="1"/>
      <c r="AK1273" s="1"/>
      <c r="AL1273" s="1"/>
      <c r="AM1273" s="2"/>
      <c r="AN1273" s="2"/>
      <c r="AQ1273" s="1"/>
      <c r="BG1273" s="1"/>
    </row>
    <row r="1274" spans="15:59">
      <c r="O1274" s="1"/>
      <c r="P1274" s="1"/>
      <c r="AA1274" s="1"/>
      <c r="AB1274" s="1"/>
      <c r="AG1274" s="1"/>
      <c r="AH1274" s="1"/>
      <c r="AK1274" s="1"/>
      <c r="AL1274" s="1"/>
      <c r="AM1274" s="2"/>
      <c r="AN1274" s="2"/>
      <c r="AQ1274" s="1"/>
      <c r="BG1274" s="1"/>
    </row>
    <row r="1275" spans="15:59">
      <c r="O1275" s="1"/>
      <c r="P1275" s="1"/>
      <c r="AA1275" s="1"/>
      <c r="AB1275" s="1"/>
      <c r="AG1275" s="1"/>
      <c r="AH1275" s="1"/>
      <c r="AK1275" s="1"/>
      <c r="AL1275" s="1"/>
      <c r="AM1275" s="2"/>
      <c r="AN1275" s="2"/>
      <c r="AQ1275" s="1"/>
      <c r="BG1275" s="1"/>
    </row>
    <row r="1276" spans="15:59">
      <c r="O1276" s="1"/>
      <c r="P1276" s="1"/>
      <c r="AA1276" s="1"/>
      <c r="AB1276" s="1"/>
      <c r="AG1276" s="1"/>
      <c r="AH1276" s="1"/>
      <c r="AK1276" s="1"/>
      <c r="AL1276" s="1"/>
      <c r="AM1276" s="2"/>
      <c r="AN1276" s="2"/>
      <c r="AQ1276" s="1"/>
      <c r="BG1276" s="1"/>
    </row>
    <row r="1277" spans="15:59">
      <c r="O1277" s="1"/>
      <c r="P1277" s="1"/>
      <c r="AA1277" s="1"/>
      <c r="AB1277" s="1"/>
      <c r="AG1277" s="1"/>
      <c r="AH1277" s="1"/>
      <c r="AK1277" s="1"/>
      <c r="AL1277" s="1"/>
      <c r="AM1277" s="2"/>
      <c r="AN1277" s="2"/>
      <c r="AQ1277" s="1"/>
      <c r="BG1277" s="1"/>
    </row>
    <row r="1278" spans="15:59">
      <c r="O1278" s="1"/>
      <c r="P1278" s="1"/>
      <c r="AA1278" s="1"/>
      <c r="AB1278" s="1"/>
      <c r="AG1278" s="1"/>
      <c r="AH1278" s="1"/>
      <c r="AK1278" s="1"/>
      <c r="AL1278" s="1"/>
      <c r="AM1278" s="2"/>
      <c r="AN1278" s="2"/>
      <c r="AQ1278" s="1"/>
      <c r="BG1278" s="1"/>
    </row>
    <row r="1279" spans="15:59">
      <c r="O1279" s="1"/>
      <c r="P1279" s="1"/>
      <c r="AA1279" s="1"/>
      <c r="AB1279" s="1"/>
      <c r="AG1279" s="1"/>
      <c r="AH1279" s="1"/>
      <c r="AK1279" s="1"/>
      <c r="AL1279" s="1"/>
      <c r="AM1279" s="2"/>
      <c r="AN1279" s="2"/>
      <c r="AQ1279" s="1"/>
      <c r="BG1279" s="1"/>
    </row>
    <row r="1280" spans="15:59">
      <c r="O1280" s="1"/>
      <c r="P1280" s="1"/>
      <c r="AA1280" s="1"/>
      <c r="AB1280" s="1"/>
      <c r="AG1280" s="1"/>
      <c r="AH1280" s="1"/>
      <c r="AK1280" s="1"/>
      <c r="AL1280" s="1"/>
      <c r="AM1280" s="2"/>
      <c r="AN1280" s="2"/>
      <c r="AQ1280" s="1"/>
      <c r="BG1280" s="1"/>
    </row>
    <row r="1281" spans="15:59">
      <c r="O1281" s="1"/>
      <c r="P1281" s="1"/>
      <c r="AA1281" s="1"/>
      <c r="AB1281" s="1"/>
      <c r="AG1281" s="1"/>
      <c r="AH1281" s="1"/>
      <c r="AK1281" s="1"/>
      <c r="AL1281" s="1"/>
      <c r="AM1281" s="2"/>
      <c r="AN1281" s="2"/>
      <c r="AQ1281" s="1"/>
      <c r="BG1281" s="1"/>
    </row>
    <row r="1282" spans="15:59">
      <c r="O1282" s="1"/>
      <c r="P1282" s="1"/>
      <c r="AA1282" s="1"/>
      <c r="AB1282" s="1"/>
      <c r="AG1282" s="1"/>
      <c r="AH1282" s="1"/>
      <c r="AK1282" s="1"/>
      <c r="AL1282" s="1"/>
      <c r="AM1282" s="2"/>
      <c r="AN1282" s="2"/>
      <c r="AQ1282" s="1"/>
      <c r="BG1282" s="1"/>
    </row>
    <row r="1283" spans="15:59">
      <c r="O1283" s="1"/>
      <c r="P1283" s="1"/>
      <c r="AA1283" s="1"/>
      <c r="AB1283" s="1"/>
      <c r="AG1283" s="1"/>
      <c r="AH1283" s="1"/>
      <c r="AK1283" s="1"/>
      <c r="AL1283" s="1"/>
      <c r="AM1283" s="2"/>
      <c r="AN1283" s="2"/>
      <c r="AQ1283" s="1"/>
      <c r="BG1283" s="1"/>
    </row>
    <row r="1284" spans="15:59">
      <c r="O1284" s="1"/>
      <c r="P1284" s="1"/>
      <c r="AA1284" s="1"/>
      <c r="AB1284" s="1"/>
      <c r="AG1284" s="1"/>
      <c r="AH1284" s="1"/>
      <c r="AK1284" s="1"/>
      <c r="AL1284" s="1"/>
      <c r="AM1284" s="2"/>
      <c r="AN1284" s="2"/>
      <c r="AQ1284" s="1"/>
      <c r="BG1284" s="1"/>
    </row>
    <row r="1285" spans="15:59">
      <c r="O1285" s="1"/>
      <c r="P1285" s="1"/>
      <c r="AA1285" s="1"/>
      <c r="AB1285" s="1"/>
      <c r="AG1285" s="1"/>
      <c r="AH1285" s="1"/>
      <c r="AK1285" s="1"/>
      <c r="AL1285" s="1"/>
      <c r="AM1285" s="2"/>
      <c r="AN1285" s="2"/>
      <c r="AQ1285" s="1"/>
      <c r="BG1285" s="1"/>
    </row>
    <row r="1286" spans="15:59">
      <c r="O1286" s="1"/>
      <c r="P1286" s="1"/>
      <c r="AA1286" s="1"/>
      <c r="AB1286" s="1"/>
      <c r="AG1286" s="1"/>
      <c r="AH1286" s="1"/>
      <c r="AK1286" s="1"/>
      <c r="AL1286" s="1"/>
      <c r="AM1286" s="2"/>
      <c r="AN1286" s="2"/>
      <c r="AQ1286" s="1"/>
      <c r="BG1286" s="1"/>
    </row>
    <row r="1287" spans="15:59">
      <c r="O1287" s="1"/>
      <c r="P1287" s="1"/>
      <c r="AA1287" s="1"/>
      <c r="AB1287" s="1"/>
      <c r="AG1287" s="1"/>
      <c r="AH1287" s="1"/>
      <c r="AK1287" s="1"/>
      <c r="AL1287" s="1"/>
      <c r="AM1287" s="2"/>
      <c r="AN1287" s="2"/>
      <c r="AQ1287" s="1"/>
      <c r="BG1287" s="1"/>
    </row>
    <row r="1288" spans="15:59">
      <c r="O1288" s="1"/>
      <c r="P1288" s="1"/>
      <c r="AA1288" s="1"/>
      <c r="AB1288" s="1"/>
      <c r="AG1288" s="1"/>
      <c r="AH1288" s="1"/>
      <c r="AK1288" s="1"/>
      <c r="AL1288" s="1"/>
      <c r="AM1288" s="2"/>
      <c r="AN1288" s="2"/>
      <c r="AQ1288" s="1"/>
      <c r="BG1288" s="1"/>
    </row>
    <row r="1289" spans="15:59">
      <c r="O1289" s="1"/>
      <c r="P1289" s="1"/>
      <c r="AA1289" s="1"/>
      <c r="AB1289" s="1"/>
      <c r="AG1289" s="1"/>
      <c r="AH1289" s="1"/>
      <c r="AK1289" s="1"/>
      <c r="AL1289" s="1"/>
      <c r="AM1289" s="2"/>
      <c r="AN1289" s="2"/>
      <c r="AQ1289" s="1"/>
      <c r="BG1289" s="1"/>
    </row>
    <row r="1290" spans="15:59">
      <c r="O1290" s="1"/>
      <c r="P1290" s="1"/>
      <c r="AA1290" s="1"/>
      <c r="AB1290" s="1"/>
      <c r="AG1290" s="1"/>
      <c r="AH1290" s="1"/>
      <c r="AK1290" s="1"/>
      <c r="AL1290" s="1"/>
      <c r="AM1290" s="2"/>
      <c r="AN1290" s="2"/>
      <c r="AQ1290" s="1"/>
      <c r="BG1290" s="1"/>
    </row>
    <row r="1291" spans="15:59">
      <c r="O1291" s="1"/>
      <c r="P1291" s="1"/>
      <c r="AA1291" s="1"/>
      <c r="AB1291" s="1"/>
      <c r="AG1291" s="1"/>
      <c r="AH1291" s="1"/>
      <c r="AK1291" s="1"/>
      <c r="AL1291" s="1"/>
      <c r="AM1291" s="2"/>
      <c r="AN1291" s="2"/>
      <c r="AQ1291" s="1"/>
      <c r="BG1291" s="1"/>
    </row>
    <row r="1292" spans="15:59">
      <c r="O1292" s="1"/>
      <c r="P1292" s="1"/>
      <c r="AA1292" s="1"/>
      <c r="AB1292" s="1"/>
      <c r="AG1292" s="1"/>
      <c r="AH1292" s="1"/>
      <c r="AK1292" s="1"/>
      <c r="AL1292" s="1"/>
      <c r="AM1292" s="2"/>
      <c r="AN1292" s="2"/>
      <c r="AQ1292" s="1"/>
      <c r="BG1292" s="1"/>
    </row>
    <row r="1293" spans="15:59">
      <c r="O1293" s="1"/>
      <c r="P1293" s="1"/>
      <c r="AA1293" s="1"/>
      <c r="AB1293" s="1"/>
      <c r="AG1293" s="1"/>
      <c r="AH1293" s="1"/>
      <c r="AK1293" s="1"/>
      <c r="AL1293" s="1"/>
      <c r="AM1293" s="2"/>
      <c r="AN1293" s="2"/>
      <c r="AQ1293" s="1"/>
      <c r="BG1293" s="1"/>
    </row>
    <row r="1294" spans="15:59">
      <c r="O1294" s="1"/>
      <c r="P1294" s="1"/>
      <c r="AA1294" s="1"/>
      <c r="AB1294" s="1"/>
      <c r="AG1294" s="1"/>
      <c r="AH1294" s="1"/>
      <c r="AK1294" s="1"/>
      <c r="AL1294" s="1"/>
      <c r="AM1294" s="2"/>
      <c r="AN1294" s="2"/>
      <c r="AQ1294" s="1"/>
      <c r="BG1294" s="1"/>
    </row>
    <row r="1295" spans="15:59">
      <c r="O1295" s="1"/>
      <c r="P1295" s="1"/>
      <c r="AA1295" s="1"/>
      <c r="AB1295" s="1"/>
      <c r="AG1295" s="1"/>
      <c r="AH1295" s="1"/>
      <c r="AK1295" s="1"/>
      <c r="AL1295" s="1"/>
      <c r="AM1295" s="2"/>
      <c r="AN1295" s="2"/>
      <c r="AQ1295" s="1"/>
      <c r="BG1295" s="1"/>
    </row>
    <row r="1296" spans="15:59">
      <c r="O1296" s="1"/>
      <c r="P1296" s="1"/>
      <c r="AA1296" s="1"/>
      <c r="AB1296" s="1"/>
      <c r="AG1296" s="1"/>
      <c r="AH1296" s="1"/>
      <c r="AK1296" s="1"/>
      <c r="AL1296" s="1"/>
      <c r="AM1296" s="2"/>
      <c r="AN1296" s="2"/>
      <c r="AQ1296" s="1"/>
      <c r="BG1296" s="1"/>
    </row>
    <row r="1297" spans="15:59">
      <c r="O1297" s="1"/>
      <c r="P1297" s="1"/>
      <c r="AA1297" s="1"/>
      <c r="AB1297" s="1"/>
      <c r="AG1297" s="1"/>
      <c r="AH1297" s="1"/>
      <c r="AK1297" s="1"/>
      <c r="AL1297" s="1"/>
      <c r="AM1297" s="2"/>
      <c r="AN1297" s="2"/>
      <c r="AQ1297" s="1"/>
      <c r="BG1297" s="1"/>
    </row>
    <row r="1298" spans="15:59">
      <c r="O1298" s="1"/>
      <c r="P1298" s="1"/>
      <c r="AA1298" s="1"/>
      <c r="AB1298" s="1"/>
      <c r="AG1298" s="1"/>
      <c r="AH1298" s="1"/>
      <c r="AK1298" s="1"/>
      <c r="AL1298" s="1"/>
      <c r="AM1298" s="2"/>
      <c r="AN1298" s="2"/>
      <c r="AQ1298" s="1"/>
      <c r="BG1298" s="1"/>
    </row>
    <row r="1299" spans="15:59">
      <c r="O1299" s="1"/>
      <c r="P1299" s="1"/>
      <c r="AA1299" s="1"/>
      <c r="AB1299" s="1"/>
      <c r="AG1299" s="1"/>
      <c r="AH1299" s="1"/>
      <c r="AK1299" s="1"/>
      <c r="AL1299" s="1"/>
      <c r="AM1299" s="2"/>
      <c r="AN1299" s="2"/>
      <c r="AQ1299" s="1"/>
      <c r="BG1299" s="1"/>
    </row>
    <row r="1300" spans="15:59">
      <c r="O1300" s="1"/>
      <c r="P1300" s="1"/>
      <c r="AA1300" s="1"/>
      <c r="AB1300" s="1"/>
      <c r="AG1300" s="1"/>
      <c r="AH1300" s="1"/>
      <c r="AK1300" s="1"/>
      <c r="AL1300" s="1"/>
      <c r="AM1300" s="2"/>
      <c r="AN1300" s="2"/>
      <c r="AQ1300" s="1"/>
      <c r="BG1300" s="1"/>
    </row>
    <row r="1301" spans="15:59">
      <c r="O1301" s="1"/>
      <c r="P1301" s="1"/>
      <c r="AA1301" s="1"/>
      <c r="AB1301" s="1"/>
      <c r="AG1301" s="1"/>
      <c r="AH1301" s="1"/>
      <c r="AK1301" s="1"/>
      <c r="AL1301" s="1"/>
      <c r="AM1301" s="2"/>
      <c r="AN1301" s="2"/>
      <c r="AQ1301" s="1"/>
      <c r="BG1301" s="1"/>
    </row>
    <row r="1302" spans="15:59">
      <c r="O1302" s="1"/>
      <c r="P1302" s="1"/>
      <c r="AA1302" s="1"/>
      <c r="AB1302" s="1"/>
      <c r="AG1302" s="1"/>
      <c r="AH1302" s="1"/>
      <c r="AK1302" s="1"/>
      <c r="AL1302" s="1"/>
      <c r="AM1302" s="2"/>
      <c r="AN1302" s="2"/>
      <c r="AQ1302" s="1"/>
      <c r="BG1302" s="1"/>
    </row>
    <row r="1303" spans="15:59">
      <c r="O1303" s="1"/>
      <c r="P1303" s="1"/>
      <c r="AA1303" s="1"/>
      <c r="AB1303" s="1"/>
      <c r="AG1303" s="1"/>
      <c r="AH1303" s="1"/>
      <c r="AK1303" s="1"/>
      <c r="AL1303" s="1"/>
      <c r="AM1303" s="2"/>
      <c r="AN1303" s="2"/>
      <c r="AQ1303" s="1"/>
      <c r="BG1303" s="1"/>
    </row>
    <row r="1304" spans="15:59">
      <c r="O1304" s="1"/>
      <c r="P1304" s="1"/>
      <c r="AA1304" s="1"/>
      <c r="AB1304" s="1"/>
      <c r="AG1304" s="1"/>
      <c r="AH1304" s="1"/>
      <c r="AK1304" s="1"/>
      <c r="AL1304" s="1"/>
      <c r="AM1304" s="2"/>
      <c r="AN1304" s="2"/>
      <c r="AQ1304" s="1"/>
      <c r="BG1304" s="1"/>
    </row>
    <row r="1305" spans="15:59">
      <c r="O1305" s="1"/>
      <c r="P1305" s="1"/>
      <c r="AA1305" s="1"/>
      <c r="AB1305" s="1"/>
      <c r="AG1305" s="1"/>
      <c r="AH1305" s="1"/>
      <c r="AK1305" s="1"/>
      <c r="AL1305" s="1"/>
      <c r="AM1305" s="2"/>
      <c r="AN1305" s="2"/>
      <c r="AQ1305" s="1"/>
      <c r="BG1305" s="1"/>
    </row>
    <row r="1306" spans="15:59">
      <c r="O1306" s="1"/>
      <c r="P1306" s="1"/>
      <c r="AA1306" s="1"/>
      <c r="AB1306" s="1"/>
      <c r="AG1306" s="1"/>
      <c r="AH1306" s="1"/>
      <c r="AK1306" s="1"/>
      <c r="AL1306" s="1"/>
      <c r="AM1306" s="2"/>
      <c r="AN1306" s="2"/>
      <c r="AQ1306" s="1"/>
      <c r="BG1306" s="1"/>
    </row>
    <row r="1307" spans="15:59">
      <c r="O1307" s="1"/>
      <c r="P1307" s="1"/>
      <c r="AA1307" s="1"/>
      <c r="AB1307" s="1"/>
      <c r="AG1307" s="1"/>
      <c r="AH1307" s="1"/>
      <c r="AK1307" s="1"/>
      <c r="AL1307" s="1"/>
      <c r="AM1307" s="2"/>
      <c r="AN1307" s="2"/>
      <c r="AQ1307" s="1"/>
      <c r="BG1307" s="1"/>
    </row>
    <row r="1308" spans="15:59">
      <c r="O1308" s="1"/>
      <c r="P1308" s="1"/>
      <c r="AA1308" s="1"/>
      <c r="AB1308" s="1"/>
      <c r="AG1308" s="1"/>
      <c r="AH1308" s="1"/>
      <c r="AK1308" s="1"/>
      <c r="AL1308" s="1"/>
      <c r="AM1308" s="2"/>
      <c r="AN1308" s="2"/>
      <c r="AQ1308" s="1"/>
      <c r="BG1308" s="1"/>
    </row>
    <row r="1309" spans="15:59">
      <c r="O1309" s="1"/>
      <c r="P1309" s="1"/>
      <c r="AA1309" s="1"/>
      <c r="AB1309" s="1"/>
      <c r="AG1309" s="1"/>
      <c r="AH1309" s="1"/>
      <c r="AK1309" s="1"/>
      <c r="AL1309" s="1"/>
      <c r="AM1309" s="2"/>
      <c r="AN1309" s="2"/>
      <c r="AQ1309" s="1"/>
      <c r="BG1309" s="1"/>
    </row>
    <row r="1310" spans="15:59">
      <c r="O1310" s="1"/>
      <c r="P1310" s="1"/>
      <c r="AA1310" s="1"/>
      <c r="AB1310" s="1"/>
      <c r="AG1310" s="1"/>
      <c r="AH1310" s="1"/>
      <c r="AK1310" s="1"/>
      <c r="AL1310" s="1"/>
      <c r="AM1310" s="2"/>
      <c r="AN1310" s="2"/>
      <c r="AQ1310" s="1"/>
      <c r="BG1310" s="1"/>
    </row>
    <row r="1311" spans="15:59">
      <c r="O1311" s="1"/>
      <c r="P1311" s="1"/>
      <c r="AA1311" s="1"/>
      <c r="AB1311" s="1"/>
      <c r="AG1311" s="1"/>
      <c r="AH1311" s="1"/>
      <c r="AK1311" s="1"/>
      <c r="AL1311" s="1"/>
      <c r="AM1311" s="2"/>
      <c r="AN1311" s="2"/>
      <c r="AQ1311" s="1"/>
      <c r="BG1311" s="1"/>
    </row>
    <row r="1312" spans="15:59">
      <c r="O1312" s="1"/>
      <c r="P1312" s="1"/>
      <c r="AA1312" s="1"/>
      <c r="AB1312" s="1"/>
      <c r="AG1312" s="1"/>
      <c r="AH1312" s="1"/>
      <c r="AK1312" s="1"/>
      <c r="AL1312" s="1"/>
      <c r="AM1312" s="2"/>
      <c r="AN1312" s="2"/>
      <c r="AQ1312" s="1"/>
      <c r="BG1312" s="1"/>
    </row>
    <row r="1313" spans="15:59">
      <c r="O1313" s="1"/>
      <c r="P1313" s="1"/>
      <c r="AA1313" s="1"/>
      <c r="AB1313" s="1"/>
      <c r="AG1313" s="1"/>
      <c r="AH1313" s="1"/>
      <c r="AK1313" s="1"/>
      <c r="AL1313" s="1"/>
      <c r="AM1313" s="2"/>
      <c r="AN1313" s="2"/>
      <c r="AQ1313" s="1"/>
      <c r="BG1313" s="1"/>
    </row>
    <row r="1314" spans="15:59">
      <c r="O1314" s="1"/>
      <c r="P1314" s="1"/>
      <c r="AA1314" s="1"/>
      <c r="AB1314" s="1"/>
      <c r="AG1314" s="1"/>
      <c r="AH1314" s="1"/>
      <c r="AK1314" s="1"/>
      <c r="AL1314" s="1"/>
      <c r="AM1314" s="2"/>
      <c r="AN1314" s="2"/>
      <c r="AQ1314" s="1"/>
      <c r="BG1314" s="1"/>
    </row>
    <row r="1315" spans="15:59">
      <c r="O1315" s="1"/>
      <c r="P1315" s="1"/>
      <c r="AA1315" s="1"/>
      <c r="AB1315" s="1"/>
      <c r="AG1315" s="1"/>
      <c r="AH1315" s="1"/>
      <c r="AK1315" s="1"/>
      <c r="AL1315" s="1"/>
      <c r="AM1315" s="2"/>
      <c r="AN1315" s="2"/>
      <c r="AQ1315" s="1"/>
      <c r="BG1315" s="1"/>
    </row>
    <row r="1316" spans="15:59">
      <c r="O1316" s="1"/>
      <c r="P1316" s="1"/>
      <c r="AA1316" s="1"/>
      <c r="AB1316" s="1"/>
      <c r="AG1316" s="1"/>
      <c r="AH1316" s="1"/>
      <c r="AK1316" s="1"/>
      <c r="AL1316" s="1"/>
      <c r="AM1316" s="2"/>
      <c r="AN1316" s="2"/>
      <c r="AQ1316" s="1"/>
      <c r="BG1316" s="1"/>
    </row>
    <row r="1317" spans="15:59">
      <c r="O1317" s="1"/>
      <c r="P1317" s="1"/>
      <c r="AA1317" s="1"/>
      <c r="AB1317" s="1"/>
      <c r="AG1317" s="1"/>
      <c r="AH1317" s="1"/>
      <c r="AK1317" s="1"/>
      <c r="AL1317" s="1"/>
      <c r="AM1317" s="2"/>
      <c r="AN1317" s="2"/>
      <c r="AQ1317" s="1"/>
      <c r="BG1317" s="1"/>
    </row>
    <row r="1318" spans="15:59">
      <c r="O1318" s="1"/>
      <c r="P1318" s="1"/>
      <c r="AA1318" s="1"/>
      <c r="AB1318" s="1"/>
      <c r="AG1318" s="1"/>
      <c r="AH1318" s="1"/>
      <c r="AK1318" s="1"/>
      <c r="AL1318" s="1"/>
      <c r="AM1318" s="2"/>
      <c r="AN1318" s="2"/>
      <c r="AQ1318" s="1"/>
      <c r="BG1318" s="1"/>
    </row>
    <row r="1319" spans="15:59">
      <c r="O1319" s="1"/>
      <c r="P1319" s="1"/>
      <c r="AA1319" s="1"/>
      <c r="AB1319" s="1"/>
      <c r="AG1319" s="1"/>
      <c r="AH1319" s="1"/>
      <c r="AK1319" s="1"/>
      <c r="AL1319" s="1"/>
      <c r="AM1319" s="2"/>
      <c r="AN1319" s="2"/>
      <c r="AQ1319" s="1"/>
      <c r="BG1319" s="1"/>
    </row>
    <row r="1320" spans="15:59">
      <c r="O1320" s="1"/>
      <c r="P1320" s="1"/>
      <c r="AA1320" s="1"/>
      <c r="AB1320" s="1"/>
      <c r="AG1320" s="1"/>
      <c r="AH1320" s="1"/>
      <c r="AK1320" s="1"/>
      <c r="AL1320" s="1"/>
      <c r="AM1320" s="2"/>
      <c r="AN1320" s="2"/>
      <c r="AQ1320" s="1"/>
      <c r="BG1320" s="1"/>
    </row>
    <row r="1321" spans="15:59">
      <c r="O1321" s="1"/>
      <c r="P1321" s="1"/>
      <c r="AA1321" s="1"/>
      <c r="AB1321" s="1"/>
      <c r="AG1321" s="1"/>
      <c r="AH1321" s="1"/>
      <c r="AK1321" s="1"/>
      <c r="AL1321" s="1"/>
      <c r="AM1321" s="2"/>
      <c r="AN1321" s="2"/>
      <c r="AQ1321" s="1"/>
      <c r="BG1321" s="1"/>
    </row>
    <row r="1322" spans="15:59">
      <c r="O1322" s="1"/>
      <c r="P1322" s="1"/>
      <c r="AA1322" s="1"/>
      <c r="AB1322" s="1"/>
      <c r="AG1322" s="1"/>
      <c r="AH1322" s="1"/>
      <c r="AK1322" s="1"/>
      <c r="AL1322" s="1"/>
      <c r="AM1322" s="2"/>
      <c r="AN1322" s="2"/>
      <c r="AQ1322" s="1"/>
      <c r="BG1322" s="1"/>
    </row>
    <row r="1323" spans="15:59">
      <c r="O1323" s="1"/>
      <c r="P1323" s="1"/>
      <c r="AA1323" s="1"/>
      <c r="AB1323" s="1"/>
      <c r="AG1323" s="1"/>
      <c r="AH1323" s="1"/>
      <c r="AK1323" s="1"/>
      <c r="AL1323" s="1"/>
      <c r="AM1323" s="2"/>
      <c r="AN1323" s="2"/>
      <c r="AQ1323" s="1"/>
      <c r="BG1323" s="1"/>
    </row>
    <row r="1324" spans="15:59">
      <c r="O1324" s="1"/>
      <c r="P1324" s="1"/>
      <c r="AA1324" s="1"/>
      <c r="AB1324" s="1"/>
      <c r="AG1324" s="1"/>
      <c r="AH1324" s="1"/>
      <c r="AK1324" s="1"/>
      <c r="AL1324" s="1"/>
      <c r="AM1324" s="2"/>
      <c r="AN1324" s="2"/>
      <c r="AQ1324" s="1"/>
      <c r="BG1324" s="1"/>
    </row>
    <row r="1325" spans="15:59">
      <c r="O1325" s="1"/>
      <c r="P1325" s="1"/>
      <c r="AA1325" s="1"/>
      <c r="AB1325" s="1"/>
      <c r="AG1325" s="1"/>
      <c r="AH1325" s="1"/>
      <c r="AK1325" s="1"/>
      <c r="AL1325" s="1"/>
      <c r="AM1325" s="2"/>
      <c r="AN1325" s="2"/>
      <c r="AQ1325" s="1"/>
      <c r="BG1325" s="1"/>
    </row>
    <row r="1326" spans="15:59">
      <c r="O1326" s="1"/>
      <c r="P1326" s="1"/>
      <c r="AA1326" s="1"/>
      <c r="AB1326" s="1"/>
      <c r="AG1326" s="1"/>
      <c r="AH1326" s="1"/>
      <c r="AK1326" s="1"/>
      <c r="AL1326" s="1"/>
      <c r="AM1326" s="2"/>
      <c r="AN1326" s="2"/>
      <c r="AQ1326" s="1"/>
      <c r="BG1326" s="1"/>
    </row>
    <row r="1327" spans="15:59">
      <c r="O1327" s="1"/>
      <c r="P1327" s="1"/>
      <c r="AA1327" s="1"/>
      <c r="AB1327" s="1"/>
      <c r="AG1327" s="1"/>
      <c r="AH1327" s="1"/>
      <c r="AK1327" s="1"/>
      <c r="AL1327" s="1"/>
      <c r="AM1327" s="2"/>
      <c r="AN1327" s="2"/>
      <c r="AQ1327" s="1"/>
      <c r="BG1327" s="1"/>
    </row>
    <row r="1328" spans="15:59">
      <c r="O1328" s="1"/>
      <c r="P1328" s="1"/>
      <c r="AA1328" s="1"/>
      <c r="AB1328" s="1"/>
      <c r="AG1328" s="1"/>
      <c r="AH1328" s="1"/>
      <c r="AK1328" s="1"/>
      <c r="AL1328" s="1"/>
      <c r="AM1328" s="2"/>
      <c r="AN1328" s="2"/>
      <c r="AQ1328" s="1"/>
      <c r="BG1328" s="1"/>
    </row>
    <row r="1329" spans="15:59">
      <c r="O1329" s="1"/>
      <c r="P1329" s="1"/>
      <c r="AA1329" s="1"/>
      <c r="AB1329" s="1"/>
      <c r="AG1329" s="1"/>
      <c r="AH1329" s="1"/>
      <c r="AK1329" s="1"/>
      <c r="AL1329" s="1"/>
      <c r="AM1329" s="2"/>
      <c r="AN1329" s="2"/>
      <c r="AQ1329" s="1"/>
      <c r="BG1329" s="1"/>
    </row>
    <row r="1330" spans="15:59">
      <c r="O1330" s="1"/>
      <c r="P1330" s="1"/>
      <c r="AA1330" s="1"/>
      <c r="AB1330" s="1"/>
      <c r="AG1330" s="1"/>
      <c r="AH1330" s="1"/>
      <c r="AK1330" s="1"/>
      <c r="AL1330" s="1"/>
      <c r="AM1330" s="2"/>
      <c r="AN1330" s="2"/>
      <c r="AQ1330" s="1"/>
      <c r="BG1330" s="1"/>
    </row>
    <row r="1331" spans="15:59">
      <c r="O1331" s="1"/>
      <c r="P1331" s="1"/>
      <c r="AA1331" s="1"/>
      <c r="AB1331" s="1"/>
      <c r="AG1331" s="1"/>
      <c r="AH1331" s="1"/>
      <c r="AK1331" s="1"/>
      <c r="AL1331" s="1"/>
      <c r="AM1331" s="2"/>
      <c r="AN1331" s="2"/>
      <c r="AQ1331" s="1"/>
      <c r="BG1331" s="1"/>
    </row>
    <row r="1332" spans="15:59">
      <c r="O1332" s="1"/>
      <c r="P1332" s="1"/>
      <c r="AA1332" s="1"/>
      <c r="AB1332" s="1"/>
      <c r="AG1332" s="1"/>
      <c r="AH1332" s="1"/>
      <c r="AK1332" s="1"/>
      <c r="AL1332" s="1"/>
      <c r="AM1332" s="2"/>
      <c r="AN1332" s="2"/>
      <c r="AQ1332" s="1"/>
      <c r="BG1332" s="1"/>
    </row>
    <row r="1333" spans="15:59">
      <c r="O1333" s="1"/>
      <c r="P1333" s="1"/>
      <c r="AA1333" s="1"/>
      <c r="AB1333" s="1"/>
      <c r="AG1333" s="1"/>
      <c r="AH1333" s="1"/>
      <c r="AK1333" s="1"/>
      <c r="AL1333" s="1"/>
      <c r="AM1333" s="2"/>
      <c r="AN1333" s="2"/>
      <c r="AQ1333" s="1"/>
      <c r="BG1333" s="1"/>
    </row>
    <row r="1334" spans="15:59">
      <c r="O1334" s="1"/>
      <c r="P1334" s="1"/>
      <c r="AA1334" s="1"/>
      <c r="AB1334" s="1"/>
      <c r="AG1334" s="1"/>
      <c r="AH1334" s="1"/>
      <c r="AK1334" s="1"/>
      <c r="AL1334" s="1"/>
      <c r="AM1334" s="2"/>
      <c r="AN1334" s="2"/>
      <c r="AQ1334" s="1"/>
      <c r="BG1334" s="1"/>
    </row>
    <row r="1335" spans="15:59">
      <c r="O1335" s="1"/>
      <c r="P1335" s="1"/>
      <c r="AA1335" s="1"/>
      <c r="AB1335" s="1"/>
      <c r="AG1335" s="1"/>
      <c r="AH1335" s="1"/>
      <c r="AK1335" s="1"/>
      <c r="AL1335" s="1"/>
      <c r="AM1335" s="2"/>
      <c r="AN1335" s="2"/>
      <c r="AQ1335" s="1"/>
      <c r="BG1335" s="1"/>
    </row>
    <row r="1336" spans="15:59">
      <c r="O1336" s="1"/>
      <c r="P1336" s="1"/>
      <c r="AA1336" s="1"/>
      <c r="AB1336" s="1"/>
      <c r="AG1336" s="1"/>
      <c r="AH1336" s="1"/>
      <c r="AK1336" s="1"/>
      <c r="AL1336" s="1"/>
      <c r="AM1336" s="2"/>
      <c r="AN1336" s="2"/>
      <c r="AQ1336" s="1"/>
      <c r="BG1336" s="1"/>
    </row>
    <row r="1337" spans="15:59">
      <c r="O1337" s="1"/>
      <c r="P1337" s="1"/>
      <c r="AA1337" s="1"/>
      <c r="AB1337" s="1"/>
      <c r="AG1337" s="1"/>
      <c r="AH1337" s="1"/>
      <c r="AK1337" s="1"/>
      <c r="AL1337" s="1"/>
      <c r="AM1337" s="2"/>
      <c r="AN1337" s="2"/>
      <c r="AQ1337" s="1"/>
      <c r="BG1337" s="1"/>
    </row>
    <row r="1338" spans="15:59">
      <c r="O1338" s="1"/>
      <c r="P1338" s="1"/>
      <c r="AA1338" s="1"/>
      <c r="AB1338" s="1"/>
      <c r="AG1338" s="1"/>
      <c r="AH1338" s="1"/>
      <c r="AK1338" s="1"/>
      <c r="AL1338" s="1"/>
      <c r="AM1338" s="2"/>
      <c r="AN1338" s="2"/>
      <c r="AQ1338" s="1"/>
      <c r="BG1338" s="1"/>
    </row>
    <row r="1339" spans="15:59">
      <c r="O1339" s="1"/>
      <c r="P1339" s="1"/>
      <c r="AA1339" s="1"/>
      <c r="AB1339" s="1"/>
      <c r="AG1339" s="1"/>
      <c r="AH1339" s="1"/>
      <c r="AK1339" s="1"/>
      <c r="AL1339" s="1"/>
      <c r="AM1339" s="2"/>
      <c r="AN1339" s="2"/>
      <c r="AQ1339" s="1"/>
      <c r="BG1339" s="1"/>
    </row>
    <row r="1340" spans="15:59">
      <c r="O1340" s="1"/>
      <c r="P1340" s="1"/>
      <c r="AA1340" s="1"/>
      <c r="AB1340" s="1"/>
      <c r="AG1340" s="1"/>
      <c r="AH1340" s="1"/>
      <c r="AK1340" s="1"/>
      <c r="AL1340" s="1"/>
      <c r="AM1340" s="2"/>
      <c r="AN1340" s="2"/>
      <c r="AQ1340" s="1"/>
      <c r="BG1340" s="1"/>
    </row>
    <row r="1341" spans="15:59">
      <c r="O1341" s="1"/>
      <c r="P1341" s="1"/>
      <c r="AA1341" s="1"/>
      <c r="AB1341" s="1"/>
      <c r="AG1341" s="1"/>
      <c r="AH1341" s="1"/>
      <c r="AK1341" s="1"/>
      <c r="AL1341" s="1"/>
      <c r="AM1341" s="2"/>
      <c r="AN1341" s="2"/>
      <c r="AQ1341" s="1"/>
      <c r="BG1341" s="1"/>
    </row>
    <row r="1342" spans="15:59">
      <c r="O1342" s="1"/>
      <c r="P1342" s="1"/>
      <c r="AA1342" s="1"/>
      <c r="AB1342" s="1"/>
      <c r="AG1342" s="1"/>
      <c r="AH1342" s="1"/>
      <c r="AK1342" s="1"/>
      <c r="AL1342" s="1"/>
      <c r="AM1342" s="2"/>
      <c r="AN1342" s="2"/>
      <c r="AQ1342" s="1"/>
      <c r="BG1342" s="1"/>
    </row>
    <row r="1343" spans="15:59">
      <c r="O1343" s="1"/>
      <c r="P1343" s="1"/>
      <c r="AA1343" s="1"/>
      <c r="AB1343" s="1"/>
      <c r="AG1343" s="1"/>
      <c r="AH1343" s="1"/>
      <c r="AK1343" s="1"/>
      <c r="AL1343" s="1"/>
      <c r="AM1343" s="2"/>
      <c r="AN1343" s="2"/>
      <c r="AQ1343" s="1"/>
      <c r="BG1343" s="1"/>
    </row>
    <row r="1344" spans="15:59">
      <c r="O1344" s="1"/>
      <c r="P1344" s="1"/>
      <c r="AA1344" s="1"/>
      <c r="AB1344" s="1"/>
      <c r="AG1344" s="1"/>
      <c r="AH1344" s="1"/>
      <c r="AK1344" s="1"/>
      <c r="AL1344" s="1"/>
      <c r="AM1344" s="2"/>
      <c r="AN1344" s="2"/>
      <c r="AQ1344" s="1"/>
      <c r="BG1344" s="1"/>
    </row>
    <row r="1345" spans="15:59">
      <c r="O1345" s="1"/>
      <c r="P1345" s="1"/>
      <c r="AA1345" s="1"/>
      <c r="AB1345" s="1"/>
      <c r="AG1345" s="1"/>
      <c r="AH1345" s="1"/>
      <c r="AK1345" s="1"/>
      <c r="AL1345" s="1"/>
      <c r="AM1345" s="2"/>
      <c r="AN1345" s="2"/>
      <c r="AQ1345" s="1"/>
      <c r="BG1345" s="1"/>
    </row>
    <row r="1346" spans="15:59">
      <c r="O1346" s="1"/>
      <c r="P1346" s="1"/>
      <c r="AA1346" s="1"/>
      <c r="AB1346" s="1"/>
      <c r="AG1346" s="1"/>
      <c r="AH1346" s="1"/>
      <c r="AK1346" s="1"/>
      <c r="AL1346" s="1"/>
      <c r="AM1346" s="2"/>
      <c r="AN1346" s="2"/>
      <c r="AQ1346" s="1"/>
      <c r="BG1346" s="1"/>
    </row>
    <row r="1347" spans="15:59">
      <c r="O1347" s="1"/>
      <c r="P1347" s="1"/>
      <c r="AA1347" s="1"/>
      <c r="AB1347" s="1"/>
      <c r="AG1347" s="1"/>
      <c r="AH1347" s="1"/>
      <c r="AK1347" s="1"/>
      <c r="AL1347" s="1"/>
      <c r="AM1347" s="2"/>
      <c r="AN1347" s="2"/>
      <c r="AQ1347" s="1"/>
      <c r="BG1347" s="1"/>
    </row>
    <row r="1348" spans="15:59">
      <c r="O1348" s="1"/>
      <c r="P1348" s="1"/>
      <c r="AA1348" s="1"/>
      <c r="AB1348" s="1"/>
      <c r="AG1348" s="1"/>
      <c r="AH1348" s="1"/>
      <c r="AK1348" s="1"/>
      <c r="AL1348" s="1"/>
      <c r="AM1348" s="2"/>
      <c r="AN1348" s="2"/>
      <c r="AQ1348" s="1"/>
      <c r="BG1348" s="1"/>
    </row>
    <row r="1349" spans="15:59">
      <c r="O1349" s="1"/>
      <c r="P1349" s="1"/>
      <c r="AA1349" s="1"/>
      <c r="AB1349" s="1"/>
      <c r="AG1349" s="1"/>
      <c r="AH1349" s="1"/>
      <c r="AK1349" s="1"/>
      <c r="AL1349" s="1"/>
      <c r="AM1349" s="2"/>
      <c r="AN1349" s="2"/>
      <c r="AQ1349" s="1"/>
      <c r="BG1349" s="1"/>
    </row>
    <row r="1350" spans="15:59">
      <c r="O1350" s="1"/>
      <c r="P1350" s="1"/>
      <c r="AA1350" s="1"/>
      <c r="AB1350" s="1"/>
      <c r="AG1350" s="1"/>
      <c r="AH1350" s="1"/>
      <c r="AK1350" s="1"/>
      <c r="AL1350" s="1"/>
      <c r="AM1350" s="2"/>
      <c r="AN1350" s="2"/>
      <c r="AQ1350" s="1"/>
      <c r="BG1350" s="1"/>
    </row>
    <row r="1351" spans="15:59">
      <c r="O1351" s="1"/>
      <c r="P1351" s="1"/>
      <c r="AA1351" s="1"/>
      <c r="AB1351" s="1"/>
      <c r="AG1351" s="1"/>
      <c r="AH1351" s="1"/>
      <c r="AK1351" s="1"/>
      <c r="AL1351" s="1"/>
      <c r="AM1351" s="2"/>
      <c r="AN1351" s="2"/>
      <c r="AQ1351" s="1"/>
      <c r="BG1351" s="1"/>
    </row>
    <row r="1352" spans="15:59">
      <c r="O1352" s="1"/>
      <c r="P1352" s="1"/>
      <c r="AA1352" s="1"/>
      <c r="AB1352" s="1"/>
      <c r="AG1352" s="1"/>
      <c r="AH1352" s="1"/>
      <c r="AK1352" s="1"/>
      <c r="AL1352" s="1"/>
      <c r="AM1352" s="2"/>
      <c r="AN1352" s="2"/>
      <c r="AQ1352" s="1"/>
      <c r="BG1352" s="1"/>
    </row>
    <row r="1353" spans="15:59">
      <c r="O1353" s="1"/>
      <c r="P1353" s="1"/>
      <c r="AA1353" s="1"/>
      <c r="AB1353" s="1"/>
      <c r="AG1353" s="1"/>
      <c r="AH1353" s="1"/>
      <c r="AK1353" s="1"/>
      <c r="AL1353" s="1"/>
      <c r="AM1353" s="2"/>
      <c r="AN1353" s="2"/>
      <c r="AQ1353" s="1"/>
      <c r="BG1353" s="1"/>
    </row>
    <row r="1354" spans="15:59">
      <c r="O1354" s="1"/>
      <c r="P1354" s="1"/>
      <c r="AA1354" s="1"/>
      <c r="AB1354" s="1"/>
      <c r="AG1354" s="1"/>
      <c r="AH1354" s="1"/>
      <c r="AK1354" s="1"/>
      <c r="AL1354" s="1"/>
      <c r="AM1354" s="2"/>
      <c r="AN1354" s="2"/>
      <c r="AQ1354" s="1"/>
      <c r="BG1354" s="1"/>
    </row>
    <row r="1355" spans="15:59">
      <c r="O1355" s="1"/>
      <c r="P1355" s="1"/>
      <c r="AA1355" s="1"/>
      <c r="AB1355" s="1"/>
      <c r="AG1355" s="1"/>
      <c r="AH1355" s="1"/>
      <c r="AK1355" s="1"/>
      <c r="AL1355" s="1"/>
      <c r="AM1355" s="2"/>
      <c r="AN1355" s="2"/>
      <c r="AQ1355" s="1"/>
      <c r="BG1355" s="1"/>
    </row>
    <row r="1356" spans="15:59">
      <c r="O1356" s="1"/>
      <c r="P1356" s="1"/>
      <c r="AA1356" s="1"/>
      <c r="AB1356" s="1"/>
      <c r="AG1356" s="1"/>
      <c r="AH1356" s="1"/>
      <c r="AK1356" s="1"/>
      <c r="AL1356" s="1"/>
      <c r="AM1356" s="2"/>
      <c r="AN1356" s="2"/>
      <c r="AQ1356" s="1"/>
      <c r="BG1356" s="1"/>
    </row>
    <row r="1357" spans="15:59">
      <c r="O1357" s="1"/>
      <c r="P1357" s="1"/>
      <c r="AA1357" s="1"/>
      <c r="AB1357" s="1"/>
      <c r="AG1357" s="1"/>
      <c r="AH1357" s="1"/>
      <c r="AK1357" s="1"/>
      <c r="AL1357" s="1"/>
      <c r="AM1357" s="2"/>
      <c r="AN1357" s="2"/>
      <c r="AQ1357" s="1"/>
      <c r="BG1357" s="1"/>
    </row>
    <row r="1358" spans="15:59">
      <c r="O1358" s="1"/>
      <c r="P1358" s="1"/>
      <c r="AA1358" s="1"/>
      <c r="AB1358" s="1"/>
      <c r="AG1358" s="1"/>
      <c r="AH1358" s="1"/>
      <c r="AK1358" s="1"/>
      <c r="AL1358" s="1"/>
      <c r="AM1358" s="2"/>
      <c r="AN1358" s="2"/>
      <c r="AQ1358" s="1"/>
      <c r="BG1358" s="1"/>
    </row>
    <row r="1359" spans="15:59">
      <c r="O1359" s="1"/>
      <c r="P1359" s="1"/>
      <c r="AA1359" s="1"/>
      <c r="AB1359" s="1"/>
      <c r="AG1359" s="1"/>
      <c r="AH1359" s="1"/>
      <c r="AK1359" s="1"/>
      <c r="AL1359" s="1"/>
      <c r="AM1359" s="2"/>
      <c r="AN1359" s="2"/>
      <c r="AQ1359" s="1"/>
      <c r="BG1359" s="1"/>
    </row>
    <row r="1360" spans="15:59">
      <c r="O1360" s="1"/>
      <c r="P1360" s="1"/>
      <c r="AA1360" s="1"/>
      <c r="AB1360" s="1"/>
      <c r="AG1360" s="1"/>
      <c r="AH1360" s="1"/>
      <c r="AK1360" s="1"/>
      <c r="AL1360" s="1"/>
      <c r="AM1360" s="2"/>
      <c r="AN1360" s="2"/>
      <c r="AQ1360" s="1"/>
      <c r="BG1360" s="1"/>
    </row>
    <row r="1361" spans="15:59">
      <c r="O1361" s="1"/>
      <c r="P1361" s="1"/>
      <c r="AA1361" s="1"/>
      <c r="AB1361" s="1"/>
      <c r="AG1361" s="1"/>
      <c r="AH1361" s="1"/>
      <c r="AK1361" s="1"/>
      <c r="AL1361" s="1"/>
      <c r="AM1361" s="2"/>
      <c r="AN1361" s="2"/>
      <c r="AQ1361" s="1"/>
      <c r="BG1361" s="1"/>
    </row>
    <row r="1362" spans="15:59">
      <c r="O1362" s="1"/>
      <c r="P1362" s="1"/>
      <c r="AA1362" s="1"/>
      <c r="AB1362" s="1"/>
      <c r="AG1362" s="1"/>
      <c r="AH1362" s="1"/>
      <c r="AK1362" s="1"/>
      <c r="AL1362" s="1"/>
      <c r="AM1362" s="2"/>
      <c r="AN1362" s="2"/>
      <c r="AQ1362" s="1"/>
      <c r="BG1362" s="1"/>
    </row>
    <row r="1363" spans="15:59">
      <c r="O1363" s="1"/>
      <c r="P1363" s="1"/>
      <c r="AA1363" s="1"/>
      <c r="AB1363" s="1"/>
      <c r="AG1363" s="1"/>
      <c r="AH1363" s="1"/>
      <c r="AK1363" s="1"/>
      <c r="AL1363" s="1"/>
      <c r="AM1363" s="2"/>
      <c r="AN1363" s="2"/>
      <c r="AQ1363" s="1"/>
      <c r="BG1363" s="1"/>
    </row>
    <row r="1364" spans="15:59">
      <c r="O1364" s="1"/>
      <c r="P1364" s="1"/>
      <c r="AA1364" s="1"/>
      <c r="AB1364" s="1"/>
      <c r="AG1364" s="1"/>
      <c r="AH1364" s="1"/>
      <c r="AK1364" s="1"/>
      <c r="AL1364" s="1"/>
      <c r="AM1364" s="2"/>
      <c r="AN1364" s="2"/>
      <c r="AQ1364" s="1"/>
      <c r="BG1364" s="1"/>
    </row>
    <row r="1365" spans="15:59">
      <c r="O1365" s="1"/>
      <c r="P1365" s="1"/>
      <c r="AA1365" s="1"/>
      <c r="AB1365" s="1"/>
      <c r="AG1365" s="1"/>
      <c r="AH1365" s="1"/>
      <c r="AK1365" s="1"/>
      <c r="AL1365" s="1"/>
      <c r="AM1365" s="2"/>
      <c r="AN1365" s="2"/>
      <c r="AQ1365" s="1"/>
      <c r="BG1365" s="1"/>
    </row>
    <row r="1366" spans="15:59">
      <c r="O1366" s="1"/>
      <c r="P1366" s="1"/>
      <c r="AA1366" s="1"/>
      <c r="AB1366" s="1"/>
      <c r="AG1366" s="1"/>
      <c r="AH1366" s="1"/>
      <c r="AK1366" s="1"/>
      <c r="AL1366" s="1"/>
      <c r="AM1366" s="2"/>
      <c r="AN1366" s="2"/>
      <c r="AQ1366" s="1"/>
      <c r="BG1366" s="1"/>
    </row>
    <row r="1367" spans="15:59">
      <c r="O1367" s="1"/>
      <c r="P1367" s="1"/>
      <c r="AA1367" s="1"/>
      <c r="AB1367" s="1"/>
      <c r="AG1367" s="1"/>
      <c r="AH1367" s="1"/>
      <c r="AK1367" s="1"/>
      <c r="AL1367" s="1"/>
      <c r="AM1367" s="2"/>
      <c r="AN1367" s="2"/>
      <c r="AQ1367" s="1"/>
      <c r="BG1367" s="1"/>
    </row>
    <row r="1368" spans="15:59">
      <c r="O1368" s="1"/>
      <c r="P1368" s="1"/>
      <c r="AA1368" s="1"/>
      <c r="AB1368" s="1"/>
      <c r="AG1368" s="1"/>
      <c r="AH1368" s="1"/>
      <c r="AK1368" s="1"/>
      <c r="AL1368" s="1"/>
      <c r="AM1368" s="2"/>
      <c r="AN1368" s="2"/>
      <c r="AQ1368" s="1"/>
      <c r="BG1368" s="1"/>
    </row>
    <row r="1369" spans="15:59">
      <c r="O1369" s="1"/>
      <c r="P1369" s="1"/>
      <c r="AA1369" s="1"/>
      <c r="AB1369" s="1"/>
      <c r="AG1369" s="1"/>
      <c r="AH1369" s="1"/>
      <c r="AK1369" s="1"/>
      <c r="AL1369" s="1"/>
      <c r="AM1369" s="2"/>
      <c r="AN1369" s="2"/>
      <c r="AQ1369" s="1"/>
      <c r="BG1369" s="1"/>
    </row>
    <row r="1370" spans="15:59">
      <c r="O1370" s="1"/>
      <c r="P1370" s="1"/>
      <c r="AA1370" s="1"/>
      <c r="AB1370" s="1"/>
      <c r="AG1370" s="1"/>
      <c r="AH1370" s="1"/>
      <c r="AK1370" s="1"/>
      <c r="AL1370" s="1"/>
      <c r="AM1370" s="2"/>
      <c r="AN1370" s="2"/>
      <c r="AQ1370" s="1"/>
      <c r="BG1370" s="1"/>
    </row>
    <row r="1371" spans="15:59">
      <c r="O1371" s="1"/>
      <c r="P1371" s="1"/>
      <c r="AA1371" s="1"/>
      <c r="AB1371" s="1"/>
      <c r="AG1371" s="1"/>
      <c r="AH1371" s="1"/>
      <c r="AK1371" s="1"/>
      <c r="AL1371" s="1"/>
      <c r="AM1371" s="2"/>
      <c r="AN1371" s="2"/>
      <c r="AQ1371" s="1"/>
      <c r="BG1371" s="1"/>
    </row>
    <row r="1372" spans="15:59">
      <c r="O1372" s="1"/>
      <c r="P1372" s="1"/>
      <c r="AA1372" s="1"/>
      <c r="AB1372" s="1"/>
      <c r="AG1372" s="1"/>
      <c r="AH1372" s="1"/>
      <c r="AK1372" s="1"/>
      <c r="AL1372" s="1"/>
      <c r="AM1372" s="2"/>
      <c r="AN1372" s="2"/>
      <c r="AQ1372" s="1"/>
      <c r="BG1372" s="1"/>
    </row>
    <row r="1373" spans="15:59">
      <c r="O1373" s="1"/>
      <c r="P1373" s="1"/>
      <c r="AA1373" s="1"/>
      <c r="AB1373" s="1"/>
      <c r="AG1373" s="1"/>
      <c r="AH1373" s="1"/>
      <c r="AK1373" s="1"/>
      <c r="AL1373" s="1"/>
      <c r="AM1373" s="2"/>
      <c r="AN1373" s="2"/>
      <c r="AQ1373" s="1"/>
      <c r="BG1373" s="1"/>
    </row>
    <row r="1374" spans="15:59">
      <c r="O1374" s="1"/>
      <c r="P1374" s="1"/>
      <c r="AA1374" s="1"/>
      <c r="AB1374" s="1"/>
      <c r="AG1374" s="1"/>
      <c r="AH1374" s="1"/>
      <c r="AK1374" s="1"/>
      <c r="AL1374" s="1"/>
      <c r="AM1374" s="2"/>
      <c r="AN1374" s="2"/>
      <c r="AQ1374" s="1"/>
      <c r="BG1374" s="1"/>
    </row>
    <row r="1375" spans="15:59">
      <c r="O1375" s="1"/>
      <c r="P1375" s="1"/>
      <c r="AA1375" s="1"/>
      <c r="AB1375" s="1"/>
      <c r="AG1375" s="1"/>
      <c r="AH1375" s="1"/>
      <c r="AK1375" s="1"/>
      <c r="AL1375" s="1"/>
      <c r="AM1375" s="2"/>
      <c r="AN1375" s="2"/>
      <c r="AQ1375" s="1"/>
      <c r="BG1375" s="1"/>
    </row>
    <row r="1376" spans="15:59">
      <c r="O1376" s="1"/>
      <c r="P1376" s="1"/>
      <c r="AA1376" s="1"/>
      <c r="AB1376" s="1"/>
      <c r="AG1376" s="1"/>
      <c r="AH1376" s="1"/>
      <c r="AK1376" s="1"/>
      <c r="AL1376" s="1"/>
      <c r="AM1376" s="2"/>
      <c r="AN1376" s="2"/>
      <c r="AQ1376" s="1"/>
      <c r="BG1376" s="1"/>
    </row>
    <row r="1377" spans="15:59">
      <c r="O1377" s="1"/>
      <c r="P1377" s="1"/>
      <c r="AA1377" s="1"/>
      <c r="AB1377" s="1"/>
      <c r="AG1377" s="1"/>
      <c r="AH1377" s="1"/>
      <c r="AK1377" s="1"/>
      <c r="AL1377" s="1"/>
      <c r="AM1377" s="2"/>
      <c r="AN1377" s="2"/>
      <c r="AQ1377" s="1"/>
      <c r="BG1377" s="1"/>
    </row>
    <row r="1378" spans="15:59">
      <c r="O1378" s="1"/>
      <c r="P1378" s="1"/>
      <c r="AA1378" s="1"/>
      <c r="AB1378" s="1"/>
      <c r="AG1378" s="1"/>
      <c r="AH1378" s="1"/>
      <c r="AK1378" s="1"/>
      <c r="AL1378" s="1"/>
      <c r="AM1378" s="2"/>
      <c r="AN1378" s="2"/>
      <c r="AQ1378" s="1"/>
      <c r="BG1378" s="1"/>
    </row>
    <row r="1379" spans="15:59">
      <c r="O1379" s="1"/>
      <c r="P1379" s="1"/>
      <c r="AA1379" s="1"/>
      <c r="AB1379" s="1"/>
      <c r="AG1379" s="1"/>
      <c r="AH1379" s="1"/>
      <c r="AK1379" s="1"/>
      <c r="AL1379" s="1"/>
      <c r="AM1379" s="2"/>
      <c r="AN1379" s="2"/>
      <c r="AQ1379" s="1"/>
      <c r="BG1379" s="1"/>
    </row>
    <row r="1380" spans="15:59">
      <c r="O1380" s="1"/>
      <c r="P1380" s="1"/>
      <c r="AA1380" s="1"/>
      <c r="AB1380" s="1"/>
      <c r="AG1380" s="1"/>
      <c r="AH1380" s="1"/>
      <c r="AK1380" s="1"/>
      <c r="AL1380" s="1"/>
      <c r="AM1380" s="2"/>
      <c r="AN1380" s="2"/>
      <c r="AQ1380" s="1"/>
      <c r="BG1380" s="1"/>
    </row>
    <row r="1381" spans="15:59">
      <c r="O1381" s="1"/>
      <c r="P1381" s="1"/>
      <c r="AA1381" s="1"/>
      <c r="AB1381" s="1"/>
      <c r="AG1381" s="1"/>
      <c r="AH1381" s="1"/>
      <c r="AK1381" s="1"/>
      <c r="AL1381" s="1"/>
      <c r="AM1381" s="2"/>
      <c r="AN1381" s="2"/>
      <c r="AQ1381" s="1"/>
      <c r="BG1381" s="1"/>
    </row>
    <row r="1382" spans="15:59">
      <c r="O1382" s="1"/>
      <c r="P1382" s="1"/>
      <c r="AA1382" s="1"/>
      <c r="AB1382" s="1"/>
      <c r="AG1382" s="1"/>
      <c r="AH1382" s="1"/>
      <c r="AK1382" s="1"/>
      <c r="AL1382" s="1"/>
      <c r="AM1382" s="2"/>
      <c r="AN1382" s="2"/>
      <c r="AQ1382" s="1"/>
      <c r="BG1382" s="1"/>
    </row>
    <row r="1383" spans="15:59">
      <c r="O1383" s="1"/>
      <c r="P1383" s="1"/>
      <c r="AA1383" s="1"/>
      <c r="AB1383" s="1"/>
      <c r="AG1383" s="1"/>
      <c r="AH1383" s="1"/>
      <c r="AK1383" s="1"/>
      <c r="AL1383" s="1"/>
      <c r="AM1383" s="2"/>
      <c r="AN1383" s="2"/>
      <c r="AQ1383" s="1"/>
      <c r="BG1383" s="1"/>
    </row>
    <row r="1384" spans="15:59">
      <c r="O1384" s="1"/>
      <c r="P1384" s="1"/>
      <c r="AA1384" s="1"/>
      <c r="AB1384" s="1"/>
      <c r="AG1384" s="1"/>
      <c r="AH1384" s="1"/>
      <c r="AK1384" s="1"/>
      <c r="AL1384" s="1"/>
      <c r="AM1384" s="2"/>
      <c r="AN1384" s="2"/>
      <c r="AQ1384" s="1"/>
      <c r="BG1384" s="1"/>
    </row>
    <row r="1385" spans="15:59">
      <c r="O1385" s="1"/>
      <c r="P1385" s="1"/>
      <c r="AA1385" s="1"/>
      <c r="AB1385" s="1"/>
      <c r="AG1385" s="1"/>
      <c r="AH1385" s="1"/>
      <c r="AK1385" s="1"/>
      <c r="AL1385" s="1"/>
      <c r="AM1385" s="2"/>
      <c r="AN1385" s="2"/>
      <c r="AQ1385" s="1"/>
      <c r="BG1385" s="1"/>
    </row>
    <row r="1386" spans="15:59">
      <c r="O1386" s="1"/>
      <c r="P1386" s="1"/>
      <c r="AA1386" s="1"/>
      <c r="AB1386" s="1"/>
      <c r="AG1386" s="1"/>
      <c r="AH1386" s="1"/>
      <c r="AK1386" s="1"/>
      <c r="AL1386" s="1"/>
      <c r="AM1386" s="2"/>
      <c r="AN1386" s="2"/>
      <c r="AQ1386" s="1"/>
      <c r="BG1386" s="1"/>
    </row>
    <row r="1387" spans="15:59">
      <c r="O1387" s="1"/>
      <c r="P1387" s="1"/>
      <c r="AA1387" s="1"/>
      <c r="AB1387" s="1"/>
      <c r="AG1387" s="1"/>
      <c r="AH1387" s="1"/>
      <c r="AK1387" s="1"/>
      <c r="AL1387" s="1"/>
      <c r="AM1387" s="2"/>
      <c r="AN1387" s="2"/>
      <c r="AQ1387" s="1"/>
      <c r="BG1387" s="1"/>
    </row>
    <row r="1388" spans="15:59">
      <c r="O1388" s="1"/>
      <c r="P1388" s="1"/>
      <c r="AA1388" s="1"/>
      <c r="AB1388" s="1"/>
      <c r="AG1388" s="1"/>
      <c r="AH1388" s="1"/>
      <c r="AK1388" s="1"/>
      <c r="AL1388" s="1"/>
      <c r="AM1388" s="2"/>
      <c r="AN1388" s="2"/>
      <c r="AQ1388" s="1"/>
      <c r="BG1388" s="1"/>
    </row>
    <row r="1389" spans="15:59">
      <c r="O1389" s="1"/>
      <c r="P1389" s="1"/>
      <c r="AA1389" s="1"/>
      <c r="AB1389" s="1"/>
      <c r="AG1389" s="1"/>
      <c r="AH1389" s="1"/>
      <c r="AK1389" s="1"/>
      <c r="AL1389" s="1"/>
      <c r="AM1389" s="2"/>
      <c r="AN1389" s="2"/>
      <c r="AQ1389" s="1"/>
      <c r="BG1389" s="1"/>
    </row>
    <row r="1390" spans="15:59">
      <c r="O1390" s="1"/>
      <c r="P1390" s="1"/>
      <c r="AA1390" s="1"/>
      <c r="AB1390" s="1"/>
      <c r="AG1390" s="1"/>
      <c r="AH1390" s="1"/>
      <c r="AK1390" s="1"/>
      <c r="AL1390" s="1"/>
      <c r="AM1390" s="2"/>
      <c r="AN1390" s="2"/>
      <c r="AQ1390" s="1"/>
      <c r="BG1390" s="1"/>
    </row>
    <row r="1391" spans="15:59">
      <c r="O1391" s="1"/>
      <c r="P1391" s="1"/>
      <c r="AA1391" s="1"/>
      <c r="AB1391" s="1"/>
      <c r="AG1391" s="1"/>
      <c r="AH1391" s="1"/>
      <c r="AK1391" s="1"/>
      <c r="AL1391" s="1"/>
      <c r="AM1391" s="2"/>
      <c r="AN1391" s="2"/>
      <c r="AQ1391" s="1"/>
      <c r="BG1391" s="1"/>
    </row>
    <row r="1392" spans="15:59">
      <c r="O1392" s="1"/>
      <c r="P1392" s="1"/>
      <c r="AA1392" s="1"/>
      <c r="AB1392" s="1"/>
      <c r="AG1392" s="1"/>
      <c r="AH1392" s="1"/>
      <c r="AK1392" s="1"/>
      <c r="AL1392" s="1"/>
      <c r="AM1392" s="2"/>
      <c r="AN1392" s="2"/>
      <c r="AQ1392" s="1"/>
      <c r="BG1392" s="1"/>
    </row>
    <row r="1393" spans="15:59">
      <c r="O1393" s="1"/>
      <c r="P1393" s="1"/>
      <c r="AA1393" s="1"/>
      <c r="AB1393" s="1"/>
      <c r="AG1393" s="1"/>
      <c r="AH1393" s="1"/>
      <c r="AK1393" s="1"/>
      <c r="AL1393" s="1"/>
      <c r="AM1393" s="2"/>
      <c r="AN1393" s="2"/>
      <c r="AQ1393" s="1"/>
      <c r="BG1393" s="1"/>
    </row>
    <row r="1394" spans="15:59">
      <c r="O1394" s="1"/>
      <c r="P1394" s="1"/>
      <c r="AA1394" s="1"/>
      <c r="AB1394" s="1"/>
      <c r="AG1394" s="1"/>
      <c r="AH1394" s="1"/>
      <c r="AK1394" s="1"/>
      <c r="AL1394" s="1"/>
      <c r="AM1394" s="2"/>
      <c r="AN1394" s="2"/>
      <c r="AQ1394" s="1"/>
      <c r="BG1394" s="1"/>
    </row>
    <row r="1395" spans="15:59">
      <c r="O1395" s="1"/>
      <c r="P1395" s="1"/>
      <c r="AA1395" s="1"/>
      <c r="AB1395" s="1"/>
      <c r="AG1395" s="1"/>
      <c r="AH1395" s="1"/>
      <c r="AK1395" s="1"/>
      <c r="AL1395" s="1"/>
      <c r="AM1395" s="2"/>
      <c r="AN1395" s="2"/>
      <c r="AQ1395" s="1"/>
      <c r="BG1395" s="1"/>
    </row>
    <row r="1396" spans="15:59">
      <c r="O1396" s="1"/>
      <c r="P1396" s="1"/>
      <c r="AA1396" s="1"/>
      <c r="AB1396" s="1"/>
      <c r="AG1396" s="1"/>
      <c r="AH1396" s="1"/>
      <c r="AK1396" s="1"/>
      <c r="AL1396" s="1"/>
      <c r="AM1396" s="2"/>
      <c r="AN1396" s="2"/>
      <c r="AQ1396" s="1"/>
      <c r="BG1396" s="1"/>
    </row>
    <row r="1397" spans="15:59">
      <c r="O1397" s="1"/>
      <c r="P1397" s="1"/>
      <c r="AA1397" s="1"/>
      <c r="AB1397" s="1"/>
      <c r="AG1397" s="1"/>
      <c r="AH1397" s="1"/>
      <c r="AK1397" s="1"/>
      <c r="AL1397" s="1"/>
      <c r="AM1397" s="2"/>
      <c r="AN1397" s="2"/>
      <c r="AQ1397" s="1"/>
      <c r="BG1397" s="1"/>
    </row>
    <row r="1398" spans="15:59">
      <c r="O1398" s="1"/>
      <c r="P1398" s="1"/>
      <c r="AA1398" s="1"/>
      <c r="AB1398" s="1"/>
      <c r="AG1398" s="1"/>
      <c r="AH1398" s="1"/>
      <c r="AK1398" s="1"/>
      <c r="AL1398" s="1"/>
      <c r="AM1398" s="2"/>
      <c r="AN1398" s="2"/>
      <c r="AQ1398" s="1"/>
      <c r="BG1398" s="1"/>
    </row>
    <row r="1399" spans="15:59">
      <c r="O1399" s="1"/>
      <c r="P1399" s="1"/>
      <c r="AA1399" s="1"/>
      <c r="AB1399" s="1"/>
      <c r="AG1399" s="1"/>
      <c r="AH1399" s="1"/>
      <c r="AK1399" s="1"/>
      <c r="AL1399" s="1"/>
      <c r="AM1399" s="2"/>
      <c r="AN1399" s="2"/>
      <c r="AQ1399" s="1"/>
      <c r="BG1399" s="1"/>
    </row>
    <row r="1400" spans="15:59">
      <c r="O1400" s="1"/>
      <c r="P1400" s="1"/>
      <c r="AA1400" s="1"/>
      <c r="AB1400" s="1"/>
      <c r="AG1400" s="1"/>
      <c r="AH1400" s="1"/>
      <c r="AK1400" s="1"/>
      <c r="AL1400" s="1"/>
      <c r="AM1400" s="2"/>
      <c r="AN1400" s="2"/>
      <c r="AQ1400" s="1"/>
      <c r="BG1400" s="1"/>
    </row>
    <row r="1401" spans="15:59">
      <c r="O1401" s="1"/>
      <c r="P1401" s="1"/>
      <c r="AA1401" s="1"/>
      <c r="AB1401" s="1"/>
      <c r="AG1401" s="1"/>
      <c r="AH1401" s="1"/>
      <c r="AK1401" s="1"/>
      <c r="AL1401" s="1"/>
      <c r="AM1401" s="2"/>
      <c r="AN1401" s="2"/>
      <c r="AQ1401" s="1"/>
      <c r="BG1401" s="1"/>
    </row>
    <row r="1402" spans="15:59">
      <c r="O1402" s="1"/>
      <c r="P1402" s="1"/>
      <c r="AA1402" s="1"/>
      <c r="AB1402" s="1"/>
      <c r="AG1402" s="1"/>
      <c r="AH1402" s="1"/>
      <c r="AK1402" s="1"/>
      <c r="AL1402" s="1"/>
      <c r="AM1402" s="2"/>
      <c r="AN1402" s="2"/>
      <c r="AQ1402" s="1"/>
      <c r="BG1402" s="1"/>
    </row>
    <row r="1403" spans="15:59">
      <c r="O1403" s="1"/>
      <c r="P1403" s="1"/>
      <c r="AA1403" s="1"/>
      <c r="AB1403" s="1"/>
      <c r="AG1403" s="1"/>
      <c r="AH1403" s="1"/>
      <c r="AK1403" s="1"/>
      <c r="AL1403" s="1"/>
      <c r="AM1403" s="2"/>
      <c r="AN1403" s="2"/>
      <c r="AQ1403" s="1"/>
      <c r="BG1403" s="1"/>
    </row>
    <row r="1404" spans="15:59">
      <c r="O1404" s="1"/>
      <c r="P1404" s="1"/>
      <c r="AA1404" s="1"/>
      <c r="AB1404" s="1"/>
      <c r="AG1404" s="1"/>
      <c r="AH1404" s="1"/>
      <c r="AK1404" s="1"/>
      <c r="AL1404" s="1"/>
      <c r="AM1404" s="2"/>
      <c r="AN1404" s="2"/>
      <c r="AQ1404" s="1"/>
      <c r="BG1404" s="1"/>
    </row>
    <row r="1405" spans="15:59">
      <c r="O1405" s="1"/>
      <c r="P1405" s="1"/>
      <c r="AA1405" s="1"/>
      <c r="AB1405" s="1"/>
      <c r="AG1405" s="1"/>
      <c r="AH1405" s="1"/>
      <c r="AK1405" s="1"/>
      <c r="AL1405" s="1"/>
      <c r="AM1405" s="2"/>
      <c r="AN1405" s="2"/>
      <c r="AQ1405" s="1"/>
      <c r="BG1405" s="1"/>
    </row>
    <row r="1406" spans="15:59">
      <c r="O1406" s="1"/>
      <c r="P1406" s="1"/>
      <c r="AA1406" s="1"/>
      <c r="AB1406" s="1"/>
      <c r="AG1406" s="1"/>
      <c r="AH1406" s="1"/>
      <c r="AK1406" s="1"/>
      <c r="AL1406" s="1"/>
      <c r="AM1406" s="2"/>
      <c r="AN1406" s="2"/>
      <c r="AQ1406" s="1"/>
      <c r="BG1406" s="1"/>
    </row>
    <row r="1407" spans="15:59">
      <c r="O1407" s="1"/>
      <c r="P1407" s="1"/>
      <c r="AA1407" s="1"/>
      <c r="AB1407" s="1"/>
      <c r="AG1407" s="1"/>
      <c r="AH1407" s="1"/>
      <c r="AK1407" s="1"/>
      <c r="AL1407" s="1"/>
      <c r="AM1407" s="2"/>
      <c r="AN1407" s="2"/>
      <c r="AQ1407" s="1"/>
      <c r="BG1407" s="1"/>
    </row>
    <row r="1408" spans="15:59">
      <c r="O1408" s="1"/>
      <c r="P1408" s="1"/>
      <c r="AA1408" s="1"/>
      <c r="AB1408" s="1"/>
      <c r="AG1408" s="1"/>
      <c r="AH1408" s="1"/>
      <c r="AK1408" s="1"/>
      <c r="AL1408" s="1"/>
      <c r="AM1408" s="2"/>
      <c r="AN1408" s="2"/>
      <c r="AQ1408" s="1"/>
      <c r="BG1408" s="1"/>
    </row>
    <row r="1409" spans="15:59">
      <c r="O1409" s="1"/>
      <c r="P1409" s="1"/>
      <c r="AA1409" s="1"/>
      <c r="AB1409" s="1"/>
      <c r="AG1409" s="1"/>
      <c r="AH1409" s="1"/>
      <c r="AK1409" s="1"/>
      <c r="AL1409" s="1"/>
      <c r="AM1409" s="2"/>
      <c r="AN1409" s="2"/>
      <c r="AQ1409" s="1"/>
      <c r="BG1409" s="1"/>
    </row>
    <row r="1410" spans="15:59">
      <c r="O1410" s="1"/>
      <c r="P1410" s="1"/>
      <c r="AA1410" s="1"/>
      <c r="AB1410" s="1"/>
      <c r="AG1410" s="1"/>
      <c r="AH1410" s="1"/>
      <c r="AK1410" s="1"/>
      <c r="AL1410" s="1"/>
      <c r="AM1410" s="2"/>
      <c r="AN1410" s="2"/>
      <c r="AQ1410" s="1"/>
      <c r="BG1410" s="1"/>
    </row>
    <row r="1411" spans="15:59">
      <c r="O1411" s="1"/>
      <c r="P1411" s="1"/>
      <c r="AA1411" s="1"/>
      <c r="AB1411" s="1"/>
      <c r="AG1411" s="1"/>
      <c r="AH1411" s="1"/>
      <c r="AK1411" s="1"/>
      <c r="AL1411" s="1"/>
      <c r="AM1411" s="2"/>
      <c r="AN1411" s="2"/>
      <c r="AQ1411" s="1"/>
      <c r="BG1411" s="1"/>
    </row>
    <row r="1412" spans="15:59">
      <c r="O1412" s="1"/>
      <c r="P1412" s="1"/>
      <c r="AA1412" s="1"/>
      <c r="AB1412" s="1"/>
      <c r="AG1412" s="1"/>
      <c r="AH1412" s="1"/>
      <c r="AK1412" s="1"/>
      <c r="AL1412" s="1"/>
      <c r="AM1412" s="2"/>
      <c r="AN1412" s="2"/>
      <c r="AQ1412" s="1"/>
      <c r="BG1412" s="1"/>
    </row>
    <row r="1413" spans="15:59">
      <c r="O1413" s="1"/>
      <c r="P1413" s="1"/>
      <c r="AA1413" s="1"/>
      <c r="AB1413" s="1"/>
      <c r="AG1413" s="1"/>
      <c r="AH1413" s="1"/>
      <c r="AK1413" s="1"/>
      <c r="AL1413" s="1"/>
      <c r="AM1413" s="2"/>
      <c r="AN1413" s="2"/>
      <c r="AQ1413" s="1"/>
      <c r="BG1413" s="1"/>
    </row>
    <row r="1414" spans="15:59">
      <c r="O1414" s="1"/>
      <c r="P1414" s="1"/>
      <c r="AA1414" s="1"/>
      <c r="AB1414" s="1"/>
      <c r="AG1414" s="1"/>
      <c r="AH1414" s="1"/>
      <c r="AK1414" s="1"/>
      <c r="AL1414" s="1"/>
      <c r="AM1414" s="2"/>
      <c r="AN1414" s="2"/>
      <c r="AQ1414" s="1"/>
      <c r="BG1414" s="1"/>
    </row>
    <row r="1415" spans="15:59">
      <c r="O1415" s="1"/>
      <c r="P1415" s="1"/>
      <c r="AA1415" s="1"/>
      <c r="AB1415" s="1"/>
      <c r="AG1415" s="1"/>
      <c r="AH1415" s="1"/>
      <c r="AK1415" s="1"/>
      <c r="AL1415" s="1"/>
      <c r="AM1415" s="2"/>
      <c r="AN1415" s="2"/>
      <c r="AQ1415" s="1"/>
      <c r="BG1415" s="1"/>
    </row>
    <row r="1416" spans="15:59">
      <c r="O1416" s="1"/>
      <c r="P1416" s="1"/>
      <c r="AA1416" s="1"/>
      <c r="AB1416" s="1"/>
      <c r="AG1416" s="1"/>
      <c r="AH1416" s="1"/>
      <c r="AK1416" s="1"/>
      <c r="AL1416" s="1"/>
      <c r="AM1416" s="2"/>
      <c r="AN1416" s="2"/>
      <c r="AQ1416" s="1"/>
      <c r="BG1416" s="1"/>
    </row>
    <row r="1417" spans="15:59">
      <c r="O1417" s="1"/>
      <c r="P1417" s="1"/>
      <c r="AA1417" s="1"/>
      <c r="AB1417" s="1"/>
      <c r="AG1417" s="1"/>
      <c r="AH1417" s="1"/>
      <c r="AK1417" s="1"/>
      <c r="AL1417" s="1"/>
      <c r="AM1417" s="2"/>
      <c r="AN1417" s="2"/>
      <c r="AQ1417" s="1"/>
      <c r="BG1417" s="1"/>
    </row>
    <row r="1418" spans="15:59">
      <c r="O1418" s="1"/>
      <c r="P1418" s="1"/>
      <c r="AA1418" s="1"/>
      <c r="AB1418" s="1"/>
      <c r="AG1418" s="1"/>
      <c r="AH1418" s="1"/>
      <c r="AK1418" s="1"/>
      <c r="AL1418" s="1"/>
      <c r="AM1418" s="2"/>
      <c r="AN1418" s="2"/>
      <c r="AQ1418" s="1"/>
      <c r="BG1418" s="1"/>
    </row>
    <row r="1419" spans="15:59">
      <c r="O1419" s="1"/>
      <c r="P1419" s="1"/>
      <c r="AA1419" s="1"/>
      <c r="AB1419" s="1"/>
      <c r="AG1419" s="1"/>
      <c r="AH1419" s="1"/>
      <c r="AK1419" s="1"/>
      <c r="AL1419" s="1"/>
      <c r="AM1419" s="2"/>
      <c r="AN1419" s="2"/>
      <c r="AQ1419" s="1"/>
      <c r="BG1419" s="1"/>
    </row>
    <row r="1420" spans="15:59">
      <c r="O1420" s="1"/>
      <c r="P1420" s="1"/>
      <c r="AA1420" s="1"/>
      <c r="AB1420" s="1"/>
      <c r="AG1420" s="1"/>
      <c r="AH1420" s="1"/>
      <c r="AK1420" s="1"/>
      <c r="AL1420" s="1"/>
      <c r="AM1420" s="2"/>
      <c r="AN1420" s="2"/>
      <c r="AQ1420" s="1"/>
      <c r="BG1420" s="1"/>
    </row>
    <row r="1421" spans="15:59">
      <c r="O1421" s="1"/>
      <c r="P1421" s="1"/>
      <c r="AA1421" s="1"/>
      <c r="AB1421" s="1"/>
      <c r="AG1421" s="1"/>
      <c r="AH1421" s="1"/>
      <c r="AK1421" s="1"/>
      <c r="AL1421" s="1"/>
      <c r="AM1421" s="2"/>
      <c r="AN1421" s="2"/>
      <c r="AQ1421" s="1"/>
      <c r="BG1421" s="1"/>
    </row>
    <row r="1422" spans="15:59">
      <c r="O1422" s="1"/>
      <c r="P1422" s="1"/>
      <c r="AA1422" s="1"/>
      <c r="AB1422" s="1"/>
      <c r="AG1422" s="1"/>
      <c r="AH1422" s="1"/>
      <c r="AK1422" s="1"/>
      <c r="AL1422" s="1"/>
      <c r="AM1422" s="2"/>
      <c r="AN1422" s="2"/>
      <c r="AQ1422" s="1"/>
      <c r="BG1422" s="1"/>
    </row>
    <row r="1423" spans="15:59">
      <c r="O1423" s="1"/>
      <c r="P1423" s="1"/>
      <c r="AA1423" s="1"/>
      <c r="AB1423" s="1"/>
      <c r="AG1423" s="1"/>
      <c r="AH1423" s="1"/>
      <c r="AK1423" s="1"/>
      <c r="AL1423" s="1"/>
      <c r="AM1423" s="2"/>
      <c r="AN1423" s="2"/>
      <c r="AQ1423" s="1"/>
      <c r="BG1423" s="1"/>
    </row>
    <row r="1424" spans="15:59">
      <c r="O1424" s="1"/>
      <c r="P1424" s="1"/>
      <c r="AA1424" s="1"/>
      <c r="AB1424" s="1"/>
      <c r="AG1424" s="1"/>
      <c r="AH1424" s="1"/>
      <c r="AK1424" s="1"/>
      <c r="AL1424" s="1"/>
      <c r="AM1424" s="2"/>
      <c r="AN1424" s="2"/>
      <c r="AQ1424" s="1"/>
      <c r="BG1424" s="1"/>
    </row>
    <row r="1425" spans="15:59">
      <c r="O1425" s="1"/>
      <c r="P1425" s="1"/>
      <c r="AA1425" s="1"/>
      <c r="AB1425" s="1"/>
      <c r="AG1425" s="1"/>
      <c r="AH1425" s="1"/>
      <c r="AK1425" s="1"/>
      <c r="AL1425" s="1"/>
      <c r="AM1425" s="2"/>
      <c r="AN1425" s="2"/>
      <c r="AQ1425" s="1"/>
      <c r="BG1425" s="1"/>
    </row>
    <row r="1426" spans="15:59">
      <c r="O1426" s="1"/>
      <c r="P1426" s="1"/>
      <c r="AA1426" s="1"/>
      <c r="AB1426" s="1"/>
      <c r="AG1426" s="1"/>
      <c r="AH1426" s="1"/>
      <c r="AK1426" s="1"/>
      <c r="AL1426" s="1"/>
      <c r="AM1426" s="2"/>
      <c r="AN1426" s="2"/>
      <c r="AQ1426" s="1"/>
      <c r="BG1426" s="1"/>
    </row>
    <row r="1427" spans="15:59">
      <c r="O1427" s="1"/>
      <c r="P1427" s="1"/>
      <c r="AA1427" s="1"/>
      <c r="AB1427" s="1"/>
      <c r="AG1427" s="1"/>
      <c r="AH1427" s="1"/>
      <c r="AK1427" s="1"/>
      <c r="AL1427" s="1"/>
      <c r="AM1427" s="2"/>
      <c r="AN1427" s="2"/>
      <c r="AQ1427" s="1"/>
      <c r="BG1427" s="1"/>
    </row>
    <row r="1428" spans="15:59">
      <c r="O1428" s="1"/>
      <c r="P1428" s="1"/>
      <c r="AA1428" s="1"/>
      <c r="AB1428" s="1"/>
      <c r="AG1428" s="1"/>
      <c r="AH1428" s="1"/>
      <c r="AK1428" s="1"/>
      <c r="AL1428" s="1"/>
      <c r="AM1428" s="2"/>
      <c r="AN1428" s="2"/>
      <c r="AQ1428" s="1"/>
      <c r="BG1428" s="1"/>
    </row>
    <row r="1429" spans="15:59">
      <c r="O1429" s="1"/>
      <c r="P1429" s="1"/>
      <c r="AA1429" s="1"/>
      <c r="AB1429" s="1"/>
      <c r="AG1429" s="1"/>
      <c r="AH1429" s="1"/>
      <c r="AK1429" s="1"/>
      <c r="AL1429" s="1"/>
      <c r="AM1429" s="2"/>
      <c r="AN1429" s="2"/>
      <c r="AQ1429" s="1"/>
      <c r="BG1429" s="1"/>
    </row>
    <row r="1430" spans="15:59">
      <c r="O1430" s="1"/>
      <c r="P1430" s="1"/>
      <c r="AA1430" s="1"/>
      <c r="AB1430" s="1"/>
      <c r="AG1430" s="1"/>
      <c r="AH1430" s="1"/>
      <c r="AK1430" s="1"/>
      <c r="AL1430" s="1"/>
      <c r="AM1430" s="2"/>
      <c r="AN1430" s="2"/>
      <c r="AQ1430" s="1"/>
      <c r="BG1430" s="1"/>
    </row>
    <row r="1431" spans="15:59">
      <c r="O1431" s="1"/>
      <c r="P1431" s="1"/>
      <c r="AA1431" s="1"/>
      <c r="AB1431" s="1"/>
      <c r="AG1431" s="1"/>
      <c r="AH1431" s="1"/>
      <c r="AK1431" s="1"/>
      <c r="AL1431" s="1"/>
      <c r="AM1431" s="2"/>
      <c r="AN1431" s="2"/>
      <c r="AQ1431" s="1"/>
      <c r="BG1431" s="1"/>
    </row>
    <row r="1432" spans="15:59">
      <c r="O1432" s="1"/>
      <c r="P1432" s="1"/>
      <c r="AA1432" s="1"/>
      <c r="AB1432" s="1"/>
      <c r="AG1432" s="1"/>
      <c r="AH1432" s="1"/>
      <c r="AK1432" s="1"/>
      <c r="AL1432" s="1"/>
      <c r="AM1432" s="2"/>
      <c r="AN1432" s="2"/>
      <c r="AQ1432" s="1"/>
      <c r="BG1432" s="1"/>
    </row>
    <row r="1433" spans="15:59">
      <c r="O1433" s="1"/>
      <c r="P1433" s="1"/>
      <c r="AA1433" s="1"/>
      <c r="AB1433" s="1"/>
      <c r="AG1433" s="1"/>
      <c r="AH1433" s="1"/>
      <c r="AK1433" s="1"/>
      <c r="AL1433" s="1"/>
      <c r="AM1433" s="2"/>
      <c r="AN1433" s="2"/>
      <c r="AQ1433" s="1"/>
      <c r="BG1433" s="1"/>
    </row>
    <row r="1434" spans="15:59">
      <c r="O1434" s="1"/>
      <c r="P1434" s="1"/>
      <c r="AA1434" s="1"/>
      <c r="AB1434" s="1"/>
      <c r="AG1434" s="1"/>
      <c r="AH1434" s="1"/>
      <c r="AK1434" s="1"/>
      <c r="AL1434" s="1"/>
      <c r="AM1434" s="2"/>
      <c r="AN1434" s="2"/>
      <c r="AQ1434" s="1"/>
      <c r="BG1434" s="1"/>
    </row>
    <row r="1435" spans="15:59">
      <c r="O1435" s="1"/>
      <c r="P1435" s="1"/>
      <c r="AA1435" s="1"/>
      <c r="AB1435" s="1"/>
      <c r="AG1435" s="1"/>
      <c r="AH1435" s="1"/>
      <c r="AK1435" s="1"/>
      <c r="AL1435" s="1"/>
      <c r="AM1435" s="2"/>
      <c r="AN1435" s="2"/>
      <c r="AQ1435" s="1"/>
      <c r="BG1435" s="1"/>
    </row>
    <row r="1436" spans="15:59">
      <c r="O1436" s="1"/>
      <c r="P1436" s="1"/>
      <c r="AA1436" s="1"/>
      <c r="AB1436" s="1"/>
      <c r="AG1436" s="1"/>
      <c r="AH1436" s="1"/>
      <c r="AK1436" s="1"/>
      <c r="AL1436" s="1"/>
      <c r="AM1436" s="2"/>
      <c r="AN1436" s="2"/>
      <c r="AQ1436" s="1"/>
      <c r="BG1436" s="1"/>
    </row>
    <row r="1437" spans="15:59">
      <c r="O1437" s="1"/>
      <c r="P1437" s="1"/>
      <c r="AA1437" s="1"/>
      <c r="AB1437" s="1"/>
      <c r="AG1437" s="1"/>
      <c r="AH1437" s="1"/>
      <c r="AK1437" s="1"/>
      <c r="AL1437" s="1"/>
      <c r="AM1437" s="2"/>
      <c r="AN1437" s="2"/>
      <c r="AQ1437" s="1"/>
      <c r="BG1437" s="1"/>
    </row>
    <row r="1438" spans="15:59">
      <c r="O1438" s="1"/>
      <c r="P1438" s="1"/>
      <c r="AA1438" s="1"/>
      <c r="AB1438" s="1"/>
      <c r="AG1438" s="1"/>
      <c r="AH1438" s="1"/>
      <c r="AK1438" s="1"/>
      <c r="AL1438" s="1"/>
      <c r="AM1438" s="2"/>
      <c r="AN1438" s="2"/>
      <c r="AQ1438" s="1"/>
      <c r="BG1438" s="1"/>
    </row>
    <row r="1439" spans="15:59">
      <c r="O1439" s="1"/>
      <c r="P1439" s="1"/>
      <c r="AA1439" s="1"/>
      <c r="AB1439" s="1"/>
      <c r="AG1439" s="1"/>
      <c r="AH1439" s="1"/>
      <c r="AK1439" s="1"/>
      <c r="AL1439" s="1"/>
      <c r="AM1439" s="2"/>
      <c r="AN1439" s="2"/>
      <c r="AQ1439" s="1"/>
      <c r="BG1439" s="1"/>
    </row>
    <row r="1440" spans="15:59">
      <c r="O1440" s="1"/>
      <c r="P1440" s="1"/>
      <c r="AA1440" s="1"/>
      <c r="AB1440" s="1"/>
      <c r="AG1440" s="1"/>
      <c r="AH1440" s="1"/>
      <c r="AK1440" s="1"/>
      <c r="AL1440" s="1"/>
      <c r="AM1440" s="2"/>
      <c r="AN1440" s="2"/>
      <c r="AQ1440" s="1"/>
      <c r="BG1440" s="1"/>
    </row>
    <row r="1441" spans="15:59">
      <c r="O1441" s="1"/>
      <c r="P1441" s="1"/>
      <c r="AA1441" s="1"/>
      <c r="AB1441" s="1"/>
      <c r="AG1441" s="1"/>
      <c r="AH1441" s="1"/>
      <c r="AK1441" s="1"/>
      <c r="AL1441" s="1"/>
      <c r="AM1441" s="2"/>
      <c r="AN1441" s="2"/>
      <c r="AQ1441" s="1"/>
      <c r="BG1441" s="1"/>
    </row>
    <row r="1442" spans="15:59">
      <c r="O1442" s="1"/>
      <c r="P1442" s="1"/>
      <c r="AA1442" s="1"/>
      <c r="AB1442" s="1"/>
      <c r="AG1442" s="1"/>
      <c r="AH1442" s="1"/>
      <c r="AK1442" s="1"/>
      <c r="AL1442" s="1"/>
      <c r="AM1442" s="2"/>
      <c r="AN1442" s="2"/>
      <c r="AQ1442" s="1"/>
      <c r="BG1442" s="1"/>
    </row>
    <row r="1443" spans="15:59">
      <c r="O1443" s="1"/>
      <c r="P1443" s="1"/>
      <c r="AA1443" s="1"/>
      <c r="AB1443" s="1"/>
      <c r="AG1443" s="1"/>
      <c r="AH1443" s="1"/>
      <c r="AK1443" s="1"/>
      <c r="AL1443" s="1"/>
      <c r="AM1443" s="2"/>
      <c r="AN1443" s="2"/>
      <c r="AQ1443" s="1"/>
      <c r="BG1443" s="1"/>
    </row>
    <row r="1444" spans="15:59">
      <c r="O1444" s="1"/>
      <c r="P1444" s="1"/>
      <c r="AA1444" s="1"/>
      <c r="AB1444" s="1"/>
      <c r="AG1444" s="1"/>
      <c r="AH1444" s="1"/>
      <c r="AK1444" s="1"/>
      <c r="AL1444" s="1"/>
      <c r="AM1444" s="2"/>
      <c r="AN1444" s="2"/>
      <c r="AQ1444" s="1"/>
      <c r="BG1444" s="1"/>
    </row>
    <row r="1445" spans="15:59">
      <c r="O1445" s="1"/>
      <c r="P1445" s="1"/>
      <c r="AA1445" s="1"/>
      <c r="AB1445" s="1"/>
      <c r="AG1445" s="1"/>
      <c r="AH1445" s="1"/>
      <c r="AK1445" s="1"/>
      <c r="AL1445" s="1"/>
      <c r="AM1445" s="2"/>
      <c r="AN1445" s="2"/>
      <c r="AQ1445" s="1"/>
      <c r="BG1445" s="1"/>
    </row>
    <row r="1446" spans="15:59">
      <c r="O1446" s="1"/>
      <c r="P1446" s="1"/>
      <c r="AA1446" s="1"/>
      <c r="AB1446" s="1"/>
      <c r="AG1446" s="1"/>
      <c r="AH1446" s="1"/>
      <c r="AK1446" s="1"/>
      <c r="AL1446" s="1"/>
      <c r="AM1446" s="2"/>
      <c r="AN1446" s="2"/>
      <c r="AQ1446" s="1"/>
      <c r="BG1446" s="1"/>
    </row>
    <row r="1447" spans="15:59">
      <c r="O1447" s="1"/>
      <c r="P1447" s="1"/>
      <c r="AA1447" s="1"/>
      <c r="AB1447" s="1"/>
      <c r="AG1447" s="1"/>
      <c r="AH1447" s="1"/>
      <c r="AK1447" s="1"/>
      <c r="AL1447" s="1"/>
      <c r="AM1447" s="2"/>
      <c r="AN1447" s="2"/>
      <c r="AQ1447" s="1"/>
      <c r="BG1447" s="1"/>
    </row>
    <row r="1448" spans="15:59">
      <c r="O1448" s="1"/>
      <c r="P1448" s="1"/>
      <c r="AA1448" s="1"/>
      <c r="AB1448" s="1"/>
      <c r="AG1448" s="1"/>
      <c r="AH1448" s="1"/>
      <c r="AK1448" s="1"/>
      <c r="AL1448" s="1"/>
      <c r="AM1448" s="2"/>
      <c r="AN1448" s="2"/>
      <c r="AQ1448" s="1"/>
      <c r="BG1448" s="1"/>
    </row>
    <row r="1449" spans="15:59">
      <c r="O1449" s="1"/>
      <c r="P1449" s="1"/>
      <c r="AA1449" s="1"/>
      <c r="AB1449" s="1"/>
      <c r="AG1449" s="1"/>
      <c r="AH1449" s="1"/>
      <c r="AK1449" s="1"/>
      <c r="AL1449" s="1"/>
      <c r="AM1449" s="2"/>
      <c r="AN1449" s="2"/>
      <c r="AQ1449" s="1"/>
      <c r="BG1449" s="1"/>
    </row>
    <row r="1450" spans="15:59">
      <c r="O1450" s="1"/>
      <c r="P1450" s="1"/>
      <c r="AA1450" s="1"/>
      <c r="AB1450" s="1"/>
      <c r="AG1450" s="1"/>
      <c r="AH1450" s="1"/>
      <c r="AK1450" s="1"/>
      <c r="AL1450" s="1"/>
      <c r="AM1450" s="2"/>
      <c r="AN1450" s="2"/>
      <c r="AQ1450" s="1"/>
      <c r="BG1450" s="1"/>
    </row>
    <row r="1451" spans="15:59">
      <c r="O1451" s="1"/>
      <c r="P1451" s="1"/>
      <c r="AA1451" s="1"/>
      <c r="AB1451" s="1"/>
      <c r="AG1451" s="1"/>
      <c r="AH1451" s="1"/>
      <c r="AK1451" s="1"/>
      <c r="AL1451" s="1"/>
      <c r="AM1451" s="2"/>
      <c r="AN1451" s="2"/>
      <c r="AQ1451" s="1"/>
      <c r="BG1451" s="1"/>
    </row>
    <row r="1452" spans="15:59">
      <c r="O1452" s="1"/>
      <c r="P1452" s="1"/>
      <c r="AA1452" s="1"/>
      <c r="AB1452" s="1"/>
      <c r="AG1452" s="1"/>
      <c r="AH1452" s="1"/>
      <c r="AK1452" s="1"/>
      <c r="AL1452" s="1"/>
      <c r="AM1452" s="2"/>
      <c r="AN1452" s="2"/>
      <c r="AQ1452" s="1"/>
      <c r="BG1452" s="1"/>
    </row>
    <row r="1453" spans="15:59">
      <c r="O1453" s="1"/>
      <c r="P1453" s="1"/>
      <c r="AA1453" s="1"/>
      <c r="AB1453" s="1"/>
      <c r="AG1453" s="1"/>
      <c r="AH1453" s="1"/>
      <c r="AK1453" s="1"/>
      <c r="AL1453" s="1"/>
      <c r="AM1453" s="2"/>
      <c r="AN1453" s="2"/>
      <c r="AQ1453" s="1"/>
      <c r="BG1453" s="1"/>
    </row>
    <row r="1454" spans="15:59">
      <c r="O1454" s="1"/>
      <c r="P1454" s="1"/>
      <c r="AA1454" s="1"/>
      <c r="AB1454" s="1"/>
      <c r="AG1454" s="1"/>
      <c r="AH1454" s="1"/>
      <c r="AK1454" s="1"/>
      <c r="AL1454" s="1"/>
      <c r="AM1454" s="2"/>
      <c r="AN1454" s="2"/>
      <c r="AQ1454" s="1"/>
      <c r="BG1454" s="1"/>
    </row>
    <row r="1455" spans="15:59">
      <c r="O1455" s="1"/>
      <c r="P1455" s="1"/>
      <c r="AA1455" s="1"/>
      <c r="AB1455" s="1"/>
      <c r="AG1455" s="1"/>
      <c r="AH1455" s="1"/>
      <c r="AK1455" s="1"/>
      <c r="AL1455" s="1"/>
      <c r="AM1455" s="2"/>
      <c r="AN1455" s="2"/>
      <c r="AQ1455" s="1"/>
      <c r="BG1455" s="1"/>
    </row>
    <row r="1456" spans="15:59">
      <c r="O1456" s="1"/>
      <c r="P1456" s="1"/>
      <c r="AA1456" s="1"/>
      <c r="AB1456" s="1"/>
      <c r="AG1456" s="1"/>
      <c r="AH1456" s="1"/>
      <c r="AK1456" s="1"/>
      <c r="AL1456" s="1"/>
      <c r="AM1456" s="2"/>
      <c r="AN1456" s="2"/>
      <c r="AQ1456" s="1"/>
      <c r="BG1456" s="1"/>
    </row>
    <row r="1457" spans="15:59">
      <c r="O1457" s="1"/>
      <c r="P1457" s="1"/>
      <c r="AA1457" s="1"/>
      <c r="AB1457" s="1"/>
      <c r="AG1457" s="1"/>
      <c r="AH1457" s="1"/>
      <c r="AK1457" s="1"/>
      <c r="AL1457" s="1"/>
      <c r="AM1457" s="2"/>
      <c r="AN1457" s="2"/>
      <c r="AQ1457" s="1"/>
      <c r="BG1457" s="1"/>
    </row>
    <row r="1458" spans="15:59">
      <c r="O1458" s="1"/>
      <c r="P1458" s="1"/>
      <c r="AA1458" s="1"/>
      <c r="AB1458" s="1"/>
      <c r="AG1458" s="1"/>
      <c r="AH1458" s="1"/>
      <c r="AK1458" s="1"/>
      <c r="AL1458" s="1"/>
      <c r="AM1458" s="2"/>
      <c r="AN1458" s="2"/>
      <c r="AQ1458" s="1"/>
      <c r="BG1458" s="1"/>
    </row>
    <row r="1459" spans="15:59">
      <c r="O1459" s="1"/>
      <c r="P1459" s="1"/>
      <c r="AA1459" s="1"/>
      <c r="AB1459" s="1"/>
      <c r="AG1459" s="1"/>
      <c r="AH1459" s="1"/>
      <c r="AK1459" s="1"/>
      <c r="AL1459" s="1"/>
      <c r="AM1459" s="2"/>
      <c r="AN1459" s="2"/>
      <c r="AQ1459" s="1"/>
      <c r="BG1459" s="1"/>
    </row>
    <row r="1460" spans="15:59">
      <c r="O1460" s="1"/>
      <c r="P1460" s="1"/>
      <c r="AA1460" s="1"/>
      <c r="AB1460" s="1"/>
      <c r="AG1460" s="1"/>
      <c r="AH1460" s="1"/>
      <c r="AK1460" s="1"/>
      <c r="AL1460" s="1"/>
      <c r="AM1460" s="2"/>
      <c r="AN1460" s="2"/>
      <c r="AQ1460" s="1"/>
      <c r="BG1460" s="1"/>
    </row>
    <row r="1461" spans="15:59">
      <c r="O1461" s="1"/>
      <c r="P1461" s="1"/>
      <c r="AA1461" s="1"/>
      <c r="AB1461" s="1"/>
      <c r="AG1461" s="1"/>
      <c r="AH1461" s="1"/>
      <c r="AK1461" s="1"/>
      <c r="AL1461" s="1"/>
      <c r="AM1461" s="2"/>
      <c r="AN1461" s="2"/>
      <c r="AQ1461" s="1"/>
      <c r="BG1461" s="1"/>
    </row>
    <row r="1462" spans="15:59">
      <c r="O1462" s="1"/>
      <c r="P1462" s="1"/>
      <c r="AA1462" s="1"/>
      <c r="AB1462" s="1"/>
      <c r="AG1462" s="1"/>
      <c r="AH1462" s="1"/>
      <c r="AK1462" s="1"/>
      <c r="AL1462" s="1"/>
      <c r="AM1462" s="2"/>
      <c r="AN1462" s="2"/>
      <c r="AQ1462" s="1"/>
      <c r="BG1462" s="1"/>
    </row>
    <row r="1463" spans="15:59">
      <c r="O1463" s="1"/>
      <c r="P1463" s="1"/>
      <c r="AA1463" s="1"/>
      <c r="AB1463" s="1"/>
      <c r="AG1463" s="1"/>
      <c r="AH1463" s="1"/>
      <c r="AK1463" s="1"/>
      <c r="AL1463" s="1"/>
      <c r="AM1463" s="2"/>
      <c r="AN1463" s="2"/>
      <c r="AQ1463" s="1"/>
      <c r="BG1463" s="1"/>
    </row>
    <row r="1464" spans="15:59">
      <c r="O1464" s="1"/>
      <c r="P1464" s="1"/>
      <c r="AA1464" s="1"/>
      <c r="AB1464" s="1"/>
      <c r="AG1464" s="1"/>
      <c r="AH1464" s="1"/>
      <c r="AK1464" s="1"/>
      <c r="AL1464" s="1"/>
      <c r="AM1464" s="2"/>
      <c r="AN1464" s="2"/>
      <c r="AQ1464" s="1"/>
      <c r="BG1464" s="1"/>
    </row>
    <row r="1465" spans="15:59">
      <c r="O1465" s="1"/>
      <c r="P1465" s="1"/>
      <c r="AA1465" s="1"/>
      <c r="AB1465" s="1"/>
      <c r="AG1465" s="1"/>
      <c r="AH1465" s="1"/>
      <c r="AK1465" s="1"/>
      <c r="AL1465" s="1"/>
      <c r="AM1465" s="2"/>
      <c r="AN1465" s="2"/>
      <c r="AQ1465" s="1"/>
      <c r="BG1465" s="1"/>
    </row>
    <row r="1466" spans="15:59">
      <c r="O1466" s="1"/>
      <c r="P1466" s="1"/>
      <c r="AA1466" s="1"/>
      <c r="AB1466" s="1"/>
      <c r="AG1466" s="1"/>
      <c r="AH1466" s="1"/>
      <c r="AK1466" s="1"/>
      <c r="AL1466" s="1"/>
      <c r="AM1466" s="2"/>
      <c r="AN1466" s="2"/>
      <c r="AQ1466" s="1"/>
      <c r="BG1466" s="1"/>
    </row>
    <row r="1467" spans="15:59">
      <c r="O1467" s="1"/>
      <c r="P1467" s="1"/>
      <c r="AA1467" s="1"/>
      <c r="AB1467" s="1"/>
      <c r="AG1467" s="1"/>
      <c r="AH1467" s="1"/>
      <c r="AK1467" s="1"/>
      <c r="AL1467" s="1"/>
      <c r="AM1467" s="2"/>
      <c r="AN1467" s="2"/>
      <c r="AQ1467" s="1"/>
      <c r="BG1467" s="1"/>
    </row>
    <row r="1468" spans="15:59">
      <c r="O1468" s="1"/>
      <c r="P1468" s="1"/>
      <c r="AA1468" s="1"/>
      <c r="AB1468" s="1"/>
      <c r="AG1468" s="1"/>
      <c r="AH1468" s="1"/>
      <c r="AK1468" s="1"/>
      <c r="AL1468" s="1"/>
      <c r="AM1468" s="2"/>
      <c r="AN1468" s="2"/>
      <c r="AQ1468" s="1"/>
      <c r="BG1468" s="1"/>
    </row>
    <row r="1469" spans="15:59">
      <c r="O1469" s="1"/>
      <c r="P1469" s="1"/>
      <c r="AA1469" s="1"/>
      <c r="AB1469" s="1"/>
      <c r="AG1469" s="1"/>
      <c r="AH1469" s="1"/>
      <c r="AK1469" s="1"/>
      <c r="AL1469" s="1"/>
      <c r="AM1469" s="2"/>
      <c r="AN1469" s="2"/>
      <c r="AQ1469" s="1"/>
      <c r="BG1469" s="1"/>
    </row>
    <row r="1470" spans="15:59">
      <c r="O1470" s="1"/>
      <c r="P1470" s="1"/>
      <c r="AA1470" s="1"/>
      <c r="AB1470" s="1"/>
      <c r="AG1470" s="1"/>
      <c r="AH1470" s="1"/>
      <c r="AK1470" s="1"/>
      <c r="AL1470" s="1"/>
      <c r="AM1470" s="2"/>
      <c r="AN1470" s="2"/>
      <c r="AQ1470" s="1"/>
      <c r="BG1470" s="1"/>
    </row>
    <row r="1471" spans="15:59">
      <c r="O1471" s="1"/>
      <c r="P1471" s="1"/>
      <c r="AA1471" s="1"/>
      <c r="AB1471" s="1"/>
      <c r="AG1471" s="1"/>
      <c r="AH1471" s="1"/>
      <c r="AK1471" s="1"/>
      <c r="AL1471" s="1"/>
      <c r="AM1471" s="2"/>
      <c r="AN1471" s="2"/>
      <c r="AQ1471" s="1"/>
      <c r="BG1471" s="1"/>
    </row>
    <row r="1472" spans="15:59">
      <c r="O1472" s="1"/>
      <c r="P1472" s="1"/>
      <c r="AA1472" s="1"/>
      <c r="AB1472" s="1"/>
      <c r="AG1472" s="1"/>
      <c r="AH1472" s="1"/>
      <c r="AK1472" s="1"/>
      <c r="AL1472" s="1"/>
      <c r="AM1472" s="2"/>
      <c r="AN1472" s="2"/>
      <c r="AQ1472" s="1"/>
      <c r="BG1472" s="1"/>
    </row>
    <row r="1473" spans="15:59">
      <c r="O1473" s="1"/>
      <c r="P1473" s="1"/>
      <c r="AA1473" s="1"/>
      <c r="AB1473" s="1"/>
      <c r="AG1473" s="1"/>
      <c r="AH1473" s="1"/>
      <c r="AK1473" s="1"/>
      <c r="AL1473" s="1"/>
      <c r="AM1473" s="2"/>
      <c r="AN1473" s="2"/>
      <c r="AQ1473" s="1"/>
      <c r="BG1473" s="1"/>
    </row>
    <row r="1474" spans="15:59">
      <c r="O1474" s="1"/>
      <c r="P1474" s="1"/>
      <c r="AA1474" s="1"/>
      <c r="AB1474" s="1"/>
      <c r="AG1474" s="1"/>
      <c r="AH1474" s="1"/>
      <c r="AK1474" s="1"/>
      <c r="AL1474" s="1"/>
      <c r="AM1474" s="2"/>
      <c r="AN1474" s="2"/>
      <c r="AQ1474" s="1"/>
      <c r="BG1474" s="1"/>
    </row>
    <row r="1475" spans="15:59">
      <c r="O1475" s="1"/>
      <c r="P1475" s="1"/>
      <c r="AA1475" s="1"/>
      <c r="AB1475" s="1"/>
      <c r="AG1475" s="1"/>
      <c r="AH1475" s="1"/>
      <c r="AK1475" s="1"/>
      <c r="AL1475" s="1"/>
      <c r="AM1475" s="2"/>
      <c r="AN1475" s="2"/>
      <c r="AQ1475" s="1"/>
      <c r="BG1475" s="1"/>
    </row>
    <row r="1476" spans="15:59">
      <c r="O1476" s="1"/>
      <c r="P1476" s="1"/>
      <c r="AA1476" s="1"/>
      <c r="AB1476" s="1"/>
      <c r="AG1476" s="1"/>
      <c r="AH1476" s="1"/>
      <c r="AK1476" s="1"/>
      <c r="AL1476" s="1"/>
      <c r="AM1476" s="2"/>
      <c r="AN1476" s="2"/>
      <c r="AQ1476" s="1"/>
      <c r="BG1476" s="1"/>
    </row>
    <row r="1477" spans="15:59">
      <c r="O1477" s="1"/>
      <c r="P1477" s="1"/>
      <c r="AA1477" s="1"/>
      <c r="AB1477" s="1"/>
      <c r="AG1477" s="1"/>
      <c r="AH1477" s="1"/>
      <c r="AK1477" s="1"/>
      <c r="AL1477" s="1"/>
      <c r="AM1477" s="2"/>
      <c r="AN1477" s="2"/>
      <c r="AQ1477" s="1"/>
      <c r="BG1477" s="1"/>
    </row>
    <row r="1478" spans="15:59">
      <c r="O1478" s="1"/>
      <c r="P1478" s="1"/>
      <c r="AA1478" s="1"/>
      <c r="AB1478" s="1"/>
      <c r="AG1478" s="1"/>
      <c r="AH1478" s="1"/>
      <c r="AK1478" s="1"/>
      <c r="AL1478" s="1"/>
      <c r="AM1478" s="2"/>
      <c r="AN1478" s="2"/>
      <c r="AQ1478" s="1"/>
      <c r="BG1478" s="1"/>
    </row>
    <row r="1479" spans="15:59">
      <c r="O1479" s="1"/>
      <c r="P1479" s="1"/>
      <c r="AA1479" s="1"/>
      <c r="AB1479" s="1"/>
      <c r="AG1479" s="1"/>
      <c r="AH1479" s="1"/>
      <c r="AK1479" s="1"/>
      <c r="AL1479" s="1"/>
      <c r="AM1479" s="2"/>
      <c r="AN1479" s="2"/>
      <c r="AQ1479" s="1"/>
      <c r="BG1479" s="1"/>
    </row>
    <row r="1480" spans="15:59">
      <c r="O1480" s="1"/>
      <c r="P1480" s="1"/>
      <c r="AA1480" s="1"/>
      <c r="AB1480" s="1"/>
      <c r="AG1480" s="1"/>
      <c r="AH1480" s="1"/>
      <c r="AK1480" s="1"/>
      <c r="AL1480" s="1"/>
      <c r="AM1480" s="2"/>
      <c r="AN1480" s="2"/>
      <c r="AQ1480" s="1"/>
      <c r="BG1480" s="1"/>
    </row>
    <row r="1481" spans="15:59">
      <c r="O1481" s="1"/>
      <c r="P1481" s="1"/>
      <c r="AA1481" s="1"/>
      <c r="AB1481" s="1"/>
      <c r="AG1481" s="1"/>
      <c r="AH1481" s="1"/>
      <c r="AK1481" s="1"/>
      <c r="AL1481" s="1"/>
      <c r="AM1481" s="2"/>
      <c r="AN1481" s="2"/>
      <c r="AQ1481" s="1"/>
      <c r="BG1481" s="1"/>
    </row>
    <row r="1482" spans="15:59">
      <c r="O1482" s="1"/>
      <c r="P1482" s="1"/>
      <c r="AA1482" s="1"/>
      <c r="AB1482" s="1"/>
      <c r="AG1482" s="1"/>
      <c r="AH1482" s="1"/>
      <c r="AK1482" s="1"/>
      <c r="AL1482" s="1"/>
      <c r="AM1482" s="2"/>
      <c r="AN1482" s="2"/>
      <c r="AQ1482" s="1"/>
      <c r="BG1482" s="1"/>
    </row>
    <row r="1483" spans="15:59">
      <c r="O1483" s="1"/>
      <c r="P1483" s="1"/>
      <c r="AA1483" s="1"/>
      <c r="AB1483" s="1"/>
      <c r="AG1483" s="1"/>
      <c r="AH1483" s="1"/>
      <c r="AK1483" s="1"/>
      <c r="AL1483" s="1"/>
      <c r="AM1483" s="2"/>
      <c r="AN1483" s="2"/>
      <c r="AQ1483" s="1"/>
      <c r="BG1483" s="1"/>
    </row>
    <row r="1484" spans="15:59">
      <c r="O1484" s="1"/>
      <c r="P1484" s="1"/>
      <c r="AA1484" s="1"/>
      <c r="AB1484" s="1"/>
      <c r="AG1484" s="1"/>
      <c r="AH1484" s="1"/>
      <c r="AK1484" s="1"/>
      <c r="AL1484" s="1"/>
      <c r="AM1484" s="2"/>
      <c r="AN1484" s="2"/>
      <c r="AQ1484" s="1"/>
      <c r="BG1484" s="1"/>
    </row>
    <row r="1485" spans="15:59">
      <c r="O1485" s="1"/>
      <c r="P1485" s="1"/>
      <c r="AA1485" s="1"/>
      <c r="AB1485" s="1"/>
      <c r="AG1485" s="1"/>
      <c r="AH1485" s="1"/>
      <c r="AK1485" s="1"/>
      <c r="AL1485" s="1"/>
      <c r="AM1485" s="2"/>
      <c r="AN1485" s="2"/>
      <c r="AQ1485" s="1"/>
      <c r="BG1485" s="1"/>
    </row>
    <row r="1486" spans="15:59">
      <c r="O1486" s="1"/>
      <c r="P1486" s="1"/>
      <c r="AA1486" s="1"/>
      <c r="AB1486" s="1"/>
      <c r="AG1486" s="1"/>
      <c r="AH1486" s="1"/>
      <c r="AK1486" s="1"/>
      <c r="AL1486" s="1"/>
      <c r="AM1486" s="2"/>
      <c r="AN1486" s="2"/>
      <c r="AQ1486" s="1"/>
      <c r="BG1486" s="1"/>
    </row>
    <row r="1487" spans="15:59">
      <c r="O1487" s="1"/>
      <c r="P1487" s="1"/>
      <c r="AA1487" s="1"/>
      <c r="AB1487" s="1"/>
      <c r="AG1487" s="1"/>
      <c r="AH1487" s="1"/>
      <c r="AK1487" s="1"/>
      <c r="AL1487" s="1"/>
      <c r="AM1487" s="2"/>
      <c r="AN1487" s="2"/>
      <c r="AQ1487" s="1"/>
      <c r="BG1487" s="1"/>
    </row>
    <row r="1488" spans="15:59">
      <c r="O1488" s="1"/>
      <c r="P1488" s="1"/>
      <c r="AA1488" s="1"/>
      <c r="AB1488" s="1"/>
      <c r="AG1488" s="1"/>
      <c r="AH1488" s="1"/>
      <c r="AK1488" s="1"/>
      <c r="AL1488" s="1"/>
      <c r="AM1488" s="2"/>
      <c r="AN1488" s="2"/>
      <c r="AQ1488" s="1"/>
      <c r="BG1488" s="1"/>
    </row>
    <row r="1489" spans="15:59">
      <c r="O1489" s="1"/>
      <c r="P1489" s="1"/>
      <c r="AA1489" s="1"/>
      <c r="AB1489" s="1"/>
      <c r="AG1489" s="1"/>
      <c r="AH1489" s="1"/>
      <c r="AK1489" s="1"/>
      <c r="AL1489" s="1"/>
      <c r="AM1489" s="2"/>
      <c r="AN1489" s="2"/>
      <c r="AQ1489" s="1"/>
      <c r="BG1489" s="1"/>
    </row>
    <row r="1490" spans="15:59">
      <c r="O1490" s="1"/>
      <c r="P1490" s="1"/>
      <c r="AA1490" s="1"/>
      <c r="AB1490" s="1"/>
      <c r="AG1490" s="1"/>
      <c r="AH1490" s="1"/>
      <c r="AK1490" s="1"/>
      <c r="AL1490" s="1"/>
      <c r="AM1490" s="2"/>
      <c r="AN1490" s="2"/>
      <c r="AQ1490" s="1"/>
      <c r="BG1490" s="1"/>
    </row>
    <row r="1491" spans="15:59">
      <c r="O1491" s="1"/>
      <c r="P1491" s="1"/>
      <c r="AA1491" s="1"/>
      <c r="AB1491" s="1"/>
      <c r="AG1491" s="1"/>
      <c r="AH1491" s="1"/>
      <c r="AK1491" s="1"/>
      <c r="AL1491" s="1"/>
      <c r="AM1491" s="2"/>
      <c r="AN1491" s="2"/>
      <c r="AQ1491" s="1"/>
      <c r="BG1491" s="1"/>
    </row>
    <row r="1492" spans="15:59">
      <c r="O1492" s="1"/>
      <c r="P1492" s="1"/>
      <c r="AA1492" s="1"/>
      <c r="AB1492" s="1"/>
      <c r="AG1492" s="1"/>
      <c r="AH1492" s="1"/>
      <c r="AK1492" s="1"/>
      <c r="AL1492" s="1"/>
      <c r="AM1492" s="2"/>
      <c r="AN1492" s="2"/>
      <c r="AQ1492" s="1"/>
      <c r="BG1492" s="1"/>
    </row>
    <row r="1493" spans="15:59">
      <c r="O1493" s="1"/>
      <c r="P1493" s="1"/>
      <c r="AA1493" s="1"/>
      <c r="AB1493" s="1"/>
      <c r="AG1493" s="1"/>
      <c r="AH1493" s="1"/>
      <c r="AK1493" s="1"/>
      <c r="AL1493" s="1"/>
      <c r="AM1493" s="2"/>
      <c r="AN1493" s="2"/>
      <c r="AQ1493" s="1"/>
      <c r="BG1493" s="1"/>
    </row>
    <row r="1494" spans="15:59">
      <c r="O1494" s="1"/>
      <c r="P1494" s="1"/>
      <c r="AA1494" s="1"/>
      <c r="AB1494" s="1"/>
      <c r="AG1494" s="1"/>
      <c r="AH1494" s="1"/>
      <c r="AK1494" s="1"/>
      <c r="AL1494" s="1"/>
      <c r="AM1494" s="2"/>
      <c r="AN1494" s="2"/>
      <c r="AQ1494" s="1"/>
      <c r="BG1494" s="1"/>
    </row>
    <row r="1495" spans="15:59">
      <c r="O1495" s="1"/>
      <c r="P1495" s="1"/>
      <c r="AA1495" s="1"/>
      <c r="AB1495" s="1"/>
      <c r="AG1495" s="1"/>
      <c r="AH1495" s="1"/>
      <c r="AK1495" s="1"/>
      <c r="AL1495" s="1"/>
      <c r="AM1495" s="2"/>
      <c r="AN1495" s="2"/>
      <c r="AQ1495" s="1"/>
      <c r="BG1495" s="1"/>
    </row>
    <row r="1496" spans="15:59">
      <c r="O1496" s="1"/>
      <c r="P1496" s="1"/>
      <c r="AA1496" s="1"/>
      <c r="AB1496" s="1"/>
      <c r="AG1496" s="1"/>
      <c r="AH1496" s="1"/>
      <c r="AK1496" s="1"/>
      <c r="AL1496" s="1"/>
      <c r="AM1496" s="2"/>
      <c r="AN1496" s="2"/>
      <c r="AQ1496" s="1"/>
      <c r="BG1496" s="1"/>
    </row>
    <row r="1497" spans="15:59">
      <c r="O1497" s="1"/>
      <c r="P1497" s="1"/>
      <c r="AA1497" s="1"/>
      <c r="AB1497" s="1"/>
      <c r="AG1497" s="1"/>
      <c r="AH1497" s="1"/>
      <c r="AK1497" s="1"/>
      <c r="AL1497" s="1"/>
      <c r="AM1497" s="2"/>
      <c r="AN1497" s="2"/>
      <c r="AQ1497" s="1"/>
      <c r="BG1497" s="1"/>
    </row>
    <row r="1498" spans="15:59">
      <c r="O1498" s="1"/>
      <c r="P1498" s="1"/>
      <c r="AA1498" s="1"/>
      <c r="AB1498" s="1"/>
      <c r="AG1498" s="1"/>
      <c r="AH1498" s="1"/>
      <c r="AK1498" s="1"/>
      <c r="AL1498" s="1"/>
      <c r="AM1498" s="2"/>
      <c r="AN1498" s="2"/>
      <c r="AQ1498" s="1"/>
      <c r="BG1498" s="1"/>
    </row>
    <row r="1499" spans="15:59">
      <c r="O1499" s="1"/>
      <c r="P1499" s="1"/>
      <c r="AA1499" s="1"/>
      <c r="AB1499" s="1"/>
      <c r="AG1499" s="1"/>
      <c r="AH1499" s="1"/>
      <c r="AK1499" s="1"/>
      <c r="AL1499" s="1"/>
      <c r="AM1499" s="2"/>
      <c r="AN1499" s="2"/>
      <c r="AQ1499" s="1"/>
      <c r="BG1499" s="1"/>
    </row>
    <row r="1500" spans="15:59">
      <c r="O1500" s="1"/>
      <c r="P1500" s="1"/>
      <c r="AA1500" s="1"/>
      <c r="AB1500" s="1"/>
      <c r="AG1500" s="1"/>
      <c r="AH1500" s="1"/>
      <c r="AK1500" s="1"/>
      <c r="AL1500" s="1"/>
      <c r="AM1500" s="2"/>
      <c r="AN1500" s="2"/>
      <c r="AQ1500" s="1"/>
      <c r="BG1500" s="1"/>
    </row>
    <row r="1501" spans="15:59">
      <c r="O1501" s="1"/>
      <c r="P1501" s="1"/>
      <c r="AA1501" s="1"/>
      <c r="AB1501" s="1"/>
      <c r="AG1501" s="1"/>
      <c r="AH1501" s="1"/>
      <c r="AK1501" s="1"/>
      <c r="AL1501" s="1"/>
      <c r="AM1501" s="2"/>
      <c r="AN1501" s="2"/>
      <c r="AQ1501" s="1"/>
      <c r="BG1501" s="1"/>
    </row>
    <row r="1502" spans="15:59">
      <c r="O1502" s="1"/>
      <c r="P1502" s="1"/>
      <c r="AA1502" s="1"/>
      <c r="AB1502" s="1"/>
      <c r="AG1502" s="1"/>
      <c r="AH1502" s="1"/>
      <c r="AK1502" s="1"/>
      <c r="AL1502" s="1"/>
      <c r="AM1502" s="2"/>
      <c r="AN1502" s="2"/>
      <c r="AQ1502" s="1"/>
      <c r="BG1502" s="1"/>
    </row>
    <row r="1503" spans="15:59">
      <c r="O1503" s="1"/>
      <c r="P1503" s="1"/>
      <c r="AA1503" s="1"/>
      <c r="AB1503" s="1"/>
      <c r="AG1503" s="1"/>
      <c r="AH1503" s="1"/>
      <c r="AK1503" s="1"/>
      <c r="AL1503" s="1"/>
      <c r="AM1503" s="2"/>
      <c r="AN1503" s="2"/>
      <c r="AQ1503" s="1"/>
      <c r="BG1503" s="1"/>
    </row>
    <row r="1504" spans="15:59">
      <c r="O1504" s="1"/>
      <c r="P1504" s="1"/>
      <c r="AA1504" s="1"/>
      <c r="AB1504" s="1"/>
      <c r="AG1504" s="1"/>
      <c r="AH1504" s="1"/>
      <c r="AK1504" s="1"/>
      <c r="AL1504" s="1"/>
      <c r="AM1504" s="2"/>
      <c r="AN1504" s="2"/>
      <c r="AQ1504" s="1"/>
      <c r="BG1504" s="1"/>
    </row>
    <row r="1505" spans="15:59">
      <c r="O1505" s="1"/>
      <c r="P1505" s="1"/>
      <c r="AA1505" s="1"/>
      <c r="AB1505" s="1"/>
      <c r="AG1505" s="1"/>
      <c r="AH1505" s="1"/>
      <c r="AK1505" s="1"/>
      <c r="AL1505" s="1"/>
      <c r="AM1505" s="2"/>
      <c r="AN1505" s="2"/>
      <c r="AQ1505" s="1"/>
      <c r="BG1505" s="1"/>
    </row>
    <row r="1506" spans="15:59">
      <c r="O1506" s="1"/>
      <c r="P1506" s="1"/>
      <c r="AA1506" s="1"/>
      <c r="AB1506" s="1"/>
      <c r="AG1506" s="1"/>
      <c r="AH1506" s="1"/>
      <c r="AK1506" s="1"/>
      <c r="AL1506" s="1"/>
      <c r="AM1506" s="2"/>
      <c r="AN1506" s="2"/>
      <c r="AQ1506" s="1"/>
      <c r="BG1506" s="1"/>
    </row>
    <row r="1507" spans="15:59">
      <c r="O1507" s="1"/>
      <c r="P1507" s="1"/>
      <c r="AA1507" s="1"/>
      <c r="AB1507" s="1"/>
      <c r="AG1507" s="1"/>
      <c r="AH1507" s="1"/>
      <c r="AK1507" s="1"/>
      <c r="AL1507" s="1"/>
      <c r="AM1507" s="2"/>
      <c r="AN1507" s="2"/>
      <c r="AQ1507" s="1"/>
      <c r="BG1507" s="1"/>
    </row>
    <row r="1508" spans="15:59">
      <c r="O1508" s="1"/>
      <c r="P1508" s="1"/>
      <c r="AA1508" s="1"/>
      <c r="AB1508" s="1"/>
      <c r="AG1508" s="1"/>
      <c r="AH1508" s="1"/>
      <c r="AK1508" s="1"/>
      <c r="AL1508" s="1"/>
      <c r="AM1508" s="2"/>
      <c r="AN1508" s="2"/>
      <c r="AQ1508" s="1"/>
      <c r="BG1508" s="1"/>
    </row>
    <row r="1509" spans="15:59">
      <c r="O1509" s="1"/>
      <c r="P1509" s="1"/>
      <c r="AA1509" s="1"/>
      <c r="AB1509" s="1"/>
      <c r="AG1509" s="1"/>
      <c r="AH1509" s="1"/>
      <c r="AK1509" s="1"/>
      <c r="AL1509" s="1"/>
      <c r="AM1509" s="2"/>
      <c r="AN1509" s="2"/>
      <c r="AQ1509" s="1"/>
      <c r="BG1509" s="1"/>
    </row>
    <row r="1510" spans="15:59">
      <c r="O1510" s="1"/>
      <c r="P1510" s="1"/>
      <c r="AA1510" s="1"/>
      <c r="AB1510" s="1"/>
      <c r="AG1510" s="1"/>
      <c r="AH1510" s="1"/>
      <c r="AK1510" s="1"/>
      <c r="AL1510" s="1"/>
      <c r="AM1510" s="2"/>
      <c r="AN1510" s="2"/>
      <c r="AQ1510" s="1"/>
      <c r="BG1510" s="1"/>
    </row>
    <row r="1511" spans="15:59">
      <c r="O1511" s="1"/>
      <c r="P1511" s="1"/>
      <c r="AA1511" s="1"/>
      <c r="AB1511" s="1"/>
      <c r="AG1511" s="1"/>
      <c r="AH1511" s="1"/>
      <c r="AK1511" s="1"/>
      <c r="AL1511" s="1"/>
      <c r="AM1511" s="2"/>
      <c r="AN1511" s="2"/>
      <c r="AQ1511" s="1"/>
      <c r="BG1511" s="1"/>
    </row>
    <row r="1512" spans="15:59">
      <c r="O1512" s="1"/>
      <c r="P1512" s="1"/>
      <c r="AA1512" s="1"/>
      <c r="AB1512" s="1"/>
      <c r="AG1512" s="1"/>
      <c r="AH1512" s="1"/>
      <c r="AK1512" s="1"/>
      <c r="AL1512" s="1"/>
      <c r="AM1512" s="2"/>
      <c r="AN1512" s="2"/>
      <c r="AQ1512" s="1"/>
      <c r="BG1512" s="1"/>
    </row>
    <row r="1513" spans="15:59">
      <c r="O1513" s="1"/>
      <c r="P1513" s="1"/>
      <c r="AA1513" s="1"/>
      <c r="AB1513" s="1"/>
      <c r="AG1513" s="1"/>
      <c r="AH1513" s="1"/>
      <c r="AK1513" s="1"/>
      <c r="AL1513" s="1"/>
      <c r="AM1513" s="2"/>
      <c r="AN1513" s="2"/>
      <c r="AQ1513" s="1"/>
      <c r="BG1513" s="1"/>
    </row>
    <row r="1514" spans="15:59">
      <c r="O1514" s="1"/>
      <c r="P1514" s="1"/>
      <c r="AA1514" s="1"/>
      <c r="AB1514" s="1"/>
      <c r="AG1514" s="1"/>
      <c r="AH1514" s="1"/>
      <c r="AK1514" s="1"/>
      <c r="AL1514" s="1"/>
      <c r="AM1514" s="2"/>
      <c r="AN1514" s="2"/>
      <c r="AQ1514" s="1"/>
      <c r="BG1514" s="1"/>
    </row>
    <row r="1515" spans="15:59">
      <c r="O1515" s="1"/>
      <c r="P1515" s="1"/>
      <c r="AA1515" s="1"/>
      <c r="AB1515" s="1"/>
      <c r="AG1515" s="1"/>
      <c r="AH1515" s="1"/>
      <c r="AK1515" s="1"/>
      <c r="AL1515" s="1"/>
      <c r="AM1515" s="2"/>
      <c r="AN1515" s="2"/>
      <c r="AQ1515" s="1"/>
      <c r="BG1515" s="1"/>
    </row>
    <row r="1516" spans="15:59">
      <c r="O1516" s="1"/>
      <c r="P1516" s="1"/>
      <c r="AA1516" s="1"/>
      <c r="AB1516" s="1"/>
      <c r="AG1516" s="1"/>
      <c r="AH1516" s="1"/>
      <c r="AK1516" s="1"/>
      <c r="AL1516" s="1"/>
      <c r="AM1516" s="2"/>
      <c r="AN1516" s="2"/>
      <c r="AQ1516" s="1"/>
      <c r="BG1516" s="1"/>
    </row>
    <row r="1517" spans="15:59">
      <c r="O1517" s="1"/>
      <c r="P1517" s="1"/>
      <c r="AA1517" s="1"/>
      <c r="AB1517" s="1"/>
      <c r="AG1517" s="1"/>
      <c r="AH1517" s="1"/>
      <c r="AK1517" s="1"/>
      <c r="AL1517" s="1"/>
      <c r="AM1517" s="2"/>
      <c r="AN1517" s="2"/>
      <c r="AQ1517" s="1"/>
      <c r="BG1517" s="1"/>
    </row>
    <row r="1518" spans="15:59">
      <c r="O1518" s="1"/>
      <c r="P1518" s="1"/>
      <c r="AA1518" s="1"/>
      <c r="AB1518" s="1"/>
      <c r="AG1518" s="1"/>
      <c r="AH1518" s="1"/>
      <c r="AK1518" s="1"/>
      <c r="AL1518" s="1"/>
      <c r="AM1518" s="2"/>
      <c r="AN1518" s="2"/>
      <c r="AQ1518" s="1"/>
      <c r="BG1518" s="1"/>
    </row>
    <row r="1519" spans="15:59">
      <c r="O1519" s="1"/>
      <c r="P1519" s="1"/>
      <c r="AA1519" s="1"/>
      <c r="AB1519" s="1"/>
      <c r="AG1519" s="1"/>
      <c r="AH1519" s="1"/>
      <c r="AK1519" s="1"/>
      <c r="AL1519" s="1"/>
      <c r="AM1519" s="2"/>
      <c r="AN1519" s="2"/>
      <c r="AQ1519" s="1"/>
      <c r="BG1519" s="1"/>
    </row>
    <row r="1520" spans="15:59">
      <c r="O1520" s="1"/>
      <c r="P1520" s="1"/>
      <c r="AA1520" s="1"/>
      <c r="AB1520" s="1"/>
      <c r="AG1520" s="1"/>
      <c r="AH1520" s="1"/>
      <c r="AK1520" s="1"/>
      <c r="AL1520" s="1"/>
      <c r="AM1520" s="2"/>
      <c r="AN1520" s="2"/>
      <c r="AQ1520" s="1"/>
      <c r="BG1520" s="1"/>
    </row>
    <row r="1521" spans="15:59">
      <c r="O1521" s="1"/>
      <c r="P1521" s="1"/>
      <c r="AA1521" s="1"/>
      <c r="AB1521" s="1"/>
      <c r="AG1521" s="1"/>
      <c r="AH1521" s="1"/>
      <c r="AK1521" s="1"/>
      <c r="AL1521" s="1"/>
      <c r="AM1521" s="2"/>
      <c r="AN1521" s="2"/>
      <c r="AQ1521" s="1"/>
      <c r="BG1521" s="1"/>
    </row>
    <row r="1522" spans="15:59">
      <c r="O1522" s="1"/>
      <c r="P1522" s="1"/>
      <c r="AA1522" s="1"/>
      <c r="AB1522" s="1"/>
      <c r="AG1522" s="1"/>
      <c r="AH1522" s="1"/>
      <c r="AK1522" s="1"/>
      <c r="AL1522" s="1"/>
      <c r="AM1522" s="2"/>
      <c r="AN1522" s="2"/>
      <c r="AQ1522" s="1"/>
      <c r="BG1522" s="1"/>
    </row>
    <row r="1523" spans="15:59">
      <c r="O1523" s="1"/>
      <c r="P1523" s="1"/>
      <c r="AA1523" s="1"/>
      <c r="AB1523" s="1"/>
      <c r="AG1523" s="1"/>
      <c r="AH1523" s="1"/>
      <c r="AK1523" s="1"/>
      <c r="AL1523" s="1"/>
      <c r="AM1523" s="2"/>
      <c r="AN1523" s="2"/>
      <c r="AQ1523" s="1"/>
      <c r="BG1523" s="1"/>
    </row>
    <row r="1524" spans="15:59">
      <c r="O1524" s="1"/>
      <c r="P1524" s="1"/>
      <c r="AA1524" s="1"/>
      <c r="AB1524" s="1"/>
      <c r="AG1524" s="1"/>
      <c r="AH1524" s="1"/>
      <c r="AK1524" s="1"/>
      <c r="AL1524" s="1"/>
      <c r="AM1524" s="2"/>
      <c r="AN1524" s="2"/>
      <c r="AQ1524" s="1"/>
      <c r="BG1524" s="1"/>
    </row>
    <row r="1525" spans="15:59">
      <c r="O1525" s="1"/>
      <c r="P1525" s="1"/>
      <c r="AA1525" s="1"/>
      <c r="AB1525" s="1"/>
      <c r="AG1525" s="1"/>
      <c r="AH1525" s="1"/>
      <c r="AK1525" s="1"/>
      <c r="AL1525" s="1"/>
      <c r="AM1525" s="2"/>
      <c r="AN1525" s="2"/>
      <c r="AQ1525" s="1"/>
      <c r="BG1525" s="1"/>
    </row>
    <row r="1526" spans="15:59">
      <c r="O1526" s="1"/>
      <c r="P1526" s="1"/>
      <c r="AA1526" s="1"/>
      <c r="AB1526" s="1"/>
      <c r="AG1526" s="1"/>
      <c r="AH1526" s="1"/>
      <c r="AK1526" s="1"/>
      <c r="AL1526" s="1"/>
      <c r="AM1526" s="2"/>
      <c r="AN1526" s="2"/>
      <c r="AQ1526" s="1"/>
      <c r="BG1526" s="1"/>
    </row>
    <row r="1527" spans="15:59">
      <c r="O1527" s="1"/>
      <c r="P1527" s="1"/>
      <c r="AA1527" s="1"/>
      <c r="AB1527" s="1"/>
      <c r="AG1527" s="1"/>
      <c r="AH1527" s="1"/>
      <c r="AK1527" s="1"/>
      <c r="AL1527" s="1"/>
      <c r="AM1527" s="2"/>
      <c r="AN1527" s="2"/>
      <c r="AQ1527" s="1"/>
      <c r="BG1527" s="1"/>
    </row>
    <row r="1528" spans="15:59">
      <c r="O1528" s="1"/>
      <c r="P1528" s="1"/>
      <c r="AA1528" s="1"/>
      <c r="AB1528" s="1"/>
      <c r="AG1528" s="1"/>
      <c r="AH1528" s="1"/>
      <c r="AK1528" s="1"/>
      <c r="AL1528" s="1"/>
      <c r="AM1528" s="2"/>
      <c r="AN1528" s="2"/>
      <c r="AQ1528" s="1"/>
      <c r="BG1528" s="1"/>
    </row>
    <row r="1529" spans="15:59">
      <c r="O1529" s="1"/>
      <c r="P1529" s="1"/>
      <c r="AA1529" s="1"/>
      <c r="AB1529" s="1"/>
      <c r="AG1529" s="1"/>
      <c r="AH1529" s="1"/>
      <c r="AK1529" s="1"/>
      <c r="AL1529" s="1"/>
      <c r="AM1529" s="2"/>
      <c r="AN1529" s="2"/>
      <c r="AQ1529" s="1"/>
      <c r="BG1529" s="1"/>
    </row>
    <row r="1530" spans="15:59">
      <c r="O1530" s="1"/>
      <c r="P1530" s="1"/>
      <c r="AA1530" s="1"/>
      <c r="AB1530" s="1"/>
      <c r="AG1530" s="1"/>
      <c r="AH1530" s="1"/>
      <c r="AK1530" s="1"/>
      <c r="AL1530" s="1"/>
      <c r="AM1530" s="2"/>
      <c r="AN1530" s="2"/>
      <c r="AQ1530" s="1"/>
      <c r="BG1530" s="1"/>
    </row>
    <row r="1531" spans="15:59">
      <c r="O1531" s="1"/>
      <c r="P1531" s="1"/>
      <c r="AA1531" s="1"/>
      <c r="AB1531" s="1"/>
      <c r="AG1531" s="1"/>
      <c r="AH1531" s="1"/>
      <c r="AK1531" s="1"/>
      <c r="AL1531" s="1"/>
      <c r="AM1531" s="2"/>
      <c r="AN1531" s="2"/>
      <c r="AQ1531" s="1"/>
      <c r="BG1531" s="1"/>
    </row>
    <row r="1532" spans="15:59">
      <c r="O1532" s="1"/>
      <c r="P1532" s="1"/>
      <c r="AA1532" s="1"/>
      <c r="AB1532" s="1"/>
      <c r="AG1532" s="1"/>
      <c r="AH1532" s="1"/>
      <c r="AK1532" s="1"/>
      <c r="AL1532" s="1"/>
      <c r="AM1532" s="2"/>
      <c r="AN1532" s="2"/>
      <c r="AQ1532" s="1"/>
      <c r="BG1532" s="1"/>
    </row>
    <row r="1533" spans="15:59">
      <c r="O1533" s="1"/>
      <c r="P1533" s="1"/>
      <c r="AA1533" s="1"/>
      <c r="AB1533" s="1"/>
      <c r="AG1533" s="1"/>
      <c r="AH1533" s="1"/>
      <c r="AK1533" s="1"/>
      <c r="AL1533" s="1"/>
      <c r="AM1533" s="2"/>
      <c r="AN1533" s="2"/>
      <c r="AQ1533" s="1"/>
      <c r="BG1533" s="1"/>
    </row>
    <row r="1534" spans="15:59">
      <c r="O1534" s="1"/>
      <c r="P1534" s="1"/>
      <c r="AA1534" s="1"/>
      <c r="AB1534" s="1"/>
      <c r="AG1534" s="1"/>
      <c r="AH1534" s="1"/>
      <c r="AK1534" s="1"/>
      <c r="AL1534" s="1"/>
      <c r="AM1534" s="2"/>
      <c r="AN1534" s="2"/>
      <c r="AQ1534" s="1"/>
      <c r="BG1534" s="1"/>
    </row>
    <row r="1535" spans="15:59">
      <c r="O1535" s="1"/>
      <c r="P1535" s="1"/>
      <c r="AA1535" s="1"/>
      <c r="AB1535" s="1"/>
      <c r="AG1535" s="1"/>
      <c r="AH1535" s="1"/>
      <c r="AK1535" s="1"/>
      <c r="AL1535" s="1"/>
      <c r="AM1535" s="2"/>
      <c r="AN1535" s="2"/>
      <c r="AQ1535" s="1"/>
      <c r="BG1535" s="1"/>
    </row>
    <row r="1536" spans="15:59">
      <c r="O1536" s="1"/>
      <c r="P1536" s="1"/>
      <c r="AA1536" s="1"/>
      <c r="AB1536" s="1"/>
      <c r="AG1536" s="1"/>
      <c r="AH1536" s="1"/>
      <c r="AK1536" s="1"/>
      <c r="AL1536" s="1"/>
      <c r="AM1536" s="2"/>
      <c r="AN1536" s="2"/>
      <c r="AQ1536" s="1"/>
      <c r="BG1536" s="1"/>
    </row>
    <row r="1537" spans="15:59">
      <c r="O1537" s="1"/>
      <c r="P1537" s="1"/>
      <c r="AA1537" s="1"/>
      <c r="AB1537" s="1"/>
      <c r="AG1537" s="1"/>
      <c r="AH1537" s="1"/>
      <c r="AK1537" s="1"/>
      <c r="AL1537" s="1"/>
      <c r="AM1537" s="2"/>
      <c r="AN1537" s="2"/>
      <c r="AQ1537" s="1"/>
      <c r="BG1537" s="1"/>
    </row>
    <row r="1538" spans="15:59">
      <c r="O1538" s="1"/>
      <c r="P1538" s="1"/>
      <c r="AA1538" s="1"/>
      <c r="AB1538" s="1"/>
      <c r="AG1538" s="1"/>
      <c r="AH1538" s="1"/>
      <c r="AK1538" s="1"/>
      <c r="AL1538" s="1"/>
      <c r="AM1538" s="2"/>
      <c r="AN1538" s="2"/>
      <c r="AQ1538" s="1"/>
      <c r="BG1538" s="1"/>
    </row>
    <row r="1539" spans="15:59">
      <c r="O1539" s="1"/>
      <c r="P1539" s="1"/>
      <c r="AA1539" s="1"/>
      <c r="AB1539" s="1"/>
      <c r="AG1539" s="1"/>
      <c r="AH1539" s="1"/>
      <c r="AK1539" s="1"/>
      <c r="AL1539" s="1"/>
      <c r="AM1539" s="2"/>
      <c r="AN1539" s="2"/>
      <c r="AQ1539" s="1"/>
      <c r="BG1539" s="1"/>
    </row>
    <row r="1540" spans="15:59">
      <c r="O1540" s="1"/>
      <c r="P1540" s="1"/>
      <c r="AA1540" s="1"/>
      <c r="AB1540" s="1"/>
      <c r="AG1540" s="1"/>
      <c r="AH1540" s="1"/>
      <c r="AK1540" s="1"/>
      <c r="AL1540" s="1"/>
      <c r="AM1540" s="2"/>
      <c r="AN1540" s="2"/>
      <c r="AQ1540" s="1"/>
      <c r="BG1540" s="1"/>
    </row>
    <row r="1541" spans="15:59">
      <c r="O1541" s="1"/>
      <c r="P1541" s="1"/>
      <c r="AA1541" s="1"/>
      <c r="AB1541" s="1"/>
      <c r="AG1541" s="1"/>
      <c r="AH1541" s="1"/>
      <c r="AK1541" s="1"/>
      <c r="AL1541" s="1"/>
      <c r="AM1541" s="2"/>
      <c r="AN1541" s="2"/>
      <c r="AQ1541" s="1"/>
      <c r="BG1541" s="1"/>
    </row>
    <row r="1542" spans="15:59">
      <c r="O1542" s="1"/>
      <c r="P1542" s="1"/>
      <c r="AA1542" s="1"/>
      <c r="AB1542" s="1"/>
      <c r="AG1542" s="1"/>
      <c r="AH1542" s="1"/>
      <c r="AK1542" s="1"/>
      <c r="AL1542" s="1"/>
      <c r="AM1542" s="2"/>
      <c r="AN1542" s="2"/>
      <c r="AQ1542" s="1"/>
      <c r="BG1542" s="1"/>
    </row>
    <row r="1543" spans="15:59">
      <c r="O1543" s="1"/>
      <c r="P1543" s="1"/>
      <c r="AA1543" s="1"/>
      <c r="AB1543" s="1"/>
      <c r="AG1543" s="1"/>
      <c r="AH1543" s="1"/>
      <c r="AK1543" s="1"/>
      <c r="AL1543" s="1"/>
      <c r="AM1543" s="2"/>
      <c r="AN1543" s="2"/>
      <c r="AQ1543" s="1"/>
      <c r="BG1543" s="1"/>
    </row>
    <row r="1544" spans="15:59">
      <c r="O1544" s="1"/>
      <c r="P1544" s="1"/>
      <c r="AA1544" s="1"/>
      <c r="AB1544" s="1"/>
      <c r="AG1544" s="1"/>
      <c r="AH1544" s="1"/>
      <c r="AK1544" s="1"/>
      <c r="AL1544" s="1"/>
      <c r="AM1544" s="2"/>
      <c r="AN1544" s="2"/>
      <c r="AQ1544" s="1"/>
      <c r="BG1544" s="1"/>
    </row>
    <row r="1545" spans="15:59">
      <c r="O1545" s="1"/>
      <c r="P1545" s="1"/>
      <c r="AA1545" s="1"/>
      <c r="AB1545" s="1"/>
      <c r="AG1545" s="1"/>
      <c r="AH1545" s="1"/>
      <c r="AK1545" s="1"/>
      <c r="AL1545" s="1"/>
      <c r="AM1545" s="2"/>
      <c r="AN1545" s="2"/>
      <c r="AQ1545" s="1"/>
      <c r="BG1545" s="1"/>
    </row>
    <row r="1546" spans="15:59">
      <c r="O1546" s="1"/>
      <c r="P1546" s="1"/>
      <c r="AA1546" s="1"/>
      <c r="AB1546" s="1"/>
      <c r="AG1546" s="1"/>
      <c r="AH1546" s="1"/>
      <c r="AK1546" s="1"/>
      <c r="AL1546" s="1"/>
      <c r="AM1546" s="2"/>
      <c r="AN1546" s="2"/>
      <c r="AQ1546" s="1"/>
      <c r="BG1546" s="1"/>
    </row>
    <row r="1547" spans="15:59">
      <c r="O1547" s="1"/>
      <c r="P1547" s="1"/>
      <c r="AA1547" s="1"/>
      <c r="AB1547" s="1"/>
      <c r="AG1547" s="1"/>
      <c r="AH1547" s="1"/>
      <c r="AK1547" s="1"/>
      <c r="AL1547" s="1"/>
      <c r="AM1547" s="2"/>
      <c r="AN1547" s="2"/>
      <c r="AQ1547" s="1"/>
      <c r="BG1547" s="1"/>
    </row>
    <row r="1548" spans="15:59">
      <c r="O1548" s="1"/>
      <c r="P1548" s="1"/>
      <c r="AA1548" s="1"/>
      <c r="AB1548" s="1"/>
      <c r="AG1548" s="1"/>
      <c r="AH1548" s="1"/>
      <c r="AK1548" s="1"/>
      <c r="AL1548" s="1"/>
      <c r="AM1548" s="2"/>
      <c r="AN1548" s="2"/>
      <c r="AQ1548" s="1"/>
      <c r="BG1548" s="1"/>
    </row>
    <row r="1549" spans="15:59">
      <c r="O1549" s="1"/>
      <c r="P1549" s="1"/>
      <c r="AA1549" s="1"/>
      <c r="AB1549" s="1"/>
      <c r="AG1549" s="1"/>
      <c r="AH1549" s="1"/>
      <c r="AK1549" s="1"/>
      <c r="AL1549" s="1"/>
      <c r="AM1549" s="2"/>
      <c r="AN1549" s="2"/>
      <c r="AQ1549" s="1"/>
      <c r="BG1549" s="1"/>
    </row>
    <row r="1550" spans="15:59">
      <c r="O1550" s="1"/>
      <c r="P1550" s="1"/>
      <c r="AA1550" s="1"/>
      <c r="AB1550" s="1"/>
      <c r="AG1550" s="1"/>
      <c r="AH1550" s="1"/>
      <c r="AK1550" s="1"/>
      <c r="AL1550" s="1"/>
      <c r="AM1550" s="2"/>
      <c r="AN1550" s="2"/>
      <c r="AQ1550" s="1"/>
      <c r="BG1550" s="1"/>
    </row>
    <row r="1551" spans="15:59">
      <c r="O1551" s="1"/>
      <c r="P1551" s="1"/>
      <c r="AA1551" s="1"/>
      <c r="AB1551" s="1"/>
      <c r="AG1551" s="1"/>
      <c r="AH1551" s="1"/>
      <c r="AK1551" s="1"/>
      <c r="AL1551" s="1"/>
      <c r="AM1551" s="2"/>
      <c r="AN1551" s="2"/>
      <c r="AQ1551" s="1"/>
      <c r="BG1551" s="1"/>
    </row>
    <row r="1552" spans="15:59">
      <c r="O1552" s="1"/>
      <c r="P1552" s="1"/>
      <c r="AA1552" s="1"/>
      <c r="AB1552" s="1"/>
      <c r="AG1552" s="1"/>
      <c r="AH1552" s="1"/>
      <c r="AK1552" s="1"/>
      <c r="AL1552" s="1"/>
      <c r="AM1552" s="2"/>
      <c r="AN1552" s="2"/>
      <c r="AQ1552" s="1"/>
      <c r="BG1552" s="1"/>
    </row>
    <row r="1553" spans="15:59">
      <c r="O1553" s="1"/>
      <c r="P1553" s="1"/>
      <c r="AA1553" s="1"/>
      <c r="AB1553" s="1"/>
      <c r="AG1553" s="1"/>
      <c r="AH1553" s="1"/>
      <c r="AK1553" s="1"/>
      <c r="AL1553" s="1"/>
      <c r="AM1553" s="2"/>
      <c r="AN1553" s="2"/>
      <c r="AQ1553" s="1"/>
      <c r="BG1553" s="1"/>
    </row>
    <row r="1554" spans="15:59">
      <c r="O1554" s="1"/>
      <c r="P1554" s="1"/>
      <c r="AA1554" s="1"/>
      <c r="AB1554" s="1"/>
      <c r="AG1554" s="1"/>
      <c r="AH1554" s="1"/>
      <c r="AK1554" s="1"/>
      <c r="AL1554" s="1"/>
      <c r="AM1554" s="2"/>
      <c r="AN1554" s="2"/>
      <c r="AQ1554" s="1"/>
      <c r="BG1554" s="1"/>
    </row>
    <row r="1555" spans="15:59">
      <c r="O1555" s="1"/>
      <c r="P1555" s="1"/>
      <c r="AA1555" s="1"/>
      <c r="AB1555" s="1"/>
      <c r="AG1555" s="1"/>
      <c r="AH1555" s="1"/>
      <c r="AK1555" s="1"/>
      <c r="AL1555" s="1"/>
      <c r="AM1555" s="2"/>
      <c r="AN1555" s="2"/>
      <c r="AQ1555" s="1"/>
      <c r="BG1555" s="1"/>
    </row>
    <row r="1556" spans="15:59">
      <c r="O1556" s="1"/>
      <c r="P1556" s="1"/>
      <c r="AA1556" s="1"/>
      <c r="AB1556" s="1"/>
      <c r="AG1556" s="1"/>
      <c r="AH1556" s="1"/>
      <c r="AK1556" s="1"/>
      <c r="AL1556" s="1"/>
      <c r="AM1556" s="2"/>
      <c r="AN1556" s="2"/>
      <c r="AQ1556" s="1"/>
      <c r="BG1556" s="1"/>
    </row>
    <row r="1557" spans="15:59">
      <c r="O1557" s="1"/>
      <c r="P1557" s="1"/>
      <c r="AA1557" s="1"/>
      <c r="AB1557" s="1"/>
      <c r="AG1557" s="1"/>
      <c r="AH1557" s="1"/>
      <c r="AK1557" s="1"/>
      <c r="AL1557" s="1"/>
      <c r="AM1557" s="2"/>
      <c r="AN1557" s="2"/>
      <c r="AQ1557" s="1"/>
      <c r="BG1557" s="1"/>
    </row>
    <row r="1558" spans="15:59">
      <c r="O1558" s="1"/>
      <c r="P1558" s="1"/>
      <c r="AA1558" s="1"/>
      <c r="AB1558" s="1"/>
      <c r="AG1558" s="1"/>
      <c r="AH1558" s="1"/>
      <c r="AK1558" s="1"/>
      <c r="AL1558" s="1"/>
      <c r="AM1558" s="2"/>
      <c r="AN1558" s="2"/>
      <c r="AQ1558" s="1"/>
      <c r="BG1558" s="1"/>
    </row>
    <row r="1559" spans="15:59">
      <c r="O1559" s="1"/>
      <c r="P1559" s="1"/>
      <c r="AA1559" s="1"/>
      <c r="AB1559" s="1"/>
      <c r="AG1559" s="1"/>
      <c r="AH1559" s="1"/>
      <c r="AK1559" s="1"/>
      <c r="AL1559" s="1"/>
      <c r="AM1559" s="2"/>
      <c r="AN1559" s="2"/>
      <c r="AQ1559" s="1"/>
      <c r="BG1559" s="1"/>
    </row>
    <row r="1560" spans="15:59">
      <c r="O1560" s="1"/>
      <c r="P1560" s="1"/>
      <c r="AA1560" s="1"/>
      <c r="AB1560" s="1"/>
      <c r="AG1560" s="1"/>
      <c r="AH1560" s="1"/>
      <c r="AK1560" s="1"/>
      <c r="AL1560" s="1"/>
      <c r="AM1560" s="2"/>
      <c r="AN1560" s="2"/>
      <c r="AQ1560" s="1"/>
      <c r="BG1560" s="1"/>
    </row>
    <row r="1561" spans="15:59">
      <c r="O1561" s="1"/>
      <c r="P1561" s="1"/>
      <c r="AA1561" s="1"/>
      <c r="AB1561" s="1"/>
      <c r="AG1561" s="1"/>
      <c r="AH1561" s="1"/>
      <c r="AK1561" s="1"/>
      <c r="AL1561" s="1"/>
      <c r="AM1561" s="2"/>
      <c r="AN1561" s="2"/>
      <c r="AQ1561" s="1"/>
      <c r="BG1561" s="1"/>
    </row>
    <row r="1562" spans="15:59">
      <c r="O1562" s="1"/>
      <c r="P1562" s="1"/>
      <c r="AA1562" s="1"/>
      <c r="AB1562" s="1"/>
      <c r="AG1562" s="1"/>
      <c r="AH1562" s="1"/>
      <c r="AK1562" s="1"/>
      <c r="AL1562" s="1"/>
      <c r="AM1562" s="2"/>
      <c r="AN1562" s="2"/>
      <c r="AQ1562" s="1"/>
      <c r="BG1562" s="1"/>
    </row>
    <row r="1563" spans="15:59">
      <c r="O1563" s="1"/>
      <c r="P1563" s="1"/>
      <c r="AA1563" s="1"/>
      <c r="AB1563" s="1"/>
      <c r="AG1563" s="1"/>
      <c r="AH1563" s="1"/>
      <c r="AK1563" s="1"/>
      <c r="AL1563" s="1"/>
      <c r="AM1563" s="2"/>
      <c r="AN1563" s="2"/>
      <c r="AQ1563" s="1"/>
      <c r="BG1563" s="1"/>
    </row>
    <row r="1564" spans="15:59">
      <c r="O1564" s="1"/>
      <c r="P1564" s="1"/>
      <c r="AA1564" s="1"/>
      <c r="AB1564" s="1"/>
      <c r="AG1564" s="1"/>
      <c r="AH1564" s="1"/>
      <c r="AK1564" s="1"/>
      <c r="AL1564" s="1"/>
      <c r="AM1564" s="2"/>
      <c r="AN1564" s="2"/>
      <c r="AQ1564" s="1"/>
      <c r="BG1564" s="1"/>
    </row>
    <row r="1565" spans="15:59">
      <c r="O1565" s="1"/>
      <c r="P1565" s="1"/>
      <c r="AA1565" s="1"/>
      <c r="AB1565" s="1"/>
      <c r="AG1565" s="1"/>
      <c r="AH1565" s="1"/>
      <c r="AK1565" s="1"/>
      <c r="AL1565" s="1"/>
      <c r="AM1565" s="2"/>
      <c r="AN1565" s="2"/>
      <c r="AQ1565" s="1"/>
      <c r="BG1565" s="1"/>
    </row>
    <row r="1566" spans="15:59">
      <c r="O1566" s="1"/>
      <c r="P1566" s="1"/>
      <c r="AA1566" s="1"/>
      <c r="AB1566" s="1"/>
      <c r="AG1566" s="1"/>
      <c r="AH1566" s="1"/>
      <c r="AK1566" s="1"/>
      <c r="AL1566" s="1"/>
      <c r="AM1566" s="2"/>
      <c r="AN1566" s="2"/>
      <c r="AQ1566" s="1"/>
      <c r="BG1566" s="1"/>
    </row>
    <row r="1567" spans="15:59">
      <c r="O1567" s="1"/>
      <c r="P1567" s="1"/>
      <c r="AA1567" s="1"/>
      <c r="AB1567" s="1"/>
      <c r="AG1567" s="1"/>
      <c r="AH1567" s="1"/>
      <c r="AK1567" s="1"/>
      <c r="AL1567" s="1"/>
      <c r="AM1567" s="2"/>
      <c r="AN1567" s="2"/>
      <c r="AQ1567" s="1"/>
      <c r="BG1567" s="1"/>
    </row>
    <row r="1568" spans="15:59">
      <c r="O1568" s="1"/>
      <c r="P1568" s="1"/>
      <c r="AA1568" s="1"/>
      <c r="AB1568" s="1"/>
      <c r="AG1568" s="1"/>
      <c r="AH1568" s="1"/>
      <c r="AK1568" s="1"/>
      <c r="AL1568" s="1"/>
      <c r="AM1568" s="2"/>
      <c r="AN1568" s="2"/>
      <c r="AQ1568" s="1"/>
      <c r="BG1568" s="1"/>
    </row>
    <row r="1569" spans="15:59">
      <c r="O1569" s="1"/>
      <c r="P1569" s="1"/>
      <c r="AA1569" s="1"/>
      <c r="AB1569" s="1"/>
      <c r="AG1569" s="1"/>
      <c r="AH1569" s="1"/>
      <c r="AK1569" s="1"/>
      <c r="AL1569" s="1"/>
      <c r="AM1569" s="2"/>
      <c r="AN1569" s="2"/>
      <c r="AQ1569" s="1"/>
      <c r="BG1569" s="1"/>
    </row>
    <row r="1570" spans="15:59">
      <c r="O1570" s="1"/>
      <c r="P1570" s="1"/>
      <c r="AA1570" s="1"/>
      <c r="AB1570" s="1"/>
      <c r="AG1570" s="1"/>
      <c r="AH1570" s="1"/>
      <c r="AK1570" s="1"/>
      <c r="AL1570" s="1"/>
      <c r="AM1570" s="2"/>
      <c r="AN1570" s="2"/>
      <c r="AQ1570" s="1"/>
      <c r="BG1570" s="1"/>
    </row>
    <row r="1571" spans="15:59">
      <c r="O1571" s="1"/>
      <c r="P1571" s="1"/>
      <c r="AA1571" s="1"/>
      <c r="AB1571" s="1"/>
      <c r="AG1571" s="1"/>
      <c r="AH1571" s="1"/>
      <c r="AK1571" s="1"/>
      <c r="AL1571" s="1"/>
      <c r="AM1571" s="2"/>
      <c r="AN1571" s="2"/>
      <c r="AQ1571" s="1"/>
      <c r="BG1571" s="1"/>
    </row>
    <row r="1572" spans="15:59">
      <c r="O1572" s="1"/>
      <c r="P1572" s="1"/>
      <c r="AA1572" s="1"/>
      <c r="AB1572" s="1"/>
      <c r="AG1572" s="1"/>
      <c r="AH1572" s="1"/>
      <c r="AK1572" s="1"/>
      <c r="AL1572" s="1"/>
      <c r="AM1572" s="2"/>
      <c r="AN1572" s="2"/>
      <c r="AQ1572" s="1"/>
      <c r="BG1572" s="1"/>
    </row>
    <row r="1573" spans="15:59">
      <c r="O1573" s="1"/>
      <c r="P1573" s="1"/>
      <c r="AA1573" s="1"/>
      <c r="AB1573" s="1"/>
      <c r="AG1573" s="1"/>
      <c r="AH1573" s="1"/>
      <c r="AK1573" s="1"/>
      <c r="AL1573" s="1"/>
      <c r="AM1573" s="2"/>
      <c r="AN1573" s="2"/>
      <c r="AQ1573" s="1"/>
      <c r="BG1573" s="1"/>
    </row>
    <row r="1574" spans="15:59">
      <c r="O1574" s="1"/>
      <c r="P1574" s="1"/>
      <c r="AA1574" s="1"/>
      <c r="AB1574" s="1"/>
      <c r="AG1574" s="1"/>
      <c r="AH1574" s="1"/>
      <c r="AK1574" s="1"/>
      <c r="AL1574" s="1"/>
      <c r="AM1574" s="2"/>
      <c r="AN1574" s="2"/>
      <c r="AQ1574" s="1"/>
      <c r="BG1574" s="1"/>
    </row>
    <row r="1575" spans="15:59">
      <c r="O1575" s="1"/>
      <c r="P1575" s="1"/>
      <c r="AA1575" s="1"/>
      <c r="AB1575" s="1"/>
      <c r="AG1575" s="1"/>
      <c r="AH1575" s="1"/>
      <c r="AK1575" s="1"/>
      <c r="AL1575" s="1"/>
      <c r="AM1575" s="2"/>
      <c r="AN1575" s="2"/>
      <c r="AQ1575" s="1"/>
      <c r="BG1575" s="1"/>
    </row>
    <row r="1576" spans="15:59">
      <c r="O1576" s="1"/>
      <c r="P1576" s="1"/>
      <c r="AA1576" s="1"/>
      <c r="AB1576" s="1"/>
      <c r="AG1576" s="1"/>
      <c r="AH1576" s="1"/>
      <c r="AK1576" s="1"/>
      <c r="AL1576" s="1"/>
      <c r="AM1576" s="2"/>
      <c r="AN1576" s="2"/>
      <c r="AQ1576" s="1"/>
      <c r="BG1576" s="1"/>
    </row>
    <row r="1577" spans="15:59">
      <c r="O1577" s="1"/>
      <c r="P1577" s="1"/>
      <c r="AA1577" s="1"/>
      <c r="AB1577" s="1"/>
      <c r="AG1577" s="1"/>
      <c r="AH1577" s="1"/>
      <c r="AK1577" s="1"/>
      <c r="AL1577" s="1"/>
      <c r="AM1577" s="2"/>
      <c r="AN1577" s="2"/>
      <c r="AQ1577" s="1"/>
      <c r="BG1577" s="1"/>
    </row>
    <row r="1578" spans="15:59">
      <c r="O1578" s="1"/>
      <c r="P1578" s="1"/>
      <c r="AA1578" s="1"/>
      <c r="AB1578" s="1"/>
      <c r="AG1578" s="1"/>
      <c r="AH1578" s="1"/>
      <c r="AK1578" s="1"/>
      <c r="AL1578" s="1"/>
      <c r="AM1578" s="2"/>
      <c r="AN1578" s="2"/>
      <c r="AQ1578" s="1"/>
      <c r="BG1578" s="1"/>
    </row>
    <row r="1579" spans="15:59">
      <c r="O1579" s="1"/>
      <c r="P1579" s="1"/>
      <c r="AA1579" s="1"/>
      <c r="AB1579" s="1"/>
      <c r="AG1579" s="1"/>
      <c r="AH1579" s="1"/>
      <c r="AK1579" s="1"/>
      <c r="AL1579" s="1"/>
      <c r="AM1579" s="2"/>
      <c r="AN1579" s="2"/>
      <c r="AQ1579" s="1"/>
      <c r="BG1579" s="1"/>
    </row>
    <row r="1580" spans="15:59">
      <c r="O1580" s="1"/>
      <c r="P1580" s="1"/>
      <c r="AA1580" s="1"/>
      <c r="AB1580" s="1"/>
      <c r="AG1580" s="1"/>
      <c r="AH1580" s="1"/>
      <c r="AK1580" s="1"/>
      <c r="AL1580" s="1"/>
      <c r="AM1580" s="2"/>
      <c r="AN1580" s="2"/>
      <c r="AQ1580" s="1"/>
      <c r="BG1580" s="1"/>
    </row>
    <row r="1581" spans="15:59">
      <c r="O1581" s="1"/>
      <c r="P1581" s="1"/>
      <c r="AA1581" s="1"/>
      <c r="AB1581" s="1"/>
      <c r="AG1581" s="1"/>
      <c r="AH1581" s="1"/>
      <c r="AK1581" s="1"/>
      <c r="AL1581" s="1"/>
      <c r="AM1581" s="2"/>
      <c r="AN1581" s="2"/>
      <c r="AQ1581" s="1"/>
      <c r="BG1581" s="1"/>
    </row>
    <row r="1582" spans="15:59">
      <c r="O1582" s="1"/>
      <c r="P1582" s="1"/>
      <c r="AA1582" s="1"/>
      <c r="AB1582" s="1"/>
      <c r="AG1582" s="1"/>
      <c r="AH1582" s="1"/>
      <c r="AK1582" s="1"/>
      <c r="AL1582" s="1"/>
      <c r="AM1582" s="2"/>
      <c r="AN1582" s="2"/>
      <c r="AQ1582" s="1"/>
      <c r="BG1582" s="1"/>
    </row>
    <row r="1583" spans="15:59">
      <c r="O1583" s="1"/>
      <c r="P1583" s="1"/>
      <c r="AA1583" s="1"/>
      <c r="AB1583" s="1"/>
      <c r="AG1583" s="1"/>
      <c r="AH1583" s="1"/>
      <c r="AK1583" s="1"/>
      <c r="AL1583" s="1"/>
      <c r="AM1583" s="2"/>
      <c r="AN1583" s="2"/>
      <c r="AQ1583" s="1"/>
      <c r="BG1583" s="1"/>
    </row>
    <row r="1584" spans="15:59">
      <c r="O1584" s="1"/>
      <c r="P1584" s="1"/>
      <c r="AA1584" s="1"/>
      <c r="AB1584" s="1"/>
      <c r="AG1584" s="1"/>
      <c r="AH1584" s="1"/>
      <c r="AK1584" s="1"/>
      <c r="AL1584" s="1"/>
      <c r="AM1584" s="2"/>
      <c r="AN1584" s="2"/>
      <c r="AQ1584" s="1"/>
      <c r="BG1584" s="1"/>
    </row>
    <row r="1585" spans="15:59">
      <c r="O1585" s="1"/>
      <c r="P1585" s="1"/>
      <c r="AA1585" s="1"/>
      <c r="AB1585" s="1"/>
      <c r="AG1585" s="1"/>
      <c r="AH1585" s="1"/>
      <c r="AK1585" s="1"/>
      <c r="AL1585" s="1"/>
      <c r="AM1585" s="2"/>
      <c r="AN1585" s="2"/>
      <c r="AQ1585" s="1"/>
      <c r="BG1585" s="1"/>
    </row>
    <row r="1586" spans="15:59">
      <c r="O1586" s="1"/>
      <c r="P1586" s="1"/>
      <c r="AA1586" s="1"/>
      <c r="AB1586" s="1"/>
      <c r="AG1586" s="1"/>
      <c r="AH1586" s="1"/>
      <c r="AK1586" s="1"/>
      <c r="AL1586" s="1"/>
      <c r="AM1586" s="2"/>
      <c r="AN1586" s="2"/>
      <c r="AQ1586" s="1"/>
      <c r="BG1586" s="1"/>
    </row>
    <row r="1587" spans="15:59">
      <c r="O1587" s="1"/>
      <c r="P1587" s="1"/>
      <c r="AA1587" s="1"/>
      <c r="AB1587" s="1"/>
      <c r="AG1587" s="1"/>
      <c r="AH1587" s="1"/>
      <c r="AK1587" s="1"/>
      <c r="AL1587" s="1"/>
      <c r="AM1587" s="2"/>
      <c r="AN1587" s="2"/>
      <c r="AQ1587" s="1"/>
      <c r="BG1587" s="1"/>
    </row>
    <row r="1588" spans="15:59">
      <c r="O1588" s="1"/>
      <c r="P1588" s="1"/>
      <c r="AA1588" s="1"/>
      <c r="AB1588" s="1"/>
      <c r="AG1588" s="1"/>
      <c r="AH1588" s="1"/>
      <c r="AK1588" s="1"/>
      <c r="AL1588" s="1"/>
      <c r="AM1588" s="2"/>
      <c r="AN1588" s="2"/>
      <c r="AQ1588" s="1"/>
      <c r="BG1588" s="1"/>
    </row>
    <row r="1589" spans="15:59">
      <c r="O1589" s="1"/>
      <c r="P1589" s="1"/>
      <c r="AA1589" s="1"/>
      <c r="AB1589" s="1"/>
      <c r="AG1589" s="1"/>
      <c r="AH1589" s="1"/>
      <c r="AK1589" s="1"/>
      <c r="AL1589" s="1"/>
      <c r="AM1589" s="2"/>
      <c r="AN1589" s="2"/>
      <c r="AQ1589" s="1"/>
      <c r="BG1589" s="1"/>
    </row>
    <row r="1590" spans="15:59">
      <c r="O1590" s="1"/>
      <c r="P1590" s="1"/>
      <c r="AA1590" s="1"/>
      <c r="AB1590" s="1"/>
      <c r="AG1590" s="1"/>
      <c r="AH1590" s="1"/>
      <c r="AK1590" s="1"/>
      <c r="AL1590" s="1"/>
      <c r="AM1590" s="2"/>
      <c r="AN1590" s="2"/>
      <c r="AQ1590" s="1"/>
      <c r="BG1590" s="1"/>
    </row>
    <row r="1591" spans="15:59">
      <c r="O1591" s="1"/>
      <c r="P1591" s="1"/>
      <c r="AA1591" s="1"/>
      <c r="AB1591" s="1"/>
      <c r="AG1591" s="1"/>
      <c r="AH1591" s="1"/>
      <c r="AK1591" s="1"/>
      <c r="AL1591" s="1"/>
      <c r="AM1591" s="2"/>
      <c r="AN1591" s="2"/>
      <c r="AQ1591" s="1"/>
      <c r="BG1591" s="1"/>
    </row>
    <row r="1592" spans="15:59">
      <c r="O1592" s="1"/>
      <c r="P1592" s="1"/>
      <c r="AA1592" s="1"/>
      <c r="AB1592" s="1"/>
      <c r="AG1592" s="1"/>
      <c r="AH1592" s="1"/>
      <c r="AK1592" s="1"/>
      <c r="AL1592" s="1"/>
      <c r="AM1592" s="2"/>
      <c r="AN1592" s="2"/>
      <c r="AQ1592" s="1"/>
      <c r="BG1592" s="1"/>
    </row>
    <row r="1593" spans="15:59">
      <c r="O1593" s="1"/>
      <c r="P1593" s="1"/>
      <c r="AA1593" s="1"/>
      <c r="AB1593" s="1"/>
      <c r="AG1593" s="1"/>
      <c r="AH1593" s="1"/>
      <c r="AK1593" s="1"/>
      <c r="AL1593" s="1"/>
      <c r="AM1593" s="2"/>
      <c r="AN1593" s="2"/>
      <c r="AQ1593" s="1"/>
      <c r="BG1593" s="1"/>
    </row>
    <row r="1594" spans="15:59">
      <c r="O1594" s="1"/>
      <c r="P1594" s="1"/>
      <c r="AA1594" s="1"/>
      <c r="AB1594" s="1"/>
      <c r="AG1594" s="1"/>
      <c r="AH1594" s="1"/>
      <c r="AK1594" s="1"/>
      <c r="AL1594" s="1"/>
      <c r="AM1594" s="2"/>
      <c r="AN1594" s="2"/>
      <c r="AQ1594" s="1"/>
      <c r="BG1594" s="1"/>
    </row>
    <row r="1595" spans="15:59">
      <c r="O1595" s="1"/>
      <c r="P1595" s="1"/>
      <c r="AA1595" s="1"/>
      <c r="AB1595" s="1"/>
      <c r="AG1595" s="1"/>
      <c r="AH1595" s="1"/>
      <c r="AK1595" s="1"/>
      <c r="AL1595" s="1"/>
      <c r="AM1595" s="2"/>
      <c r="AN1595" s="2"/>
      <c r="AQ1595" s="1"/>
      <c r="BG1595" s="1"/>
    </row>
    <row r="1596" spans="15:59">
      <c r="O1596" s="1"/>
      <c r="P1596" s="1"/>
      <c r="AA1596" s="1"/>
      <c r="AB1596" s="1"/>
      <c r="AG1596" s="1"/>
      <c r="AH1596" s="1"/>
      <c r="AK1596" s="1"/>
      <c r="AL1596" s="1"/>
      <c r="AM1596" s="2"/>
      <c r="AN1596" s="2"/>
      <c r="AQ1596" s="1"/>
      <c r="BG1596" s="1"/>
    </row>
    <row r="1597" spans="15:59">
      <c r="O1597" s="1"/>
      <c r="P1597" s="1"/>
      <c r="AA1597" s="1"/>
      <c r="AB1597" s="1"/>
      <c r="AG1597" s="1"/>
      <c r="AH1597" s="1"/>
      <c r="AK1597" s="1"/>
      <c r="AL1597" s="1"/>
      <c r="AM1597" s="2"/>
      <c r="AN1597" s="2"/>
      <c r="AQ1597" s="1"/>
      <c r="BG1597" s="1"/>
    </row>
    <row r="1598" spans="15:59">
      <c r="O1598" s="1"/>
      <c r="P1598" s="1"/>
      <c r="AA1598" s="1"/>
      <c r="AB1598" s="1"/>
      <c r="AG1598" s="1"/>
      <c r="AH1598" s="1"/>
      <c r="AK1598" s="1"/>
      <c r="AL1598" s="1"/>
      <c r="AM1598" s="2"/>
      <c r="AN1598" s="2"/>
      <c r="AQ1598" s="1"/>
      <c r="BG1598" s="1"/>
    </row>
    <row r="1599" spans="15:59">
      <c r="O1599" s="1"/>
      <c r="P1599" s="1"/>
      <c r="AA1599" s="1"/>
      <c r="AB1599" s="1"/>
      <c r="AG1599" s="1"/>
      <c r="AH1599" s="1"/>
      <c r="AK1599" s="1"/>
      <c r="AL1599" s="1"/>
      <c r="AM1599" s="2"/>
      <c r="AN1599" s="2"/>
      <c r="AQ1599" s="1"/>
      <c r="BG1599" s="1"/>
    </row>
    <row r="1600" spans="15:59">
      <c r="O1600" s="1"/>
      <c r="P1600" s="1"/>
      <c r="AA1600" s="1"/>
      <c r="AB1600" s="1"/>
      <c r="AG1600" s="1"/>
      <c r="AH1600" s="1"/>
      <c r="AK1600" s="1"/>
      <c r="AL1600" s="1"/>
      <c r="AM1600" s="2"/>
      <c r="AN1600" s="2"/>
      <c r="AQ1600" s="1"/>
      <c r="BG1600" s="1"/>
    </row>
    <row r="1601" spans="15:59">
      <c r="O1601" s="1"/>
      <c r="P1601" s="1"/>
      <c r="AA1601" s="1"/>
      <c r="AB1601" s="1"/>
      <c r="AG1601" s="1"/>
      <c r="AH1601" s="1"/>
      <c r="AK1601" s="1"/>
      <c r="AL1601" s="1"/>
      <c r="AM1601" s="2"/>
      <c r="AN1601" s="2"/>
      <c r="AQ1601" s="1"/>
      <c r="BG1601" s="1"/>
    </row>
    <row r="1602" spans="15:59">
      <c r="O1602" s="1"/>
      <c r="P1602" s="1"/>
      <c r="AA1602" s="1"/>
      <c r="AB1602" s="1"/>
      <c r="AG1602" s="1"/>
      <c r="AH1602" s="1"/>
      <c r="AK1602" s="1"/>
      <c r="AL1602" s="1"/>
      <c r="AM1602" s="2"/>
      <c r="AN1602" s="2"/>
      <c r="AQ1602" s="1"/>
      <c r="BG1602" s="1"/>
    </row>
    <row r="1603" spans="15:59">
      <c r="O1603" s="1"/>
      <c r="P1603" s="1"/>
      <c r="AA1603" s="1"/>
      <c r="AB1603" s="1"/>
      <c r="AG1603" s="1"/>
      <c r="AH1603" s="1"/>
      <c r="AK1603" s="1"/>
      <c r="AL1603" s="1"/>
      <c r="AM1603" s="2"/>
      <c r="AN1603" s="2"/>
      <c r="AQ1603" s="1"/>
      <c r="BG1603" s="1"/>
    </row>
    <row r="1604" spans="15:59">
      <c r="O1604" s="1"/>
      <c r="P1604" s="1"/>
      <c r="AA1604" s="1"/>
      <c r="AB1604" s="1"/>
      <c r="AG1604" s="1"/>
      <c r="AH1604" s="1"/>
      <c r="AK1604" s="1"/>
      <c r="AL1604" s="1"/>
      <c r="AM1604" s="2"/>
      <c r="AN1604" s="2"/>
      <c r="AQ1604" s="1"/>
      <c r="BG1604" s="1"/>
    </row>
    <row r="1605" spans="15:59">
      <c r="O1605" s="1"/>
      <c r="P1605" s="1"/>
      <c r="AA1605" s="1"/>
      <c r="AB1605" s="1"/>
      <c r="AG1605" s="1"/>
      <c r="AH1605" s="1"/>
      <c r="AK1605" s="1"/>
      <c r="AL1605" s="1"/>
      <c r="AM1605" s="2"/>
      <c r="AN1605" s="2"/>
      <c r="AQ1605" s="1"/>
      <c r="BG1605" s="1"/>
    </row>
    <row r="1606" spans="15:59">
      <c r="O1606" s="1"/>
      <c r="P1606" s="1"/>
      <c r="AA1606" s="1"/>
      <c r="AB1606" s="1"/>
      <c r="AG1606" s="1"/>
      <c r="AH1606" s="1"/>
      <c r="AK1606" s="1"/>
      <c r="AL1606" s="1"/>
      <c r="AM1606" s="2"/>
      <c r="AN1606" s="2"/>
      <c r="AQ1606" s="1"/>
      <c r="BG1606" s="1"/>
    </row>
    <row r="1607" spans="15:59">
      <c r="O1607" s="1"/>
      <c r="P1607" s="1"/>
      <c r="AA1607" s="1"/>
      <c r="AB1607" s="1"/>
      <c r="AG1607" s="1"/>
      <c r="AH1607" s="1"/>
      <c r="AK1607" s="1"/>
      <c r="AL1607" s="1"/>
      <c r="AM1607" s="2"/>
      <c r="AN1607" s="2"/>
      <c r="AQ1607" s="1"/>
      <c r="BG1607" s="1"/>
    </row>
    <row r="1608" spans="15:59">
      <c r="O1608" s="1"/>
      <c r="P1608" s="1"/>
      <c r="AA1608" s="1"/>
      <c r="AB1608" s="1"/>
      <c r="AG1608" s="1"/>
      <c r="AH1608" s="1"/>
      <c r="AK1608" s="1"/>
      <c r="AL1608" s="1"/>
      <c r="AM1608" s="2"/>
      <c r="AN1608" s="2"/>
      <c r="AQ1608" s="1"/>
      <c r="BG1608" s="1"/>
    </row>
    <row r="1609" spans="15:59">
      <c r="O1609" s="1"/>
      <c r="P1609" s="1"/>
      <c r="AA1609" s="1"/>
      <c r="AB1609" s="1"/>
      <c r="AG1609" s="1"/>
      <c r="AH1609" s="1"/>
      <c r="AK1609" s="1"/>
      <c r="AL1609" s="1"/>
      <c r="AM1609" s="2"/>
      <c r="AN1609" s="2"/>
      <c r="AQ1609" s="1"/>
      <c r="BG1609" s="1"/>
    </row>
    <row r="1610" spans="15:59">
      <c r="O1610" s="1"/>
      <c r="P1610" s="1"/>
      <c r="AA1610" s="1"/>
      <c r="AB1610" s="1"/>
      <c r="AG1610" s="1"/>
      <c r="AH1610" s="1"/>
      <c r="AK1610" s="1"/>
      <c r="AL1610" s="1"/>
      <c r="AM1610" s="2"/>
      <c r="AN1610" s="2"/>
      <c r="AQ1610" s="1"/>
      <c r="BG1610" s="1"/>
    </row>
    <row r="1611" spans="15:59">
      <c r="O1611" s="1"/>
      <c r="P1611" s="1"/>
      <c r="AA1611" s="1"/>
      <c r="AB1611" s="1"/>
      <c r="AG1611" s="1"/>
      <c r="AH1611" s="1"/>
      <c r="AK1611" s="1"/>
      <c r="AL1611" s="1"/>
      <c r="AM1611" s="2"/>
      <c r="AN1611" s="2"/>
      <c r="AQ1611" s="1"/>
      <c r="BG1611" s="1"/>
    </row>
    <row r="1612" spans="15:59">
      <c r="O1612" s="1"/>
      <c r="P1612" s="1"/>
      <c r="AA1612" s="1"/>
      <c r="AB1612" s="1"/>
      <c r="AG1612" s="1"/>
      <c r="AH1612" s="1"/>
      <c r="AK1612" s="1"/>
      <c r="AL1612" s="1"/>
      <c r="AM1612" s="2"/>
      <c r="AN1612" s="2"/>
      <c r="AQ1612" s="1"/>
      <c r="BG1612" s="1"/>
    </row>
    <row r="1613" spans="15:59">
      <c r="O1613" s="1"/>
      <c r="P1613" s="1"/>
      <c r="AA1613" s="1"/>
      <c r="AB1613" s="1"/>
      <c r="AG1613" s="1"/>
      <c r="AH1613" s="1"/>
      <c r="AK1613" s="1"/>
      <c r="AL1613" s="1"/>
      <c r="AM1613" s="2"/>
      <c r="AN1613" s="2"/>
      <c r="AQ1613" s="1"/>
      <c r="BG1613" s="1"/>
    </row>
    <row r="1614" spans="15:59">
      <c r="O1614" s="1"/>
      <c r="P1614" s="1"/>
      <c r="AA1614" s="1"/>
      <c r="AB1614" s="1"/>
      <c r="AG1614" s="1"/>
      <c r="AH1614" s="1"/>
      <c r="AK1614" s="1"/>
      <c r="AL1614" s="1"/>
      <c r="AM1614" s="2"/>
      <c r="AN1614" s="2"/>
      <c r="AQ1614" s="1"/>
      <c r="BG1614" s="1"/>
    </row>
    <row r="1615" spans="15:59">
      <c r="O1615" s="1"/>
      <c r="P1615" s="1"/>
      <c r="AA1615" s="1"/>
      <c r="AB1615" s="1"/>
      <c r="AG1615" s="1"/>
      <c r="AH1615" s="1"/>
      <c r="AK1615" s="1"/>
      <c r="AL1615" s="1"/>
      <c r="AM1615" s="2"/>
      <c r="AN1615" s="2"/>
      <c r="AQ1615" s="1"/>
      <c r="BG1615" s="1"/>
    </row>
    <row r="1616" spans="15:59">
      <c r="O1616" s="1"/>
      <c r="P1616" s="1"/>
      <c r="AA1616" s="1"/>
      <c r="AB1616" s="1"/>
      <c r="AG1616" s="1"/>
      <c r="AH1616" s="1"/>
      <c r="AK1616" s="1"/>
      <c r="AL1616" s="1"/>
      <c r="AM1616" s="2"/>
      <c r="AN1616" s="2"/>
      <c r="AQ1616" s="1"/>
      <c r="BG1616" s="1"/>
    </row>
    <row r="1617" spans="15:59">
      <c r="O1617" s="1"/>
      <c r="P1617" s="1"/>
      <c r="AA1617" s="1"/>
      <c r="AB1617" s="1"/>
      <c r="AG1617" s="1"/>
      <c r="AH1617" s="1"/>
      <c r="AK1617" s="1"/>
      <c r="AL1617" s="1"/>
      <c r="AM1617" s="2"/>
      <c r="AN1617" s="2"/>
      <c r="AQ1617" s="1"/>
      <c r="BG1617" s="1"/>
    </row>
    <row r="1618" spans="15:59">
      <c r="O1618" s="1"/>
      <c r="P1618" s="1"/>
      <c r="AA1618" s="1"/>
      <c r="AB1618" s="1"/>
      <c r="AG1618" s="1"/>
      <c r="AH1618" s="1"/>
      <c r="AK1618" s="1"/>
      <c r="AL1618" s="1"/>
      <c r="AM1618" s="2"/>
      <c r="AN1618" s="2"/>
      <c r="AQ1618" s="1"/>
      <c r="BG1618" s="1"/>
    </row>
    <row r="1619" spans="15:59">
      <c r="O1619" s="1"/>
      <c r="P1619" s="1"/>
      <c r="AA1619" s="1"/>
      <c r="AB1619" s="1"/>
      <c r="AG1619" s="1"/>
      <c r="AH1619" s="1"/>
      <c r="AK1619" s="1"/>
      <c r="AL1619" s="1"/>
      <c r="AM1619" s="2"/>
      <c r="AN1619" s="2"/>
      <c r="AQ1619" s="1"/>
      <c r="BG1619" s="1"/>
    </row>
    <row r="1620" spans="15:59">
      <c r="O1620" s="1"/>
      <c r="P1620" s="1"/>
      <c r="AA1620" s="1"/>
      <c r="AB1620" s="1"/>
      <c r="AG1620" s="1"/>
      <c r="AH1620" s="1"/>
      <c r="AK1620" s="1"/>
      <c r="AL1620" s="1"/>
      <c r="AM1620" s="2"/>
      <c r="AN1620" s="2"/>
      <c r="AQ1620" s="1"/>
      <c r="BG1620" s="1"/>
    </row>
    <row r="1621" spans="15:59">
      <c r="O1621" s="1"/>
      <c r="P1621" s="1"/>
      <c r="AA1621" s="1"/>
      <c r="AB1621" s="1"/>
      <c r="AG1621" s="1"/>
      <c r="AH1621" s="1"/>
      <c r="AK1621" s="1"/>
      <c r="AL1621" s="1"/>
      <c r="AM1621" s="2"/>
      <c r="AN1621" s="2"/>
      <c r="AQ1621" s="1"/>
      <c r="BG1621" s="1"/>
    </row>
    <row r="1622" spans="15:59">
      <c r="O1622" s="1"/>
      <c r="P1622" s="1"/>
      <c r="AA1622" s="1"/>
      <c r="AB1622" s="1"/>
      <c r="AG1622" s="1"/>
      <c r="AH1622" s="1"/>
      <c r="AK1622" s="1"/>
      <c r="AL1622" s="1"/>
      <c r="AM1622" s="2"/>
      <c r="AN1622" s="2"/>
      <c r="AQ1622" s="1"/>
      <c r="BG1622" s="1"/>
    </row>
    <row r="1623" spans="15:59">
      <c r="O1623" s="1"/>
      <c r="P1623" s="1"/>
      <c r="AA1623" s="1"/>
      <c r="AB1623" s="1"/>
      <c r="AG1623" s="1"/>
      <c r="AH1623" s="1"/>
      <c r="AK1623" s="1"/>
      <c r="AL1623" s="1"/>
      <c r="AM1623" s="2"/>
      <c r="AN1623" s="2"/>
      <c r="AQ1623" s="1"/>
      <c r="BG1623" s="1"/>
    </row>
    <row r="1624" spans="15:59">
      <c r="O1624" s="1"/>
      <c r="P1624" s="1"/>
      <c r="AA1624" s="1"/>
      <c r="AB1624" s="1"/>
      <c r="AG1624" s="1"/>
      <c r="AH1624" s="1"/>
      <c r="AK1624" s="1"/>
      <c r="AL1624" s="1"/>
      <c r="AM1624" s="2"/>
      <c r="AN1624" s="2"/>
      <c r="AQ1624" s="1"/>
      <c r="BG1624" s="1"/>
    </row>
    <row r="1625" spans="15:59">
      <c r="O1625" s="1"/>
      <c r="P1625" s="1"/>
      <c r="AA1625" s="1"/>
      <c r="AB1625" s="1"/>
      <c r="AG1625" s="1"/>
      <c r="AH1625" s="1"/>
      <c r="AK1625" s="1"/>
      <c r="AL1625" s="1"/>
      <c r="AM1625" s="2"/>
      <c r="AN1625" s="2"/>
      <c r="AQ1625" s="1"/>
      <c r="BG1625" s="1"/>
    </row>
    <row r="1626" spans="15:59">
      <c r="O1626" s="1"/>
      <c r="P1626" s="1"/>
      <c r="AA1626" s="1"/>
      <c r="AB1626" s="1"/>
      <c r="AG1626" s="1"/>
      <c r="AH1626" s="1"/>
      <c r="AK1626" s="1"/>
      <c r="AL1626" s="1"/>
      <c r="AM1626" s="2"/>
      <c r="AN1626" s="2"/>
      <c r="AQ1626" s="1"/>
      <c r="BG1626" s="1"/>
    </row>
    <row r="1627" spans="15:59">
      <c r="O1627" s="1"/>
      <c r="P1627" s="1"/>
      <c r="AA1627" s="1"/>
      <c r="AB1627" s="1"/>
      <c r="AG1627" s="1"/>
      <c r="AH1627" s="1"/>
      <c r="AK1627" s="1"/>
      <c r="AL1627" s="1"/>
      <c r="AM1627" s="2"/>
      <c r="AN1627" s="2"/>
      <c r="AQ1627" s="1"/>
      <c r="BG1627" s="1"/>
    </row>
    <row r="1628" spans="15:59">
      <c r="O1628" s="1"/>
      <c r="P1628" s="1"/>
      <c r="AA1628" s="1"/>
      <c r="AB1628" s="1"/>
      <c r="AG1628" s="1"/>
      <c r="AH1628" s="1"/>
      <c r="AK1628" s="1"/>
      <c r="AL1628" s="1"/>
      <c r="AM1628" s="2"/>
      <c r="AN1628" s="2"/>
      <c r="AQ1628" s="1"/>
      <c r="BG1628" s="1"/>
    </row>
    <row r="1629" spans="15:59">
      <c r="O1629" s="1"/>
      <c r="P1629" s="1"/>
      <c r="AA1629" s="1"/>
      <c r="AB1629" s="1"/>
      <c r="AG1629" s="1"/>
      <c r="AH1629" s="1"/>
      <c r="AK1629" s="1"/>
      <c r="AL1629" s="1"/>
      <c r="AM1629" s="2"/>
      <c r="AN1629" s="2"/>
      <c r="AQ1629" s="1"/>
      <c r="BG1629" s="1"/>
    </row>
    <row r="1630" spans="15:59">
      <c r="O1630" s="1"/>
      <c r="P1630" s="1"/>
      <c r="AA1630" s="1"/>
      <c r="AB1630" s="1"/>
      <c r="AG1630" s="1"/>
      <c r="AH1630" s="1"/>
      <c r="AK1630" s="1"/>
      <c r="AL1630" s="1"/>
      <c r="AM1630" s="2"/>
      <c r="AN1630" s="2"/>
      <c r="AQ1630" s="1"/>
      <c r="BG1630" s="1"/>
    </row>
    <row r="1631" spans="15:59">
      <c r="O1631" s="1"/>
      <c r="P1631" s="1"/>
      <c r="AA1631" s="1"/>
      <c r="AB1631" s="1"/>
      <c r="AG1631" s="1"/>
      <c r="AH1631" s="1"/>
      <c r="AK1631" s="1"/>
      <c r="AL1631" s="1"/>
      <c r="AM1631" s="2"/>
      <c r="AN1631" s="2"/>
      <c r="AQ1631" s="1"/>
      <c r="BG1631" s="1"/>
    </row>
    <row r="1632" spans="15:59">
      <c r="O1632" s="1"/>
      <c r="P1632" s="1"/>
      <c r="AA1632" s="1"/>
      <c r="AB1632" s="1"/>
      <c r="AG1632" s="1"/>
      <c r="AH1632" s="1"/>
      <c r="AK1632" s="1"/>
      <c r="AL1632" s="1"/>
      <c r="AM1632" s="2"/>
      <c r="AN1632" s="2"/>
      <c r="AQ1632" s="1"/>
      <c r="BG1632" s="1"/>
    </row>
    <row r="1633" spans="15:59">
      <c r="O1633" s="1"/>
      <c r="P1633" s="1"/>
      <c r="AA1633" s="1"/>
      <c r="AB1633" s="1"/>
      <c r="AG1633" s="1"/>
      <c r="AH1633" s="1"/>
      <c r="AK1633" s="1"/>
      <c r="AL1633" s="1"/>
      <c r="AM1633" s="2"/>
      <c r="AN1633" s="2"/>
      <c r="AQ1633" s="1"/>
      <c r="BG1633" s="1"/>
    </row>
    <row r="1634" spans="15:59">
      <c r="O1634" s="1"/>
      <c r="P1634" s="1"/>
      <c r="AA1634" s="1"/>
      <c r="AB1634" s="1"/>
      <c r="AG1634" s="1"/>
      <c r="AH1634" s="1"/>
      <c r="AK1634" s="1"/>
      <c r="AL1634" s="1"/>
      <c r="AM1634" s="2"/>
      <c r="AN1634" s="2"/>
      <c r="AQ1634" s="1"/>
      <c r="BG1634" s="1"/>
    </row>
    <row r="1635" spans="15:59">
      <c r="O1635" s="1"/>
      <c r="P1635" s="1"/>
      <c r="AA1635" s="1"/>
      <c r="AB1635" s="1"/>
      <c r="AG1635" s="1"/>
      <c r="AH1635" s="1"/>
      <c r="AK1635" s="1"/>
      <c r="AL1635" s="1"/>
      <c r="AM1635" s="2"/>
      <c r="AN1635" s="2"/>
      <c r="AQ1635" s="1"/>
      <c r="BG1635" s="1"/>
    </row>
    <row r="1636" spans="15:59">
      <c r="O1636" s="1"/>
      <c r="P1636" s="1"/>
      <c r="AA1636" s="1"/>
      <c r="AB1636" s="1"/>
      <c r="AG1636" s="1"/>
      <c r="AH1636" s="1"/>
      <c r="AK1636" s="1"/>
      <c r="AL1636" s="1"/>
      <c r="AM1636" s="2"/>
      <c r="AN1636" s="2"/>
      <c r="AQ1636" s="1"/>
      <c r="BG1636" s="1"/>
    </row>
    <row r="1637" spans="15:59">
      <c r="O1637" s="1"/>
      <c r="P1637" s="1"/>
      <c r="AA1637" s="1"/>
      <c r="AB1637" s="1"/>
      <c r="AG1637" s="1"/>
      <c r="AH1637" s="1"/>
      <c r="AK1637" s="1"/>
      <c r="AL1637" s="1"/>
      <c r="AM1637" s="2"/>
      <c r="AN1637" s="2"/>
      <c r="AQ1637" s="1"/>
      <c r="BG1637" s="1"/>
    </row>
    <row r="1638" spans="15:59">
      <c r="O1638" s="1"/>
      <c r="P1638" s="1"/>
      <c r="AA1638" s="1"/>
      <c r="AB1638" s="1"/>
      <c r="AG1638" s="1"/>
      <c r="AH1638" s="1"/>
      <c r="AK1638" s="1"/>
      <c r="AL1638" s="1"/>
      <c r="AM1638" s="2"/>
      <c r="AN1638" s="2"/>
      <c r="AQ1638" s="1"/>
      <c r="BG1638" s="1"/>
    </row>
    <row r="1639" spans="15:59">
      <c r="O1639" s="1"/>
      <c r="P1639" s="1"/>
      <c r="AA1639" s="1"/>
      <c r="AB1639" s="1"/>
      <c r="AG1639" s="1"/>
      <c r="AH1639" s="1"/>
      <c r="AK1639" s="1"/>
      <c r="AL1639" s="1"/>
      <c r="AM1639" s="2"/>
      <c r="AN1639" s="2"/>
      <c r="AQ1639" s="1"/>
      <c r="BG1639" s="1"/>
    </row>
    <row r="1640" spans="15:59">
      <c r="O1640" s="1"/>
      <c r="P1640" s="1"/>
      <c r="AA1640" s="1"/>
      <c r="AB1640" s="1"/>
      <c r="AG1640" s="1"/>
      <c r="AH1640" s="1"/>
      <c r="AK1640" s="1"/>
      <c r="AL1640" s="1"/>
      <c r="AM1640" s="2"/>
      <c r="AN1640" s="2"/>
      <c r="AQ1640" s="1"/>
      <c r="BG1640" s="1"/>
    </row>
    <row r="1641" spans="15:59">
      <c r="O1641" s="1"/>
      <c r="P1641" s="1"/>
      <c r="AA1641" s="1"/>
      <c r="AB1641" s="1"/>
      <c r="AG1641" s="1"/>
      <c r="AH1641" s="1"/>
      <c r="AK1641" s="1"/>
      <c r="AL1641" s="1"/>
      <c r="AM1641" s="2"/>
      <c r="AN1641" s="2"/>
      <c r="AQ1641" s="1"/>
      <c r="BG1641" s="1"/>
    </row>
    <row r="1642" spans="15:59">
      <c r="O1642" s="1"/>
      <c r="P1642" s="1"/>
      <c r="AA1642" s="1"/>
      <c r="AB1642" s="1"/>
      <c r="AG1642" s="1"/>
      <c r="AH1642" s="1"/>
      <c r="AK1642" s="1"/>
      <c r="AL1642" s="1"/>
      <c r="AM1642" s="2"/>
      <c r="AN1642" s="2"/>
      <c r="AQ1642" s="1"/>
      <c r="BG1642" s="1"/>
    </row>
    <row r="1643" spans="15:59">
      <c r="O1643" s="1"/>
      <c r="P1643" s="1"/>
      <c r="AA1643" s="1"/>
      <c r="AB1643" s="1"/>
      <c r="AG1643" s="1"/>
      <c r="AH1643" s="1"/>
      <c r="AK1643" s="1"/>
      <c r="AL1643" s="1"/>
      <c r="AM1643" s="2"/>
      <c r="AN1643" s="2"/>
      <c r="AQ1643" s="1"/>
      <c r="BG1643" s="1"/>
    </row>
    <row r="1644" spans="15:59">
      <c r="O1644" s="1"/>
      <c r="P1644" s="1"/>
      <c r="AA1644" s="1"/>
      <c r="AB1644" s="1"/>
      <c r="AG1644" s="1"/>
      <c r="AH1644" s="1"/>
      <c r="AK1644" s="1"/>
      <c r="AL1644" s="1"/>
      <c r="AM1644" s="2"/>
      <c r="AN1644" s="2"/>
      <c r="AQ1644" s="1"/>
      <c r="BG1644" s="1"/>
    </row>
    <row r="1645" spans="15:59">
      <c r="O1645" s="1"/>
      <c r="P1645" s="1"/>
      <c r="AA1645" s="1"/>
      <c r="AB1645" s="1"/>
      <c r="AG1645" s="1"/>
      <c r="AH1645" s="1"/>
      <c r="AK1645" s="1"/>
      <c r="AL1645" s="1"/>
      <c r="AM1645" s="2"/>
      <c r="AN1645" s="2"/>
      <c r="AQ1645" s="1"/>
      <c r="BG1645" s="1"/>
    </row>
    <row r="1646" spans="15:59">
      <c r="O1646" s="1"/>
      <c r="P1646" s="1"/>
      <c r="AA1646" s="1"/>
      <c r="AB1646" s="1"/>
      <c r="AG1646" s="1"/>
      <c r="AH1646" s="1"/>
      <c r="AK1646" s="1"/>
      <c r="AL1646" s="1"/>
      <c r="AM1646" s="2"/>
      <c r="AN1646" s="2"/>
      <c r="AQ1646" s="1"/>
      <c r="BG1646" s="1"/>
    </row>
    <row r="1647" spans="15:59">
      <c r="O1647" s="1"/>
      <c r="P1647" s="1"/>
      <c r="AA1647" s="1"/>
      <c r="AB1647" s="1"/>
      <c r="AG1647" s="1"/>
      <c r="AH1647" s="1"/>
      <c r="AK1647" s="1"/>
      <c r="AL1647" s="1"/>
      <c r="AM1647" s="2"/>
      <c r="AN1647" s="2"/>
      <c r="AQ1647" s="1"/>
      <c r="BG1647" s="1"/>
    </row>
    <row r="1648" spans="15:59">
      <c r="O1648" s="1"/>
      <c r="P1648" s="1"/>
      <c r="AA1648" s="1"/>
      <c r="AB1648" s="1"/>
      <c r="AG1648" s="1"/>
      <c r="AH1648" s="1"/>
      <c r="AK1648" s="1"/>
      <c r="AL1648" s="1"/>
      <c r="AM1648" s="2"/>
      <c r="AN1648" s="2"/>
      <c r="AQ1648" s="1"/>
      <c r="BG1648" s="1"/>
    </row>
    <row r="1649" spans="15:59">
      <c r="O1649" s="1"/>
      <c r="P1649" s="1"/>
      <c r="AA1649" s="1"/>
      <c r="AB1649" s="1"/>
      <c r="AG1649" s="1"/>
      <c r="AH1649" s="1"/>
      <c r="AK1649" s="1"/>
      <c r="AL1649" s="1"/>
      <c r="AM1649" s="2"/>
      <c r="AN1649" s="2"/>
      <c r="AQ1649" s="1"/>
      <c r="BG1649" s="1"/>
    </row>
    <row r="1650" spans="15:59">
      <c r="O1650" s="1"/>
      <c r="P1650" s="1"/>
      <c r="AA1650" s="1"/>
      <c r="AB1650" s="1"/>
      <c r="AG1650" s="1"/>
      <c r="AH1650" s="1"/>
      <c r="AK1650" s="1"/>
      <c r="AL1650" s="1"/>
      <c r="AM1650" s="2"/>
      <c r="AN1650" s="2"/>
      <c r="AQ1650" s="1"/>
      <c r="BG1650" s="1"/>
    </row>
    <row r="1651" spans="15:59">
      <c r="O1651" s="1"/>
      <c r="P1651" s="1"/>
      <c r="AA1651" s="1"/>
      <c r="AB1651" s="1"/>
      <c r="AG1651" s="1"/>
      <c r="AH1651" s="1"/>
      <c r="AK1651" s="1"/>
      <c r="AL1651" s="1"/>
      <c r="AM1651" s="2"/>
      <c r="AN1651" s="2"/>
      <c r="AQ1651" s="1"/>
      <c r="BG1651" s="1"/>
    </row>
    <row r="1652" spans="15:59">
      <c r="O1652" s="1"/>
      <c r="P1652" s="1"/>
      <c r="AA1652" s="1"/>
      <c r="AB1652" s="1"/>
      <c r="AG1652" s="1"/>
      <c r="AH1652" s="1"/>
      <c r="AK1652" s="1"/>
      <c r="AL1652" s="1"/>
      <c r="AM1652" s="2"/>
      <c r="AN1652" s="2"/>
      <c r="AQ1652" s="1"/>
      <c r="BG1652" s="1"/>
    </row>
    <row r="1653" spans="15:59">
      <c r="O1653" s="1"/>
      <c r="P1653" s="1"/>
      <c r="AA1653" s="1"/>
      <c r="AB1653" s="1"/>
      <c r="AG1653" s="1"/>
      <c r="AH1653" s="1"/>
      <c r="AK1653" s="1"/>
      <c r="AL1653" s="1"/>
      <c r="AM1653" s="2"/>
      <c r="AN1653" s="2"/>
      <c r="AQ1653" s="1"/>
      <c r="BG1653" s="1"/>
    </row>
    <row r="1654" spans="15:59">
      <c r="O1654" s="1"/>
      <c r="P1654" s="1"/>
      <c r="AA1654" s="1"/>
      <c r="AB1654" s="1"/>
      <c r="AG1654" s="1"/>
      <c r="AH1654" s="1"/>
      <c r="AK1654" s="1"/>
      <c r="AL1654" s="1"/>
      <c r="AM1654" s="2"/>
      <c r="AN1654" s="2"/>
      <c r="AQ1654" s="1"/>
      <c r="BG1654" s="1"/>
    </row>
    <row r="1655" spans="15:59">
      <c r="O1655" s="1"/>
      <c r="P1655" s="1"/>
      <c r="AA1655" s="1"/>
      <c r="AB1655" s="1"/>
      <c r="AG1655" s="1"/>
      <c r="AH1655" s="1"/>
      <c r="AK1655" s="1"/>
      <c r="AL1655" s="1"/>
      <c r="AM1655" s="2"/>
      <c r="AN1655" s="2"/>
      <c r="AQ1655" s="1"/>
      <c r="BG1655" s="1"/>
    </row>
    <row r="1656" spans="15:59">
      <c r="O1656" s="1"/>
      <c r="P1656" s="1"/>
      <c r="AA1656" s="1"/>
      <c r="AB1656" s="1"/>
      <c r="AG1656" s="1"/>
      <c r="AH1656" s="1"/>
      <c r="AK1656" s="1"/>
      <c r="AL1656" s="1"/>
      <c r="AM1656" s="2"/>
      <c r="AN1656" s="2"/>
      <c r="AQ1656" s="1"/>
      <c r="BG1656" s="1"/>
    </row>
    <row r="1657" spans="15:59">
      <c r="O1657" s="1"/>
      <c r="P1657" s="1"/>
      <c r="AA1657" s="1"/>
      <c r="AB1657" s="1"/>
      <c r="AG1657" s="1"/>
      <c r="AH1657" s="1"/>
      <c r="AK1657" s="1"/>
      <c r="AL1657" s="1"/>
      <c r="AM1657" s="2"/>
      <c r="AN1657" s="2"/>
      <c r="AQ1657" s="1"/>
      <c r="BG1657" s="1"/>
    </row>
    <row r="1658" spans="15:59">
      <c r="O1658" s="1"/>
      <c r="P1658" s="1"/>
      <c r="AA1658" s="1"/>
      <c r="AB1658" s="1"/>
      <c r="AG1658" s="1"/>
      <c r="AH1658" s="1"/>
      <c r="AK1658" s="1"/>
      <c r="AL1658" s="1"/>
      <c r="AM1658" s="2"/>
      <c r="AN1658" s="2"/>
      <c r="AQ1658" s="1"/>
      <c r="BG1658" s="1"/>
    </row>
    <row r="1659" spans="15:59">
      <c r="O1659" s="1"/>
      <c r="P1659" s="1"/>
      <c r="AA1659" s="1"/>
      <c r="AB1659" s="1"/>
      <c r="AG1659" s="1"/>
      <c r="AH1659" s="1"/>
      <c r="AK1659" s="1"/>
      <c r="AL1659" s="1"/>
      <c r="AM1659" s="2"/>
      <c r="AN1659" s="2"/>
      <c r="AQ1659" s="1"/>
      <c r="BG1659" s="1"/>
    </row>
    <row r="1660" spans="15:59">
      <c r="O1660" s="1"/>
      <c r="P1660" s="1"/>
      <c r="AA1660" s="1"/>
      <c r="AB1660" s="1"/>
      <c r="AG1660" s="1"/>
      <c r="AH1660" s="1"/>
      <c r="AK1660" s="1"/>
      <c r="AL1660" s="1"/>
      <c r="AM1660" s="2"/>
      <c r="AN1660" s="2"/>
      <c r="AQ1660" s="1"/>
      <c r="BG1660" s="1"/>
    </row>
    <row r="1661" spans="15:59">
      <c r="O1661" s="1"/>
      <c r="P1661" s="1"/>
      <c r="AA1661" s="1"/>
      <c r="AB1661" s="1"/>
      <c r="AG1661" s="1"/>
      <c r="AH1661" s="1"/>
      <c r="AK1661" s="1"/>
      <c r="AL1661" s="1"/>
      <c r="AM1661" s="2"/>
      <c r="AN1661" s="2"/>
      <c r="AQ1661" s="1"/>
      <c r="BG1661" s="1"/>
    </row>
    <row r="1662" spans="15:59">
      <c r="O1662" s="1"/>
      <c r="P1662" s="1"/>
      <c r="AA1662" s="1"/>
      <c r="AB1662" s="1"/>
      <c r="AG1662" s="1"/>
      <c r="AH1662" s="1"/>
      <c r="AK1662" s="1"/>
      <c r="AL1662" s="1"/>
      <c r="AM1662" s="2"/>
      <c r="AN1662" s="2"/>
      <c r="AQ1662" s="1"/>
      <c r="BG1662" s="1"/>
    </row>
    <row r="1663" spans="15:59">
      <c r="O1663" s="1"/>
      <c r="P1663" s="1"/>
      <c r="AA1663" s="1"/>
      <c r="AB1663" s="1"/>
      <c r="AG1663" s="1"/>
      <c r="AH1663" s="1"/>
      <c r="AK1663" s="1"/>
      <c r="AL1663" s="1"/>
      <c r="AM1663" s="2"/>
      <c r="AN1663" s="2"/>
      <c r="AQ1663" s="1"/>
      <c r="BG1663" s="1"/>
    </row>
    <row r="1664" spans="15:59">
      <c r="O1664" s="1"/>
      <c r="P1664" s="1"/>
      <c r="AA1664" s="1"/>
      <c r="AB1664" s="1"/>
      <c r="AG1664" s="1"/>
      <c r="AH1664" s="1"/>
      <c r="AK1664" s="1"/>
      <c r="AL1664" s="1"/>
      <c r="AM1664" s="2"/>
      <c r="AN1664" s="2"/>
      <c r="AQ1664" s="1"/>
      <c r="BG1664" s="1"/>
    </row>
    <row r="1665" spans="15:59">
      <c r="O1665" s="1"/>
      <c r="P1665" s="1"/>
      <c r="AA1665" s="1"/>
      <c r="AB1665" s="1"/>
      <c r="AG1665" s="1"/>
      <c r="AH1665" s="1"/>
      <c r="AK1665" s="1"/>
      <c r="AL1665" s="1"/>
      <c r="AM1665" s="2"/>
      <c r="AN1665" s="2"/>
      <c r="AQ1665" s="1"/>
      <c r="BG1665" s="1"/>
    </row>
    <row r="1666" spans="15:59">
      <c r="O1666" s="1"/>
      <c r="P1666" s="1"/>
      <c r="AA1666" s="1"/>
      <c r="AB1666" s="1"/>
      <c r="AG1666" s="1"/>
      <c r="AH1666" s="1"/>
      <c r="AK1666" s="1"/>
      <c r="AL1666" s="1"/>
      <c r="AM1666" s="2"/>
      <c r="AN1666" s="2"/>
      <c r="AQ1666" s="1"/>
      <c r="BG1666" s="1"/>
    </row>
    <row r="1667" spans="15:59">
      <c r="O1667" s="1"/>
      <c r="P1667" s="1"/>
      <c r="AA1667" s="1"/>
      <c r="AB1667" s="1"/>
      <c r="AG1667" s="1"/>
      <c r="AH1667" s="1"/>
      <c r="AK1667" s="1"/>
      <c r="AL1667" s="1"/>
      <c r="AM1667" s="2"/>
      <c r="AN1667" s="2"/>
      <c r="AQ1667" s="1"/>
      <c r="BG1667" s="1"/>
    </row>
    <row r="1668" spans="15:59">
      <c r="O1668" s="1"/>
      <c r="P1668" s="1"/>
      <c r="AA1668" s="1"/>
      <c r="AB1668" s="1"/>
      <c r="AG1668" s="1"/>
      <c r="AH1668" s="1"/>
      <c r="AK1668" s="1"/>
      <c r="AL1668" s="1"/>
      <c r="AM1668" s="2"/>
      <c r="AN1668" s="2"/>
      <c r="AQ1668" s="1"/>
      <c r="BG1668" s="1"/>
    </row>
    <row r="1669" spans="15:59">
      <c r="O1669" s="1"/>
      <c r="P1669" s="1"/>
      <c r="AA1669" s="1"/>
      <c r="AB1669" s="1"/>
      <c r="AG1669" s="1"/>
      <c r="AH1669" s="1"/>
      <c r="AK1669" s="1"/>
      <c r="AL1669" s="1"/>
      <c r="AM1669" s="2"/>
      <c r="AN1669" s="2"/>
      <c r="AQ1669" s="1"/>
      <c r="BG1669" s="1"/>
    </row>
    <row r="1670" spans="15:59">
      <c r="O1670" s="1"/>
      <c r="P1670" s="1"/>
      <c r="AA1670" s="1"/>
      <c r="AB1670" s="1"/>
      <c r="AG1670" s="1"/>
      <c r="AH1670" s="1"/>
      <c r="AK1670" s="1"/>
      <c r="AL1670" s="1"/>
      <c r="AM1670" s="2"/>
      <c r="AN1670" s="2"/>
      <c r="AQ1670" s="1"/>
      <c r="BG1670" s="1"/>
    </row>
    <row r="1671" spans="15:59">
      <c r="O1671" s="1"/>
      <c r="P1671" s="1"/>
      <c r="AA1671" s="1"/>
      <c r="AB1671" s="1"/>
      <c r="AG1671" s="1"/>
      <c r="AH1671" s="1"/>
      <c r="AK1671" s="1"/>
      <c r="AL1671" s="1"/>
      <c r="AM1671" s="2"/>
      <c r="AN1671" s="2"/>
      <c r="AQ1671" s="1"/>
      <c r="BG1671" s="1"/>
    </row>
    <row r="1672" spans="15:59">
      <c r="O1672" s="1"/>
      <c r="P1672" s="1"/>
      <c r="AA1672" s="1"/>
      <c r="AB1672" s="1"/>
      <c r="AG1672" s="1"/>
      <c r="AH1672" s="1"/>
      <c r="AK1672" s="1"/>
      <c r="AL1672" s="1"/>
      <c r="AM1672" s="2"/>
      <c r="AN1672" s="2"/>
      <c r="AQ1672" s="1"/>
      <c r="BG1672" s="1"/>
    </row>
    <row r="1673" spans="15:59">
      <c r="O1673" s="1"/>
      <c r="P1673" s="1"/>
      <c r="AA1673" s="1"/>
      <c r="AB1673" s="1"/>
      <c r="AG1673" s="1"/>
      <c r="AH1673" s="1"/>
      <c r="AK1673" s="1"/>
      <c r="AL1673" s="1"/>
      <c r="AM1673" s="2"/>
      <c r="AN1673" s="2"/>
      <c r="AQ1673" s="1"/>
      <c r="BG1673" s="1"/>
    </row>
    <row r="1674" spans="15:59">
      <c r="O1674" s="1"/>
      <c r="P1674" s="1"/>
      <c r="AA1674" s="1"/>
      <c r="AB1674" s="1"/>
      <c r="AG1674" s="1"/>
      <c r="AH1674" s="1"/>
      <c r="AK1674" s="1"/>
      <c r="AL1674" s="1"/>
      <c r="AM1674" s="2"/>
      <c r="AN1674" s="2"/>
      <c r="AQ1674" s="1"/>
      <c r="BG1674" s="1"/>
    </row>
    <row r="1675" spans="15:59">
      <c r="O1675" s="1"/>
      <c r="P1675" s="1"/>
      <c r="AA1675" s="1"/>
      <c r="AB1675" s="1"/>
      <c r="AG1675" s="1"/>
      <c r="AH1675" s="1"/>
      <c r="AK1675" s="1"/>
      <c r="AL1675" s="1"/>
      <c r="AM1675" s="2"/>
      <c r="AN1675" s="2"/>
      <c r="AQ1675" s="1"/>
      <c r="BG1675" s="1"/>
    </row>
    <row r="1676" spans="15:59">
      <c r="O1676" s="1"/>
      <c r="P1676" s="1"/>
      <c r="AA1676" s="1"/>
      <c r="AB1676" s="1"/>
      <c r="AG1676" s="1"/>
      <c r="AH1676" s="1"/>
      <c r="AK1676" s="1"/>
      <c r="AL1676" s="1"/>
      <c r="AM1676" s="2"/>
      <c r="AN1676" s="2"/>
      <c r="AQ1676" s="1"/>
      <c r="BG1676" s="1"/>
    </row>
    <row r="1677" spans="15:59">
      <c r="O1677" s="1"/>
      <c r="P1677" s="1"/>
      <c r="AA1677" s="1"/>
      <c r="AB1677" s="1"/>
      <c r="AG1677" s="1"/>
      <c r="AH1677" s="1"/>
      <c r="AK1677" s="1"/>
      <c r="AL1677" s="1"/>
      <c r="AM1677" s="2"/>
      <c r="AN1677" s="2"/>
      <c r="AQ1677" s="1"/>
      <c r="BG1677" s="1"/>
    </row>
    <row r="1678" spans="15:59">
      <c r="O1678" s="1"/>
      <c r="P1678" s="1"/>
      <c r="AA1678" s="1"/>
      <c r="AB1678" s="1"/>
      <c r="AG1678" s="1"/>
      <c r="AH1678" s="1"/>
      <c r="AK1678" s="1"/>
      <c r="AL1678" s="1"/>
      <c r="AM1678" s="2"/>
      <c r="AN1678" s="2"/>
      <c r="AQ1678" s="1"/>
      <c r="BG1678" s="1"/>
    </row>
    <row r="1679" spans="15:59">
      <c r="O1679" s="1"/>
      <c r="P1679" s="1"/>
      <c r="AA1679" s="1"/>
      <c r="AB1679" s="1"/>
      <c r="AG1679" s="1"/>
      <c r="AH1679" s="1"/>
      <c r="AK1679" s="1"/>
      <c r="AL1679" s="1"/>
      <c r="AM1679" s="2"/>
      <c r="AN1679" s="2"/>
      <c r="AQ1679" s="1"/>
      <c r="BG1679" s="1"/>
    </row>
    <row r="1680" spans="15:59">
      <c r="O1680" s="1"/>
      <c r="P1680" s="1"/>
      <c r="AA1680" s="1"/>
      <c r="AB1680" s="1"/>
      <c r="AG1680" s="1"/>
      <c r="AH1680" s="1"/>
      <c r="AK1680" s="1"/>
      <c r="AL1680" s="1"/>
      <c r="AM1680" s="2"/>
      <c r="AN1680" s="2"/>
      <c r="AQ1680" s="1"/>
      <c r="BG1680" s="1"/>
    </row>
    <row r="1681" spans="15:59">
      <c r="O1681" s="1"/>
      <c r="P1681" s="1"/>
      <c r="AA1681" s="1"/>
      <c r="AB1681" s="1"/>
      <c r="AG1681" s="1"/>
      <c r="AH1681" s="1"/>
      <c r="AK1681" s="1"/>
      <c r="AL1681" s="1"/>
      <c r="AM1681" s="2"/>
      <c r="AN1681" s="2"/>
      <c r="AQ1681" s="1"/>
      <c r="BG1681" s="1"/>
    </row>
    <row r="1682" spans="15:59">
      <c r="O1682" s="1"/>
      <c r="P1682" s="1"/>
      <c r="AA1682" s="1"/>
      <c r="AB1682" s="1"/>
      <c r="AG1682" s="1"/>
      <c r="AH1682" s="1"/>
      <c r="AK1682" s="1"/>
      <c r="AL1682" s="1"/>
      <c r="AM1682" s="2"/>
      <c r="AN1682" s="2"/>
      <c r="AQ1682" s="1"/>
      <c r="BG1682" s="1"/>
    </row>
    <row r="1683" spans="15:59">
      <c r="O1683" s="1"/>
      <c r="P1683" s="1"/>
      <c r="AA1683" s="1"/>
      <c r="AB1683" s="1"/>
      <c r="AG1683" s="1"/>
      <c r="AH1683" s="1"/>
      <c r="AK1683" s="1"/>
      <c r="AL1683" s="1"/>
      <c r="AM1683" s="2"/>
      <c r="AN1683" s="2"/>
      <c r="AQ1683" s="1"/>
      <c r="BG1683" s="1"/>
    </row>
    <row r="1684" spans="15:59">
      <c r="O1684" s="1"/>
      <c r="P1684" s="1"/>
      <c r="AA1684" s="1"/>
      <c r="AB1684" s="1"/>
      <c r="AG1684" s="1"/>
      <c r="AH1684" s="1"/>
      <c r="AK1684" s="1"/>
      <c r="AL1684" s="1"/>
      <c r="AM1684" s="2"/>
      <c r="AN1684" s="2"/>
      <c r="AQ1684" s="1"/>
      <c r="BG1684" s="1"/>
    </row>
    <row r="1685" spans="15:59">
      <c r="O1685" s="1"/>
      <c r="P1685" s="1"/>
      <c r="AA1685" s="1"/>
      <c r="AB1685" s="1"/>
      <c r="AG1685" s="1"/>
      <c r="AH1685" s="1"/>
      <c r="AK1685" s="1"/>
      <c r="AL1685" s="1"/>
      <c r="AM1685" s="2"/>
      <c r="AN1685" s="2"/>
      <c r="AQ1685" s="1"/>
      <c r="BG1685" s="1"/>
    </row>
    <row r="1686" spans="15:59">
      <c r="O1686" s="1"/>
      <c r="P1686" s="1"/>
      <c r="AA1686" s="1"/>
      <c r="AB1686" s="1"/>
      <c r="AG1686" s="1"/>
      <c r="AH1686" s="1"/>
      <c r="AK1686" s="1"/>
      <c r="AL1686" s="1"/>
      <c r="AM1686" s="2"/>
      <c r="AN1686" s="2"/>
      <c r="AQ1686" s="1"/>
      <c r="BG1686" s="1"/>
    </row>
    <row r="1687" spans="15:59">
      <c r="O1687" s="1"/>
      <c r="P1687" s="1"/>
      <c r="AA1687" s="1"/>
      <c r="AB1687" s="1"/>
      <c r="AG1687" s="1"/>
      <c r="AH1687" s="1"/>
      <c r="AK1687" s="1"/>
      <c r="AL1687" s="1"/>
      <c r="AM1687" s="2"/>
      <c r="AN1687" s="2"/>
      <c r="AQ1687" s="1"/>
      <c r="BG1687" s="1"/>
    </row>
    <row r="1688" spans="15:59">
      <c r="O1688" s="1"/>
      <c r="P1688" s="1"/>
      <c r="AA1688" s="1"/>
      <c r="AB1688" s="1"/>
      <c r="AG1688" s="1"/>
      <c r="AH1688" s="1"/>
      <c r="AK1688" s="1"/>
      <c r="AL1688" s="1"/>
      <c r="AM1688" s="2"/>
      <c r="AN1688" s="2"/>
      <c r="AQ1688" s="1"/>
      <c r="BG1688" s="1"/>
    </row>
    <row r="1689" spans="15:59">
      <c r="O1689" s="1"/>
      <c r="P1689" s="1"/>
      <c r="AA1689" s="1"/>
      <c r="AB1689" s="1"/>
      <c r="AG1689" s="1"/>
      <c r="AH1689" s="1"/>
      <c r="AK1689" s="1"/>
      <c r="AL1689" s="1"/>
      <c r="AM1689" s="2"/>
      <c r="AN1689" s="2"/>
      <c r="AQ1689" s="1"/>
      <c r="BG1689" s="1"/>
    </row>
    <row r="1690" spans="15:59">
      <c r="O1690" s="1"/>
      <c r="P1690" s="1"/>
      <c r="AA1690" s="1"/>
      <c r="AB1690" s="1"/>
      <c r="AG1690" s="1"/>
      <c r="AH1690" s="1"/>
      <c r="AK1690" s="1"/>
      <c r="AL1690" s="1"/>
      <c r="AM1690" s="2"/>
      <c r="AN1690" s="2"/>
      <c r="AQ1690" s="1"/>
      <c r="BG1690" s="1"/>
    </row>
    <row r="1691" spans="15:59">
      <c r="O1691" s="1"/>
      <c r="P1691" s="1"/>
      <c r="AA1691" s="1"/>
      <c r="AB1691" s="1"/>
      <c r="AG1691" s="1"/>
      <c r="AH1691" s="1"/>
      <c r="AK1691" s="1"/>
      <c r="AL1691" s="1"/>
      <c r="AM1691" s="2"/>
      <c r="AN1691" s="2"/>
      <c r="AQ1691" s="1"/>
      <c r="BG1691" s="1"/>
    </row>
    <row r="1692" spans="15:59">
      <c r="O1692" s="1"/>
      <c r="P1692" s="1"/>
      <c r="AA1692" s="1"/>
      <c r="AB1692" s="1"/>
      <c r="AG1692" s="1"/>
      <c r="AH1692" s="1"/>
      <c r="AK1692" s="1"/>
      <c r="AL1692" s="1"/>
      <c r="AM1692" s="2"/>
      <c r="AN1692" s="2"/>
      <c r="AQ1692" s="1"/>
      <c r="BG1692" s="1"/>
    </row>
    <row r="1693" spans="15:59">
      <c r="O1693" s="1"/>
      <c r="P1693" s="1"/>
      <c r="AA1693" s="1"/>
      <c r="AB1693" s="1"/>
      <c r="AG1693" s="1"/>
      <c r="AH1693" s="1"/>
      <c r="AK1693" s="1"/>
      <c r="AL1693" s="1"/>
      <c r="AM1693" s="2"/>
      <c r="AN1693" s="2"/>
      <c r="AQ1693" s="1"/>
      <c r="BG1693" s="1"/>
    </row>
    <row r="1694" spans="15:59">
      <c r="O1694" s="1"/>
      <c r="P1694" s="1"/>
      <c r="AA1694" s="1"/>
      <c r="AB1694" s="1"/>
      <c r="AG1694" s="1"/>
      <c r="AH1694" s="1"/>
      <c r="AK1694" s="1"/>
      <c r="AL1694" s="1"/>
      <c r="AM1694" s="2"/>
      <c r="AN1694" s="2"/>
      <c r="AQ1694" s="1"/>
      <c r="BG1694" s="1"/>
    </row>
    <row r="1695" spans="15:59">
      <c r="O1695" s="1"/>
      <c r="P1695" s="1"/>
      <c r="AA1695" s="1"/>
      <c r="AB1695" s="1"/>
      <c r="AG1695" s="1"/>
      <c r="AH1695" s="1"/>
      <c r="AK1695" s="1"/>
      <c r="AL1695" s="1"/>
      <c r="AM1695" s="2"/>
      <c r="AN1695" s="2"/>
      <c r="AQ1695" s="1"/>
      <c r="BG1695" s="1"/>
    </row>
    <row r="1696" spans="15:59">
      <c r="O1696" s="1"/>
      <c r="P1696" s="1"/>
      <c r="AA1696" s="1"/>
      <c r="AB1696" s="1"/>
      <c r="AG1696" s="1"/>
      <c r="AH1696" s="1"/>
      <c r="AK1696" s="1"/>
      <c r="AL1696" s="1"/>
      <c r="AM1696" s="2"/>
      <c r="AN1696" s="2"/>
      <c r="AQ1696" s="1"/>
      <c r="BG1696" s="1"/>
    </row>
    <row r="1697" spans="15:59">
      <c r="O1697" s="1"/>
      <c r="P1697" s="1"/>
      <c r="AA1697" s="1"/>
      <c r="AB1697" s="1"/>
      <c r="AG1697" s="1"/>
      <c r="AH1697" s="1"/>
      <c r="AK1697" s="1"/>
      <c r="AL1697" s="1"/>
      <c r="AM1697" s="2"/>
      <c r="AN1697" s="2"/>
      <c r="AQ1697" s="1"/>
      <c r="BG1697" s="1"/>
    </row>
    <row r="1698" spans="15:59">
      <c r="O1698" s="1"/>
      <c r="P1698" s="1"/>
      <c r="AA1698" s="1"/>
      <c r="AB1698" s="1"/>
      <c r="AG1698" s="1"/>
      <c r="AH1698" s="1"/>
      <c r="AK1698" s="1"/>
      <c r="AL1698" s="1"/>
      <c r="AM1698" s="2"/>
      <c r="AN1698" s="2"/>
      <c r="AQ1698" s="1"/>
      <c r="BG1698" s="1"/>
    </row>
    <row r="1699" spans="15:59">
      <c r="O1699" s="1"/>
      <c r="P1699" s="1"/>
      <c r="AA1699" s="1"/>
      <c r="AB1699" s="1"/>
      <c r="AG1699" s="1"/>
      <c r="AH1699" s="1"/>
      <c r="AK1699" s="1"/>
      <c r="AL1699" s="1"/>
      <c r="AM1699" s="2"/>
      <c r="AN1699" s="2"/>
      <c r="AQ1699" s="1"/>
      <c r="BG1699" s="1"/>
    </row>
    <row r="1700" spans="15:59">
      <c r="O1700" s="1"/>
      <c r="P1700" s="1"/>
      <c r="AA1700" s="1"/>
      <c r="AB1700" s="1"/>
      <c r="AG1700" s="1"/>
      <c r="AH1700" s="1"/>
      <c r="AK1700" s="1"/>
      <c r="AL1700" s="1"/>
      <c r="AM1700" s="2"/>
      <c r="AN1700" s="2"/>
      <c r="AQ1700" s="1"/>
      <c r="BG1700" s="1"/>
    </row>
    <row r="1701" spans="15:59">
      <c r="O1701" s="1"/>
      <c r="P1701" s="1"/>
      <c r="AA1701" s="1"/>
      <c r="AB1701" s="1"/>
      <c r="AG1701" s="1"/>
      <c r="AH1701" s="1"/>
      <c r="AK1701" s="1"/>
      <c r="AL1701" s="1"/>
      <c r="AM1701" s="2"/>
      <c r="AN1701" s="2"/>
      <c r="AQ1701" s="1"/>
      <c r="BG1701" s="1"/>
    </row>
    <row r="1702" spans="15:59">
      <c r="O1702" s="1"/>
      <c r="P1702" s="1"/>
      <c r="AA1702" s="1"/>
      <c r="AB1702" s="1"/>
      <c r="AG1702" s="1"/>
      <c r="AH1702" s="1"/>
      <c r="AK1702" s="1"/>
      <c r="AL1702" s="1"/>
      <c r="AM1702" s="2"/>
      <c r="AN1702" s="2"/>
      <c r="AQ1702" s="1"/>
      <c r="BG1702" s="1"/>
    </row>
    <row r="1703" spans="15:59">
      <c r="O1703" s="1"/>
      <c r="P1703" s="1"/>
      <c r="AA1703" s="1"/>
      <c r="AB1703" s="1"/>
      <c r="AG1703" s="1"/>
      <c r="AH1703" s="1"/>
      <c r="AK1703" s="1"/>
      <c r="AL1703" s="1"/>
      <c r="AM1703" s="2"/>
      <c r="AN1703" s="2"/>
      <c r="AQ1703" s="1"/>
      <c r="BG1703" s="1"/>
    </row>
    <row r="1704" spans="15:59">
      <c r="O1704" s="1"/>
      <c r="P1704" s="1"/>
      <c r="AA1704" s="1"/>
      <c r="AB1704" s="1"/>
      <c r="AG1704" s="1"/>
      <c r="AH1704" s="1"/>
      <c r="AK1704" s="1"/>
      <c r="AL1704" s="1"/>
      <c r="AM1704" s="2"/>
      <c r="AN1704" s="2"/>
      <c r="AQ1704" s="1"/>
      <c r="BG1704" s="1"/>
    </row>
    <row r="1705" spans="15:59">
      <c r="O1705" s="1"/>
      <c r="P1705" s="1"/>
      <c r="AA1705" s="1"/>
      <c r="AB1705" s="1"/>
      <c r="AG1705" s="1"/>
      <c r="AH1705" s="1"/>
      <c r="AK1705" s="1"/>
      <c r="AL1705" s="1"/>
      <c r="AM1705" s="2"/>
      <c r="AN1705" s="2"/>
      <c r="AQ1705" s="1"/>
      <c r="BG1705" s="1"/>
    </row>
    <row r="1706" spans="15:59">
      <c r="O1706" s="1"/>
      <c r="P1706" s="1"/>
      <c r="AA1706" s="1"/>
      <c r="AB1706" s="1"/>
      <c r="AG1706" s="1"/>
      <c r="AH1706" s="1"/>
      <c r="AK1706" s="1"/>
      <c r="AL1706" s="1"/>
      <c r="AM1706" s="2"/>
      <c r="AN1706" s="2"/>
      <c r="AQ1706" s="1"/>
      <c r="BG1706" s="1"/>
    </row>
    <row r="1707" spans="15:59">
      <c r="O1707" s="1"/>
      <c r="P1707" s="1"/>
      <c r="AA1707" s="1"/>
      <c r="AB1707" s="1"/>
      <c r="AG1707" s="1"/>
      <c r="AH1707" s="1"/>
      <c r="AK1707" s="1"/>
      <c r="AL1707" s="1"/>
      <c r="AM1707" s="2"/>
      <c r="AN1707" s="2"/>
      <c r="AQ1707" s="1"/>
      <c r="BG1707" s="1"/>
    </row>
    <row r="1708" spans="15:59">
      <c r="O1708" s="1"/>
      <c r="P1708" s="1"/>
      <c r="AA1708" s="1"/>
      <c r="AB1708" s="1"/>
      <c r="AG1708" s="1"/>
      <c r="AH1708" s="1"/>
      <c r="AK1708" s="1"/>
      <c r="AL1708" s="1"/>
      <c r="AM1708" s="2"/>
      <c r="AN1708" s="2"/>
      <c r="AQ1708" s="1"/>
      <c r="BG1708" s="1"/>
    </row>
    <row r="1709" spans="15:59">
      <c r="O1709" s="1"/>
      <c r="P1709" s="1"/>
      <c r="AA1709" s="1"/>
      <c r="AB1709" s="1"/>
      <c r="AG1709" s="1"/>
      <c r="AH1709" s="1"/>
      <c r="AK1709" s="1"/>
      <c r="AL1709" s="1"/>
      <c r="AM1709" s="2"/>
      <c r="AN1709" s="2"/>
      <c r="AQ1709" s="1"/>
      <c r="BG1709" s="1"/>
    </row>
    <row r="1710" spans="15:59">
      <c r="O1710" s="1"/>
      <c r="P1710" s="1"/>
      <c r="AA1710" s="1"/>
      <c r="AB1710" s="1"/>
      <c r="AG1710" s="1"/>
      <c r="AH1710" s="1"/>
      <c r="AK1710" s="1"/>
      <c r="AL1710" s="1"/>
      <c r="AM1710" s="2"/>
      <c r="AN1710" s="2"/>
      <c r="AQ1710" s="1"/>
      <c r="BG1710" s="1"/>
    </row>
    <row r="1711" spans="15:59">
      <c r="O1711" s="1"/>
      <c r="P1711" s="1"/>
      <c r="AA1711" s="1"/>
      <c r="AB1711" s="1"/>
      <c r="AG1711" s="1"/>
      <c r="AH1711" s="1"/>
      <c r="AK1711" s="1"/>
      <c r="AL1711" s="1"/>
      <c r="AM1711" s="2"/>
      <c r="AN1711" s="2"/>
      <c r="AQ1711" s="1"/>
      <c r="BG1711" s="1"/>
    </row>
    <row r="1712" spans="15:59">
      <c r="O1712" s="1"/>
      <c r="P1712" s="1"/>
      <c r="AA1712" s="1"/>
      <c r="AB1712" s="1"/>
      <c r="AG1712" s="1"/>
      <c r="AH1712" s="1"/>
      <c r="AK1712" s="1"/>
      <c r="AL1712" s="1"/>
      <c r="AM1712" s="2"/>
      <c r="AN1712" s="2"/>
      <c r="AQ1712" s="1"/>
      <c r="BG1712" s="1"/>
    </row>
    <row r="1713" spans="15:59">
      <c r="O1713" s="1"/>
      <c r="P1713" s="1"/>
      <c r="AA1713" s="1"/>
      <c r="AB1713" s="1"/>
      <c r="AG1713" s="1"/>
      <c r="AH1713" s="1"/>
      <c r="AK1713" s="1"/>
      <c r="AL1713" s="1"/>
      <c r="AM1713" s="2"/>
      <c r="AN1713" s="2"/>
      <c r="AQ1713" s="1"/>
      <c r="BG1713" s="1"/>
    </row>
    <row r="1714" spans="15:59">
      <c r="O1714" s="1"/>
      <c r="P1714" s="1"/>
      <c r="AA1714" s="1"/>
      <c r="AB1714" s="1"/>
      <c r="AG1714" s="1"/>
      <c r="AH1714" s="1"/>
      <c r="AK1714" s="1"/>
      <c r="AL1714" s="1"/>
      <c r="AM1714" s="2"/>
      <c r="AN1714" s="2"/>
      <c r="AQ1714" s="1"/>
      <c r="BG1714" s="1"/>
    </row>
    <row r="1715" spans="15:59">
      <c r="O1715" s="1"/>
      <c r="P1715" s="1"/>
      <c r="AA1715" s="1"/>
      <c r="AB1715" s="1"/>
      <c r="AG1715" s="1"/>
      <c r="AH1715" s="1"/>
      <c r="AK1715" s="1"/>
      <c r="AL1715" s="1"/>
      <c r="AM1715" s="2"/>
      <c r="AN1715" s="2"/>
      <c r="AQ1715" s="1"/>
      <c r="BG1715" s="1"/>
    </row>
    <row r="1716" spans="15:59">
      <c r="O1716" s="1"/>
      <c r="P1716" s="1"/>
      <c r="AA1716" s="1"/>
      <c r="AB1716" s="1"/>
      <c r="AG1716" s="1"/>
      <c r="AH1716" s="1"/>
      <c r="AK1716" s="1"/>
      <c r="AL1716" s="1"/>
      <c r="AM1716" s="2"/>
      <c r="AN1716" s="2"/>
      <c r="AQ1716" s="1"/>
      <c r="BG1716" s="1"/>
    </row>
    <row r="1717" spans="15:59">
      <c r="O1717" s="1"/>
      <c r="P1717" s="1"/>
      <c r="AA1717" s="1"/>
      <c r="AB1717" s="1"/>
      <c r="AG1717" s="1"/>
      <c r="AH1717" s="1"/>
      <c r="AK1717" s="1"/>
      <c r="AL1717" s="1"/>
      <c r="AM1717" s="2"/>
      <c r="AN1717" s="2"/>
      <c r="AQ1717" s="1"/>
      <c r="BG1717" s="1"/>
    </row>
    <row r="1718" spans="15:59">
      <c r="O1718" s="1"/>
      <c r="P1718" s="1"/>
      <c r="AA1718" s="1"/>
      <c r="AB1718" s="1"/>
      <c r="AG1718" s="1"/>
      <c r="AH1718" s="1"/>
      <c r="AK1718" s="1"/>
      <c r="AL1718" s="1"/>
      <c r="AM1718" s="2"/>
      <c r="AN1718" s="2"/>
      <c r="AQ1718" s="1"/>
      <c r="BG1718" s="1"/>
    </row>
    <row r="1719" spans="15:59">
      <c r="O1719" s="1"/>
      <c r="P1719" s="1"/>
      <c r="AA1719" s="1"/>
      <c r="AB1719" s="1"/>
      <c r="AG1719" s="1"/>
      <c r="AH1719" s="1"/>
      <c r="AK1719" s="1"/>
      <c r="AL1719" s="1"/>
      <c r="AM1719" s="2"/>
      <c r="AN1719" s="2"/>
      <c r="AQ1719" s="1"/>
      <c r="BG1719" s="1"/>
    </row>
    <row r="1720" spans="15:59">
      <c r="O1720" s="1"/>
      <c r="P1720" s="1"/>
      <c r="AA1720" s="1"/>
      <c r="AB1720" s="1"/>
      <c r="AG1720" s="1"/>
      <c r="AH1720" s="1"/>
      <c r="AK1720" s="1"/>
      <c r="AL1720" s="1"/>
      <c r="AM1720" s="2"/>
      <c r="AN1720" s="2"/>
      <c r="AQ1720" s="1"/>
      <c r="BG1720" s="1"/>
    </row>
    <row r="1721" spans="15:59">
      <c r="O1721" s="1"/>
      <c r="P1721" s="1"/>
      <c r="AA1721" s="1"/>
      <c r="AB1721" s="1"/>
      <c r="AG1721" s="1"/>
      <c r="AH1721" s="1"/>
      <c r="AK1721" s="1"/>
      <c r="AL1721" s="1"/>
      <c r="AM1721" s="2"/>
      <c r="AN1721" s="2"/>
      <c r="AQ1721" s="1"/>
      <c r="BG1721" s="1"/>
    </row>
    <row r="1722" spans="15:59">
      <c r="O1722" s="1"/>
      <c r="P1722" s="1"/>
      <c r="AA1722" s="1"/>
      <c r="AB1722" s="1"/>
      <c r="AG1722" s="1"/>
      <c r="AH1722" s="1"/>
      <c r="AK1722" s="1"/>
      <c r="AL1722" s="1"/>
      <c r="AM1722" s="2"/>
      <c r="AN1722" s="2"/>
      <c r="AQ1722" s="1"/>
      <c r="BG1722" s="1"/>
    </row>
    <row r="1723" spans="15:59">
      <c r="O1723" s="1"/>
      <c r="P1723" s="1"/>
      <c r="AA1723" s="1"/>
      <c r="AB1723" s="1"/>
      <c r="AG1723" s="1"/>
      <c r="AH1723" s="1"/>
      <c r="AK1723" s="1"/>
      <c r="AL1723" s="1"/>
      <c r="AM1723" s="2"/>
      <c r="AN1723" s="2"/>
      <c r="AQ1723" s="1"/>
      <c r="BG1723" s="1"/>
    </row>
    <row r="1724" spans="15:59">
      <c r="O1724" s="1"/>
      <c r="P1724" s="1"/>
      <c r="AA1724" s="1"/>
      <c r="AB1724" s="1"/>
      <c r="AG1724" s="1"/>
      <c r="AH1724" s="1"/>
      <c r="AK1724" s="1"/>
      <c r="AL1724" s="1"/>
      <c r="AM1724" s="2"/>
      <c r="AN1724" s="2"/>
      <c r="AQ1724" s="1"/>
      <c r="BG1724" s="1"/>
    </row>
    <row r="1725" spans="15:59">
      <c r="O1725" s="1"/>
      <c r="P1725" s="1"/>
      <c r="AA1725" s="1"/>
      <c r="AB1725" s="1"/>
      <c r="AG1725" s="1"/>
      <c r="AH1725" s="1"/>
      <c r="AK1725" s="1"/>
      <c r="AL1725" s="1"/>
      <c r="AM1725" s="2"/>
      <c r="AN1725" s="2"/>
      <c r="AQ1725" s="1"/>
      <c r="BG1725" s="1"/>
    </row>
    <row r="1726" spans="15:59">
      <c r="O1726" s="1"/>
      <c r="P1726" s="1"/>
      <c r="AA1726" s="1"/>
      <c r="AB1726" s="1"/>
      <c r="AG1726" s="1"/>
      <c r="AH1726" s="1"/>
      <c r="AK1726" s="1"/>
      <c r="AL1726" s="1"/>
      <c r="AM1726" s="2"/>
      <c r="AN1726" s="2"/>
      <c r="AQ1726" s="1"/>
      <c r="BG1726" s="1"/>
    </row>
    <row r="1727" spans="15:59">
      <c r="O1727" s="1"/>
      <c r="P1727" s="1"/>
      <c r="AA1727" s="1"/>
      <c r="AB1727" s="1"/>
      <c r="AG1727" s="1"/>
      <c r="AH1727" s="1"/>
      <c r="AK1727" s="1"/>
      <c r="AL1727" s="1"/>
      <c r="AM1727" s="2"/>
      <c r="AN1727" s="2"/>
      <c r="AQ1727" s="1"/>
      <c r="BG1727" s="1"/>
    </row>
    <row r="1728" spans="15:59">
      <c r="O1728" s="1"/>
      <c r="P1728" s="1"/>
      <c r="AA1728" s="1"/>
      <c r="AB1728" s="1"/>
      <c r="AG1728" s="1"/>
      <c r="AH1728" s="1"/>
      <c r="AK1728" s="1"/>
      <c r="AL1728" s="1"/>
      <c r="AM1728" s="2"/>
      <c r="AN1728" s="2"/>
      <c r="AQ1728" s="1"/>
      <c r="BG1728" s="1"/>
    </row>
    <row r="1729" spans="15:59">
      <c r="O1729" s="1"/>
      <c r="P1729" s="1"/>
      <c r="AA1729" s="1"/>
      <c r="AB1729" s="1"/>
      <c r="AG1729" s="1"/>
      <c r="AH1729" s="1"/>
      <c r="AK1729" s="1"/>
      <c r="AL1729" s="1"/>
      <c r="AM1729" s="2"/>
      <c r="AN1729" s="2"/>
      <c r="AQ1729" s="1"/>
      <c r="BG1729" s="1"/>
    </row>
    <row r="1730" spans="15:59">
      <c r="O1730" s="1"/>
      <c r="P1730" s="1"/>
      <c r="AA1730" s="1"/>
      <c r="AB1730" s="1"/>
      <c r="AG1730" s="1"/>
      <c r="AH1730" s="1"/>
      <c r="AK1730" s="1"/>
      <c r="AL1730" s="1"/>
      <c r="AM1730" s="2"/>
      <c r="AN1730" s="2"/>
      <c r="AQ1730" s="1"/>
      <c r="BG1730" s="1"/>
    </row>
    <row r="1731" spans="15:59">
      <c r="O1731" s="1"/>
      <c r="P1731" s="1"/>
      <c r="AA1731" s="1"/>
      <c r="AB1731" s="1"/>
      <c r="AG1731" s="1"/>
      <c r="AH1731" s="1"/>
      <c r="AK1731" s="1"/>
      <c r="AL1731" s="1"/>
      <c r="AM1731" s="2"/>
      <c r="AN1731" s="2"/>
      <c r="AQ1731" s="1"/>
      <c r="BG1731" s="1"/>
    </row>
    <row r="1732" spans="15:59">
      <c r="O1732" s="1"/>
      <c r="P1732" s="1"/>
      <c r="AA1732" s="1"/>
      <c r="AB1732" s="1"/>
      <c r="AG1732" s="1"/>
      <c r="AH1732" s="1"/>
      <c r="AK1732" s="1"/>
      <c r="AL1732" s="1"/>
      <c r="AM1732" s="2"/>
      <c r="AN1732" s="2"/>
      <c r="AQ1732" s="1"/>
      <c r="BG1732" s="1"/>
    </row>
    <row r="1733" spans="15:59">
      <c r="O1733" s="1"/>
      <c r="P1733" s="1"/>
      <c r="AA1733" s="1"/>
      <c r="AB1733" s="1"/>
      <c r="AG1733" s="1"/>
      <c r="AH1733" s="1"/>
      <c r="AK1733" s="1"/>
      <c r="AL1733" s="1"/>
      <c r="AM1733" s="2"/>
      <c r="AN1733" s="2"/>
      <c r="AQ1733" s="1"/>
      <c r="BG1733" s="1"/>
    </row>
    <row r="1734" spans="15:59">
      <c r="O1734" s="1"/>
      <c r="P1734" s="1"/>
      <c r="AA1734" s="1"/>
      <c r="AB1734" s="1"/>
      <c r="AG1734" s="1"/>
      <c r="AH1734" s="1"/>
      <c r="AK1734" s="1"/>
      <c r="AL1734" s="1"/>
      <c r="AM1734" s="2"/>
      <c r="AN1734" s="2"/>
      <c r="AQ1734" s="1"/>
      <c r="BG1734" s="1"/>
    </row>
    <row r="1735" spans="15:59">
      <c r="O1735" s="1"/>
      <c r="P1735" s="1"/>
      <c r="AA1735" s="1"/>
      <c r="AB1735" s="1"/>
      <c r="AG1735" s="1"/>
      <c r="AH1735" s="1"/>
      <c r="AK1735" s="1"/>
      <c r="AL1735" s="1"/>
      <c r="AM1735" s="2"/>
      <c r="AN1735" s="2"/>
      <c r="AQ1735" s="1"/>
      <c r="BG1735" s="1"/>
    </row>
    <row r="1736" spans="15:59">
      <c r="O1736" s="1"/>
      <c r="P1736" s="1"/>
      <c r="AA1736" s="1"/>
      <c r="AB1736" s="1"/>
      <c r="AG1736" s="1"/>
      <c r="AH1736" s="1"/>
      <c r="AK1736" s="1"/>
      <c r="AL1736" s="1"/>
      <c r="AM1736" s="2"/>
      <c r="AN1736" s="2"/>
      <c r="AQ1736" s="1"/>
      <c r="BG1736" s="1"/>
    </row>
    <row r="1737" spans="15:59">
      <c r="O1737" s="1"/>
      <c r="P1737" s="1"/>
      <c r="AA1737" s="1"/>
      <c r="AB1737" s="1"/>
      <c r="AG1737" s="1"/>
      <c r="AH1737" s="1"/>
      <c r="AK1737" s="1"/>
      <c r="AL1737" s="1"/>
      <c r="AM1737" s="2"/>
      <c r="AN1737" s="2"/>
      <c r="AQ1737" s="1"/>
      <c r="BG1737" s="1"/>
    </row>
    <row r="1738" spans="15:59">
      <c r="O1738" s="1"/>
      <c r="P1738" s="1"/>
      <c r="AA1738" s="1"/>
      <c r="AB1738" s="1"/>
      <c r="AG1738" s="1"/>
      <c r="AH1738" s="1"/>
      <c r="AK1738" s="1"/>
      <c r="AL1738" s="1"/>
      <c r="AM1738" s="2"/>
      <c r="AN1738" s="2"/>
      <c r="AQ1738" s="1"/>
      <c r="BG1738" s="1"/>
    </row>
    <row r="1739" spans="15:59">
      <c r="O1739" s="1"/>
      <c r="P1739" s="1"/>
      <c r="AA1739" s="1"/>
      <c r="AB1739" s="1"/>
      <c r="AG1739" s="1"/>
      <c r="AH1739" s="1"/>
      <c r="AK1739" s="1"/>
      <c r="AL1739" s="1"/>
      <c r="AM1739" s="2"/>
      <c r="AN1739" s="2"/>
      <c r="AQ1739" s="1"/>
      <c r="BG1739" s="1"/>
    </row>
    <row r="1740" spans="15:59">
      <c r="O1740" s="1"/>
      <c r="P1740" s="1"/>
      <c r="AA1740" s="1"/>
      <c r="AB1740" s="1"/>
      <c r="AG1740" s="1"/>
      <c r="AH1740" s="1"/>
      <c r="AK1740" s="1"/>
      <c r="AL1740" s="1"/>
      <c r="AM1740" s="2"/>
      <c r="AN1740" s="2"/>
      <c r="AQ1740" s="1"/>
      <c r="BG1740" s="1"/>
    </row>
    <row r="1741" spans="15:59">
      <c r="O1741" s="1"/>
      <c r="P1741" s="1"/>
      <c r="AA1741" s="1"/>
      <c r="AB1741" s="1"/>
      <c r="AG1741" s="1"/>
      <c r="AH1741" s="1"/>
      <c r="AK1741" s="1"/>
      <c r="AL1741" s="1"/>
      <c r="AM1741" s="2"/>
      <c r="AN1741" s="2"/>
      <c r="AQ1741" s="1"/>
      <c r="BG1741" s="1"/>
    </row>
    <row r="1742" spans="15:59">
      <c r="O1742" s="1"/>
      <c r="P1742" s="1"/>
      <c r="AA1742" s="1"/>
      <c r="AB1742" s="1"/>
      <c r="AG1742" s="1"/>
      <c r="AH1742" s="1"/>
      <c r="AK1742" s="1"/>
      <c r="AL1742" s="1"/>
      <c r="AM1742" s="2"/>
      <c r="AN1742" s="2"/>
      <c r="AQ1742" s="1"/>
      <c r="BG1742" s="1"/>
    </row>
    <row r="1743" spans="15:59">
      <c r="O1743" s="1"/>
      <c r="P1743" s="1"/>
      <c r="AA1743" s="1"/>
      <c r="AB1743" s="1"/>
      <c r="AG1743" s="1"/>
      <c r="AH1743" s="1"/>
      <c r="AK1743" s="1"/>
      <c r="AL1743" s="1"/>
      <c r="AM1743" s="2"/>
      <c r="AN1743" s="2"/>
      <c r="AQ1743" s="1"/>
      <c r="BG1743" s="1"/>
    </row>
    <row r="1744" spans="15:59">
      <c r="O1744" s="1"/>
      <c r="P1744" s="1"/>
      <c r="AA1744" s="1"/>
      <c r="AB1744" s="1"/>
      <c r="AG1744" s="1"/>
      <c r="AH1744" s="1"/>
      <c r="AK1744" s="1"/>
      <c r="AL1744" s="1"/>
      <c r="AM1744" s="2"/>
      <c r="AN1744" s="2"/>
      <c r="AQ1744" s="1"/>
      <c r="BG1744" s="1"/>
    </row>
    <row r="1745" spans="15:59">
      <c r="O1745" s="1"/>
      <c r="P1745" s="1"/>
      <c r="AA1745" s="1"/>
      <c r="AB1745" s="1"/>
      <c r="AG1745" s="1"/>
      <c r="AH1745" s="1"/>
      <c r="AK1745" s="1"/>
      <c r="AL1745" s="1"/>
      <c r="AM1745" s="2"/>
      <c r="AN1745" s="2"/>
      <c r="AQ1745" s="1"/>
      <c r="BG1745" s="1"/>
    </row>
    <row r="1746" spans="15:59">
      <c r="O1746" s="1"/>
      <c r="P1746" s="1"/>
      <c r="AA1746" s="1"/>
      <c r="AB1746" s="1"/>
      <c r="AG1746" s="1"/>
      <c r="AH1746" s="1"/>
      <c r="AK1746" s="1"/>
      <c r="AL1746" s="1"/>
      <c r="AM1746" s="2"/>
      <c r="AN1746" s="2"/>
      <c r="AQ1746" s="1"/>
      <c r="BG1746" s="1"/>
    </row>
    <row r="1747" spans="15:59">
      <c r="O1747" s="1"/>
      <c r="P1747" s="1"/>
      <c r="AA1747" s="1"/>
      <c r="AB1747" s="1"/>
      <c r="AG1747" s="1"/>
      <c r="AH1747" s="1"/>
      <c r="AK1747" s="1"/>
      <c r="AL1747" s="1"/>
      <c r="AM1747" s="2"/>
      <c r="AN1747" s="2"/>
      <c r="AQ1747" s="1"/>
      <c r="BG1747" s="1"/>
    </row>
    <row r="1748" spans="15:59">
      <c r="O1748" s="1"/>
      <c r="P1748" s="1"/>
      <c r="AA1748" s="1"/>
      <c r="AB1748" s="1"/>
      <c r="AG1748" s="1"/>
      <c r="AH1748" s="1"/>
      <c r="AK1748" s="1"/>
      <c r="AL1748" s="1"/>
      <c r="AM1748" s="2"/>
      <c r="AN1748" s="2"/>
      <c r="AQ1748" s="1"/>
      <c r="BG1748" s="1"/>
    </row>
    <row r="1749" spans="15:59">
      <c r="O1749" s="1"/>
      <c r="P1749" s="1"/>
      <c r="AA1749" s="1"/>
      <c r="AB1749" s="1"/>
      <c r="AG1749" s="1"/>
      <c r="AH1749" s="1"/>
      <c r="AK1749" s="1"/>
      <c r="AL1749" s="1"/>
      <c r="AM1749" s="2"/>
      <c r="AN1749" s="2"/>
      <c r="AQ1749" s="1"/>
      <c r="BG1749" s="1"/>
    </row>
    <row r="1750" spans="15:59">
      <c r="O1750" s="1"/>
      <c r="P1750" s="1"/>
      <c r="AA1750" s="1"/>
      <c r="AB1750" s="1"/>
      <c r="AG1750" s="1"/>
      <c r="AH1750" s="1"/>
      <c r="AK1750" s="1"/>
      <c r="AL1750" s="1"/>
      <c r="AM1750" s="2"/>
      <c r="AN1750" s="2"/>
      <c r="AQ1750" s="1"/>
      <c r="BG1750" s="1"/>
    </row>
    <row r="1751" spans="15:59">
      <c r="O1751" s="1"/>
      <c r="P1751" s="1"/>
      <c r="AA1751" s="1"/>
      <c r="AB1751" s="1"/>
      <c r="AG1751" s="1"/>
      <c r="AH1751" s="1"/>
      <c r="AK1751" s="1"/>
      <c r="AL1751" s="1"/>
      <c r="AM1751" s="2"/>
      <c r="AN1751" s="2"/>
      <c r="AQ1751" s="1"/>
      <c r="BG1751" s="1"/>
    </row>
    <row r="1752" spans="15:59">
      <c r="O1752" s="1"/>
      <c r="P1752" s="1"/>
      <c r="AA1752" s="1"/>
      <c r="AB1752" s="1"/>
      <c r="AG1752" s="1"/>
      <c r="AH1752" s="1"/>
      <c r="AK1752" s="1"/>
      <c r="AL1752" s="1"/>
      <c r="AM1752" s="2"/>
      <c r="AN1752" s="2"/>
      <c r="AQ1752" s="1"/>
      <c r="BG1752" s="1"/>
    </row>
    <row r="1753" spans="15:59">
      <c r="O1753" s="1"/>
      <c r="P1753" s="1"/>
      <c r="AA1753" s="1"/>
      <c r="AB1753" s="1"/>
      <c r="AG1753" s="1"/>
      <c r="AH1753" s="1"/>
      <c r="AK1753" s="1"/>
      <c r="AL1753" s="1"/>
      <c r="AM1753" s="2"/>
      <c r="AN1753" s="2"/>
      <c r="AQ1753" s="1"/>
      <c r="BG1753" s="1"/>
    </row>
    <row r="1754" spans="15:59">
      <c r="O1754" s="1"/>
      <c r="P1754" s="1"/>
      <c r="AA1754" s="1"/>
      <c r="AB1754" s="1"/>
      <c r="AG1754" s="1"/>
      <c r="AH1754" s="1"/>
      <c r="AK1754" s="1"/>
      <c r="AL1754" s="1"/>
      <c r="AM1754" s="2"/>
      <c r="AN1754" s="2"/>
      <c r="AQ1754" s="1"/>
      <c r="BG1754" s="1"/>
    </row>
    <row r="1755" spans="15:59">
      <c r="O1755" s="1"/>
      <c r="P1755" s="1"/>
      <c r="AA1755" s="1"/>
      <c r="AB1755" s="1"/>
      <c r="AG1755" s="1"/>
      <c r="AH1755" s="1"/>
      <c r="AK1755" s="1"/>
      <c r="AL1755" s="1"/>
      <c r="AM1755" s="2"/>
      <c r="AN1755" s="2"/>
      <c r="AQ1755" s="1"/>
      <c r="BG1755" s="1"/>
    </row>
    <row r="1756" spans="15:59">
      <c r="O1756" s="1"/>
      <c r="P1756" s="1"/>
      <c r="AA1756" s="1"/>
      <c r="AB1756" s="1"/>
      <c r="AG1756" s="1"/>
      <c r="AH1756" s="1"/>
      <c r="AK1756" s="1"/>
      <c r="AL1756" s="1"/>
      <c r="AM1756" s="2"/>
      <c r="AN1756" s="2"/>
      <c r="AQ1756" s="1"/>
      <c r="BG1756" s="1"/>
    </row>
    <row r="1757" spans="15:59">
      <c r="O1757" s="1"/>
      <c r="P1757" s="1"/>
      <c r="AA1757" s="1"/>
      <c r="AB1757" s="1"/>
      <c r="AG1757" s="1"/>
      <c r="AH1757" s="1"/>
      <c r="AK1757" s="1"/>
      <c r="AL1757" s="1"/>
      <c r="AM1757" s="2"/>
      <c r="AN1757" s="2"/>
      <c r="AQ1757" s="1"/>
      <c r="BG1757" s="1"/>
    </row>
    <row r="1758" spans="15:59">
      <c r="O1758" s="1"/>
      <c r="P1758" s="1"/>
      <c r="AA1758" s="1"/>
      <c r="AB1758" s="1"/>
      <c r="AG1758" s="1"/>
      <c r="AH1758" s="1"/>
      <c r="AK1758" s="1"/>
      <c r="AL1758" s="1"/>
      <c r="AM1758" s="2"/>
      <c r="AN1758" s="2"/>
      <c r="AQ1758" s="1"/>
      <c r="BG1758" s="1"/>
    </row>
    <row r="1759" spans="15:59">
      <c r="O1759" s="1"/>
      <c r="P1759" s="1"/>
      <c r="AA1759" s="1"/>
      <c r="AB1759" s="1"/>
      <c r="AG1759" s="1"/>
      <c r="AH1759" s="1"/>
      <c r="AK1759" s="1"/>
      <c r="AL1759" s="1"/>
      <c r="AM1759" s="2"/>
      <c r="AN1759" s="2"/>
      <c r="AQ1759" s="1"/>
      <c r="BG1759" s="1"/>
    </row>
    <row r="1760" spans="15:59">
      <c r="O1760" s="1"/>
      <c r="P1760" s="1"/>
      <c r="AA1760" s="1"/>
      <c r="AB1760" s="1"/>
      <c r="AG1760" s="1"/>
      <c r="AH1760" s="1"/>
      <c r="AK1760" s="1"/>
      <c r="AL1760" s="1"/>
      <c r="AM1760" s="2"/>
      <c r="AN1760" s="2"/>
      <c r="AQ1760" s="1"/>
      <c r="BG1760" s="1"/>
    </row>
    <row r="1761" spans="15:59">
      <c r="O1761" s="1"/>
      <c r="P1761" s="1"/>
      <c r="AA1761" s="1"/>
      <c r="AB1761" s="1"/>
      <c r="AG1761" s="1"/>
      <c r="AH1761" s="1"/>
      <c r="AK1761" s="1"/>
      <c r="AL1761" s="1"/>
      <c r="AM1761" s="2"/>
      <c r="AN1761" s="2"/>
      <c r="AQ1761" s="1"/>
      <c r="BG1761" s="1"/>
    </row>
    <row r="1762" spans="15:59">
      <c r="O1762" s="1"/>
      <c r="P1762" s="1"/>
      <c r="AA1762" s="1"/>
      <c r="AB1762" s="1"/>
      <c r="AG1762" s="1"/>
      <c r="AH1762" s="1"/>
      <c r="AK1762" s="1"/>
      <c r="AL1762" s="1"/>
      <c r="AM1762" s="2"/>
      <c r="AN1762" s="2"/>
      <c r="AQ1762" s="1"/>
      <c r="BG1762" s="1"/>
    </row>
    <row r="1763" spans="15:59">
      <c r="O1763" s="1"/>
      <c r="P1763" s="1"/>
      <c r="AA1763" s="1"/>
      <c r="AB1763" s="1"/>
      <c r="AG1763" s="1"/>
      <c r="AH1763" s="1"/>
      <c r="AK1763" s="1"/>
      <c r="AL1763" s="1"/>
      <c r="AM1763" s="2"/>
      <c r="AN1763" s="2"/>
      <c r="AQ1763" s="1"/>
      <c r="BG1763" s="1"/>
    </row>
    <row r="1764" spans="15:59">
      <c r="O1764" s="1"/>
      <c r="P1764" s="1"/>
      <c r="AA1764" s="1"/>
      <c r="AB1764" s="1"/>
      <c r="AG1764" s="1"/>
      <c r="AH1764" s="1"/>
      <c r="AK1764" s="1"/>
      <c r="AL1764" s="1"/>
      <c r="AM1764" s="2"/>
      <c r="AN1764" s="2"/>
      <c r="AQ1764" s="1"/>
      <c r="BG1764" s="1"/>
    </row>
    <row r="1765" spans="15:59">
      <c r="O1765" s="1"/>
      <c r="P1765" s="1"/>
      <c r="AA1765" s="1"/>
      <c r="AB1765" s="1"/>
      <c r="AG1765" s="1"/>
      <c r="AH1765" s="1"/>
      <c r="AK1765" s="1"/>
      <c r="AL1765" s="1"/>
      <c r="AM1765" s="2"/>
      <c r="AN1765" s="2"/>
      <c r="AQ1765" s="1"/>
      <c r="BG1765" s="1"/>
    </row>
    <row r="1766" spans="15:59">
      <c r="O1766" s="1"/>
      <c r="P1766" s="1"/>
      <c r="AA1766" s="1"/>
      <c r="AB1766" s="1"/>
      <c r="AG1766" s="1"/>
      <c r="AH1766" s="1"/>
      <c r="AK1766" s="1"/>
      <c r="AL1766" s="1"/>
      <c r="AM1766" s="2"/>
      <c r="AN1766" s="2"/>
      <c r="AQ1766" s="1"/>
      <c r="BG1766" s="1"/>
    </row>
    <row r="1767" spans="15:59">
      <c r="O1767" s="1"/>
      <c r="P1767" s="1"/>
      <c r="AA1767" s="1"/>
      <c r="AB1767" s="1"/>
      <c r="AG1767" s="1"/>
      <c r="AH1767" s="1"/>
      <c r="AK1767" s="1"/>
      <c r="AL1767" s="1"/>
      <c r="AM1767" s="2"/>
      <c r="AN1767" s="2"/>
      <c r="AQ1767" s="1"/>
      <c r="BG1767" s="1"/>
    </row>
    <row r="1768" spans="15:59">
      <c r="O1768" s="1"/>
      <c r="P1768" s="1"/>
      <c r="AA1768" s="1"/>
      <c r="AB1768" s="1"/>
      <c r="AG1768" s="1"/>
      <c r="AH1768" s="1"/>
      <c r="AK1768" s="1"/>
      <c r="AL1768" s="1"/>
      <c r="AM1768" s="2"/>
      <c r="AN1768" s="2"/>
      <c r="AQ1768" s="1"/>
      <c r="BG1768" s="1"/>
    </row>
    <row r="1769" spans="15:59">
      <c r="O1769" s="1"/>
      <c r="P1769" s="1"/>
      <c r="AA1769" s="1"/>
      <c r="AB1769" s="1"/>
      <c r="AG1769" s="1"/>
      <c r="AH1769" s="1"/>
      <c r="AK1769" s="1"/>
      <c r="AL1769" s="1"/>
      <c r="AM1769" s="2"/>
      <c r="AN1769" s="2"/>
      <c r="AQ1769" s="1"/>
      <c r="BG1769" s="1"/>
    </row>
    <row r="1770" spans="15:59">
      <c r="O1770" s="1"/>
      <c r="P1770" s="1"/>
      <c r="AA1770" s="1"/>
      <c r="AB1770" s="1"/>
      <c r="AG1770" s="1"/>
      <c r="AH1770" s="1"/>
      <c r="AK1770" s="1"/>
      <c r="AL1770" s="1"/>
      <c r="AM1770" s="2"/>
      <c r="AN1770" s="2"/>
      <c r="AQ1770" s="1"/>
      <c r="BG1770" s="1"/>
    </row>
    <row r="1771" spans="15:59">
      <c r="O1771" s="1"/>
      <c r="P1771" s="1"/>
      <c r="AA1771" s="1"/>
      <c r="AB1771" s="1"/>
      <c r="AG1771" s="1"/>
      <c r="AH1771" s="1"/>
      <c r="AK1771" s="1"/>
      <c r="AL1771" s="1"/>
      <c r="AM1771" s="2"/>
      <c r="AN1771" s="2"/>
      <c r="AQ1771" s="1"/>
      <c r="BG1771" s="1"/>
    </row>
    <row r="1772" spans="15:59">
      <c r="O1772" s="1"/>
      <c r="P1772" s="1"/>
      <c r="AA1772" s="1"/>
      <c r="AB1772" s="1"/>
      <c r="AG1772" s="1"/>
      <c r="AH1772" s="1"/>
      <c r="AK1772" s="1"/>
      <c r="AL1772" s="1"/>
      <c r="AM1772" s="2"/>
      <c r="AN1772" s="2"/>
      <c r="AQ1772" s="1"/>
      <c r="BG1772" s="1"/>
    </row>
    <row r="1773" spans="15:59">
      <c r="O1773" s="1"/>
      <c r="P1773" s="1"/>
      <c r="AA1773" s="1"/>
      <c r="AB1773" s="1"/>
      <c r="AG1773" s="1"/>
      <c r="AH1773" s="1"/>
      <c r="AK1773" s="1"/>
      <c r="AL1773" s="1"/>
      <c r="AM1773" s="2"/>
      <c r="AN1773" s="2"/>
      <c r="AQ1773" s="1"/>
      <c r="BG1773" s="1"/>
    </row>
    <row r="1774" spans="15:59">
      <c r="O1774" s="1"/>
      <c r="P1774" s="1"/>
      <c r="AA1774" s="1"/>
      <c r="AB1774" s="1"/>
      <c r="AG1774" s="1"/>
      <c r="AH1774" s="1"/>
      <c r="AK1774" s="1"/>
      <c r="AL1774" s="1"/>
      <c r="AM1774" s="2"/>
      <c r="AN1774" s="2"/>
      <c r="AQ1774" s="1"/>
      <c r="BG1774" s="1"/>
    </row>
    <row r="1775" spans="15:59">
      <c r="O1775" s="1"/>
      <c r="P1775" s="1"/>
      <c r="AA1775" s="1"/>
      <c r="AB1775" s="1"/>
      <c r="AG1775" s="1"/>
      <c r="AH1775" s="1"/>
      <c r="AK1775" s="1"/>
      <c r="AL1775" s="1"/>
      <c r="AM1775" s="2"/>
      <c r="AN1775" s="2"/>
      <c r="AQ1775" s="1"/>
      <c r="BG1775" s="1"/>
    </row>
    <row r="1776" spans="15:59">
      <c r="O1776" s="1"/>
      <c r="P1776" s="1"/>
      <c r="AA1776" s="1"/>
      <c r="AB1776" s="1"/>
      <c r="AG1776" s="1"/>
      <c r="AH1776" s="1"/>
      <c r="AK1776" s="1"/>
      <c r="AL1776" s="1"/>
      <c r="AM1776" s="2"/>
      <c r="AN1776" s="2"/>
      <c r="AQ1776" s="1"/>
      <c r="BG1776" s="1"/>
    </row>
    <row r="1777" spans="15:59">
      <c r="O1777" s="1"/>
      <c r="P1777" s="1"/>
      <c r="AA1777" s="1"/>
      <c r="AB1777" s="1"/>
      <c r="AG1777" s="1"/>
      <c r="AH1777" s="1"/>
      <c r="AK1777" s="1"/>
      <c r="AL1777" s="1"/>
      <c r="AM1777" s="2"/>
      <c r="AN1777" s="2"/>
      <c r="AQ1777" s="1"/>
      <c r="BG1777" s="1"/>
    </row>
    <row r="1778" spans="15:59">
      <c r="O1778" s="1"/>
      <c r="P1778" s="1"/>
      <c r="AA1778" s="1"/>
      <c r="AB1778" s="1"/>
      <c r="AG1778" s="1"/>
      <c r="AH1778" s="1"/>
      <c r="AK1778" s="1"/>
      <c r="AL1778" s="1"/>
      <c r="AM1778" s="2"/>
      <c r="AN1778" s="2"/>
      <c r="AQ1778" s="1"/>
      <c r="BG1778" s="1"/>
    </row>
    <row r="1779" spans="15:59">
      <c r="O1779" s="1"/>
      <c r="P1779" s="1"/>
      <c r="AA1779" s="1"/>
      <c r="AB1779" s="1"/>
      <c r="AG1779" s="1"/>
      <c r="AH1779" s="1"/>
      <c r="AK1779" s="1"/>
      <c r="AL1779" s="1"/>
      <c r="AM1779" s="2"/>
      <c r="AN1779" s="2"/>
      <c r="AQ1779" s="1"/>
      <c r="BG1779" s="1"/>
    </row>
    <row r="1780" spans="15:59">
      <c r="O1780" s="1"/>
      <c r="P1780" s="1"/>
      <c r="AA1780" s="1"/>
      <c r="AB1780" s="1"/>
      <c r="AG1780" s="1"/>
      <c r="AH1780" s="1"/>
      <c r="AK1780" s="1"/>
      <c r="AL1780" s="1"/>
      <c r="AM1780" s="2"/>
      <c r="AN1780" s="2"/>
      <c r="AQ1780" s="1"/>
      <c r="BG1780" s="1"/>
    </row>
    <row r="1781" spans="15:59">
      <c r="O1781" s="1"/>
      <c r="P1781" s="1"/>
      <c r="AA1781" s="1"/>
      <c r="AB1781" s="1"/>
      <c r="AG1781" s="1"/>
      <c r="AH1781" s="1"/>
      <c r="AK1781" s="1"/>
      <c r="AL1781" s="1"/>
      <c r="AM1781" s="2"/>
      <c r="AN1781" s="2"/>
      <c r="AQ1781" s="1"/>
      <c r="BG1781" s="1"/>
    </row>
    <row r="1782" spans="15:59">
      <c r="O1782" s="1"/>
      <c r="P1782" s="1"/>
      <c r="AA1782" s="1"/>
      <c r="AB1782" s="1"/>
      <c r="AG1782" s="1"/>
      <c r="AH1782" s="1"/>
      <c r="AK1782" s="1"/>
      <c r="AL1782" s="1"/>
      <c r="AM1782" s="2"/>
      <c r="AN1782" s="2"/>
      <c r="AQ1782" s="1"/>
      <c r="BG1782" s="1"/>
    </row>
    <row r="1783" spans="15:59">
      <c r="O1783" s="1"/>
      <c r="P1783" s="1"/>
      <c r="AA1783" s="1"/>
      <c r="AB1783" s="1"/>
      <c r="AG1783" s="1"/>
      <c r="AH1783" s="1"/>
      <c r="AK1783" s="1"/>
      <c r="AL1783" s="1"/>
      <c r="AM1783" s="2"/>
      <c r="AN1783" s="2"/>
      <c r="AQ1783" s="1"/>
      <c r="BG1783" s="1"/>
    </row>
    <row r="1784" spans="15:59">
      <c r="O1784" s="1"/>
      <c r="P1784" s="1"/>
      <c r="AA1784" s="1"/>
      <c r="AB1784" s="1"/>
      <c r="AG1784" s="1"/>
      <c r="AH1784" s="1"/>
      <c r="AK1784" s="1"/>
      <c r="AL1784" s="1"/>
      <c r="AM1784" s="2"/>
      <c r="AN1784" s="2"/>
      <c r="AQ1784" s="1"/>
      <c r="BG1784" s="1"/>
    </row>
    <row r="1785" spans="15:59">
      <c r="O1785" s="1"/>
      <c r="P1785" s="1"/>
      <c r="AA1785" s="1"/>
      <c r="AB1785" s="1"/>
      <c r="AG1785" s="1"/>
      <c r="AH1785" s="1"/>
      <c r="AK1785" s="1"/>
      <c r="AL1785" s="1"/>
      <c r="AM1785" s="2"/>
      <c r="AN1785" s="2"/>
      <c r="AQ1785" s="1"/>
      <c r="BG1785" s="1"/>
    </row>
    <row r="1786" spans="15:59">
      <c r="O1786" s="1"/>
      <c r="P1786" s="1"/>
      <c r="AA1786" s="1"/>
      <c r="AB1786" s="1"/>
      <c r="AG1786" s="1"/>
      <c r="AH1786" s="1"/>
      <c r="AK1786" s="1"/>
      <c r="AL1786" s="1"/>
      <c r="AM1786" s="2"/>
      <c r="AN1786" s="2"/>
      <c r="AQ1786" s="1"/>
      <c r="BG1786" s="1"/>
    </row>
    <row r="1787" spans="15:59">
      <c r="O1787" s="1"/>
      <c r="P1787" s="1"/>
      <c r="AA1787" s="1"/>
      <c r="AB1787" s="1"/>
      <c r="AG1787" s="1"/>
      <c r="AH1787" s="1"/>
      <c r="AK1787" s="1"/>
      <c r="AL1787" s="1"/>
      <c r="AM1787" s="2"/>
      <c r="AN1787" s="2"/>
      <c r="AQ1787" s="1"/>
      <c r="BG1787" s="1"/>
    </row>
    <row r="1788" spans="15:59">
      <c r="O1788" s="1"/>
      <c r="P1788" s="1"/>
      <c r="AA1788" s="1"/>
      <c r="AB1788" s="1"/>
      <c r="AG1788" s="1"/>
      <c r="AH1788" s="1"/>
      <c r="AK1788" s="1"/>
      <c r="AL1788" s="1"/>
      <c r="AM1788" s="2"/>
      <c r="AN1788" s="2"/>
      <c r="AQ1788" s="1"/>
      <c r="BG1788" s="1"/>
    </row>
    <row r="1789" spans="15:59">
      <c r="O1789" s="1"/>
      <c r="P1789" s="1"/>
      <c r="AA1789" s="1"/>
      <c r="AB1789" s="1"/>
      <c r="AG1789" s="1"/>
      <c r="AH1789" s="1"/>
      <c r="AK1789" s="1"/>
      <c r="AL1789" s="1"/>
      <c r="AM1789" s="2"/>
      <c r="AN1789" s="2"/>
      <c r="AQ1789" s="1"/>
      <c r="BG1789" s="1"/>
    </row>
    <row r="1790" spans="15:59">
      <c r="O1790" s="1"/>
      <c r="P1790" s="1"/>
      <c r="AA1790" s="1"/>
      <c r="AB1790" s="1"/>
      <c r="AG1790" s="1"/>
      <c r="AH1790" s="1"/>
      <c r="AK1790" s="1"/>
      <c r="AL1790" s="1"/>
      <c r="AM1790" s="2"/>
      <c r="AN1790" s="2"/>
      <c r="AQ1790" s="1"/>
      <c r="BG1790" s="1"/>
    </row>
    <row r="1791" spans="15:59">
      <c r="O1791" s="1"/>
      <c r="P1791" s="1"/>
      <c r="AA1791" s="1"/>
      <c r="AB1791" s="1"/>
      <c r="AG1791" s="1"/>
      <c r="AH1791" s="1"/>
      <c r="AK1791" s="1"/>
      <c r="AL1791" s="1"/>
      <c r="AM1791" s="2"/>
      <c r="AN1791" s="2"/>
      <c r="AQ1791" s="1"/>
      <c r="BG1791" s="1"/>
    </row>
    <row r="1792" spans="15:59">
      <c r="O1792" s="1"/>
      <c r="P1792" s="1"/>
      <c r="AA1792" s="1"/>
      <c r="AB1792" s="1"/>
      <c r="AG1792" s="1"/>
      <c r="AH1792" s="1"/>
      <c r="AK1792" s="1"/>
      <c r="AL1792" s="1"/>
      <c r="AM1792" s="2"/>
      <c r="AN1792" s="2"/>
      <c r="AQ1792" s="1"/>
      <c r="BG1792" s="1"/>
    </row>
    <row r="1793" spans="15:59">
      <c r="O1793" s="1"/>
      <c r="P1793" s="1"/>
      <c r="AA1793" s="1"/>
      <c r="AB1793" s="1"/>
      <c r="AG1793" s="1"/>
      <c r="AH1793" s="1"/>
      <c r="AK1793" s="1"/>
      <c r="AL1793" s="1"/>
      <c r="AM1793" s="2"/>
      <c r="AN1793" s="2"/>
      <c r="AQ1793" s="1"/>
      <c r="BG1793" s="1"/>
    </row>
    <row r="1794" spans="15:59">
      <c r="O1794" s="1"/>
      <c r="P1794" s="1"/>
      <c r="AA1794" s="1"/>
      <c r="AB1794" s="1"/>
      <c r="AG1794" s="1"/>
      <c r="AH1794" s="1"/>
      <c r="AK1794" s="1"/>
      <c r="AL1794" s="1"/>
      <c r="AM1794" s="2"/>
      <c r="AN1794" s="2"/>
      <c r="AQ1794" s="1"/>
      <c r="BG1794" s="1"/>
    </row>
    <row r="1795" spans="15:59">
      <c r="O1795" s="1"/>
      <c r="P1795" s="1"/>
      <c r="AA1795" s="1"/>
      <c r="AB1795" s="1"/>
      <c r="AG1795" s="1"/>
      <c r="AH1795" s="1"/>
      <c r="AK1795" s="1"/>
      <c r="AL1795" s="1"/>
      <c r="AM1795" s="2"/>
      <c r="AN1795" s="2"/>
      <c r="AQ1795" s="1"/>
      <c r="BG1795" s="1"/>
    </row>
    <row r="1796" spans="15:59">
      <c r="AM1796" s="2"/>
      <c r="AN1796" s="2"/>
      <c r="AQ1796" s="1"/>
      <c r="BG1796" s="1"/>
    </row>
    <row r="1797" spans="15:59">
      <c r="AM1797" s="2"/>
      <c r="AN1797" s="2"/>
      <c r="AQ1797" s="1"/>
      <c r="BG1797" s="1"/>
    </row>
    <row r="1798" spans="15:59">
      <c r="AM1798" s="2"/>
      <c r="AN1798" s="2"/>
      <c r="AQ1798" s="1"/>
      <c r="BG1798" s="1"/>
    </row>
    <row r="1799" spans="15:59">
      <c r="AM1799" s="2"/>
      <c r="AN1799" s="2"/>
      <c r="AQ1799" s="1"/>
      <c r="BG1799" s="1"/>
    </row>
    <row r="1800" spans="15:59">
      <c r="AM1800" s="2"/>
      <c r="AN1800" s="2"/>
      <c r="AQ1800" s="1"/>
      <c r="BG1800" s="1"/>
    </row>
    <row r="1801" spans="15:59">
      <c r="AM1801" s="2"/>
      <c r="AN1801" s="2"/>
      <c r="AQ1801" s="1"/>
      <c r="BG1801" s="1"/>
    </row>
    <row r="1802" spans="15:59">
      <c r="AM1802" s="2"/>
      <c r="AN1802" s="2"/>
      <c r="AQ1802" s="1"/>
      <c r="BG1802" s="1"/>
    </row>
    <row r="1803" spans="15:59">
      <c r="AM1803" s="2"/>
      <c r="AN1803" s="2"/>
      <c r="AQ1803" s="1"/>
      <c r="BG1803" s="1"/>
    </row>
    <row r="1804" spans="15:59">
      <c r="AM1804" s="2"/>
      <c r="AN1804" s="2"/>
      <c r="AQ1804" s="1"/>
      <c r="BG1804" s="1"/>
    </row>
    <row r="1805" spans="15:59">
      <c r="AM1805" s="2"/>
      <c r="AN1805" s="2"/>
      <c r="AQ1805" s="1"/>
      <c r="BG1805" s="1"/>
    </row>
    <row r="1806" spans="15:59">
      <c r="AM1806" s="2"/>
      <c r="AN1806" s="2"/>
      <c r="AQ1806" s="1"/>
      <c r="BG1806" s="1"/>
    </row>
    <row r="1807" spans="15:59">
      <c r="AM1807" s="2"/>
      <c r="AN1807" s="2"/>
      <c r="AQ1807" s="1"/>
      <c r="BG1807" s="1"/>
    </row>
    <row r="1808" spans="15:59">
      <c r="AM1808" s="2"/>
      <c r="AN1808" s="2"/>
      <c r="AQ1808" s="1"/>
      <c r="BG1808" s="1"/>
    </row>
    <row r="1809" spans="39:59">
      <c r="AM1809" s="2"/>
      <c r="AN1809" s="2"/>
      <c r="AQ1809" s="1"/>
      <c r="BG1809" s="1"/>
    </row>
    <row r="1810" spans="39:59">
      <c r="AM1810" s="2"/>
      <c r="AN1810" s="2"/>
      <c r="AQ1810" s="1"/>
      <c r="BG1810" s="1"/>
    </row>
    <row r="1811" spans="39:59">
      <c r="AM1811" s="2"/>
      <c r="AN1811" s="2"/>
      <c r="AQ1811" s="1"/>
      <c r="BG1811" s="1"/>
    </row>
    <row r="1812" spans="39:59">
      <c r="AM1812" s="2"/>
      <c r="AN1812" s="2"/>
      <c r="AQ1812" s="1"/>
      <c r="BG1812" s="1"/>
    </row>
    <row r="1813" spans="39:59">
      <c r="AM1813" s="2"/>
      <c r="AN1813" s="2"/>
      <c r="AQ1813" s="1"/>
      <c r="BG1813" s="1"/>
    </row>
    <row r="1814" spans="39:59">
      <c r="AM1814" s="2"/>
      <c r="AN1814" s="2"/>
      <c r="AQ1814" s="1"/>
      <c r="BG1814" s="1"/>
    </row>
    <row r="1815" spans="39:59">
      <c r="AM1815" s="2"/>
      <c r="AN1815" s="2"/>
      <c r="AQ1815" s="1"/>
      <c r="BG1815" s="1"/>
    </row>
    <row r="1816" spans="39:59">
      <c r="AM1816" s="2"/>
      <c r="AN1816" s="2"/>
      <c r="AQ1816" s="1"/>
      <c r="BG1816" s="1"/>
    </row>
    <row r="1817" spans="39:59">
      <c r="AM1817" s="2"/>
      <c r="AN1817" s="2"/>
      <c r="AQ1817" s="1"/>
      <c r="BG1817" s="1"/>
    </row>
    <row r="1818" spans="39:59">
      <c r="AM1818" s="2"/>
      <c r="AN1818" s="2"/>
      <c r="AQ1818" s="1"/>
      <c r="BG1818" s="1"/>
    </row>
    <row r="1819" spans="39:59">
      <c r="AM1819" s="2"/>
      <c r="AN1819" s="2"/>
      <c r="AQ1819" s="1"/>
      <c r="BG1819" s="1"/>
    </row>
    <row r="1820" spans="39:59">
      <c r="AM1820" s="2"/>
      <c r="AN1820" s="2"/>
      <c r="AQ1820" s="1"/>
      <c r="BG1820" s="1"/>
    </row>
    <row r="1821" spans="39:59">
      <c r="AM1821" s="2"/>
      <c r="AN1821" s="2"/>
      <c r="AQ1821" s="1"/>
      <c r="BG1821" s="1"/>
    </row>
    <row r="1822" spans="39:59">
      <c r="AM1822" s="2"/>
      <c r="AN1822" s="2"/>
      <c r="AQ1822" s="1"/>
      <c r="BG1822" s="1"/>
    </row>
    <row r="1823" spans="39:59">
      <c r="AM1823" s="2"/>
      <c r="AN1823" s="2"/>
      <c r="AQ1823" s="1"/>
      <c r="BG1823" s="1"/>
    </row>
    <row r="1824" spans="39:59">
      <c r="AM1824" s="2"/>
      <c r="AN1824" s="2"/>
      <c r="AQ1824" s="1"/>
      <c r="BG1824" s="1"/>
    </row>
    <row r="1825" spans="39:59">
      <c r="AM1825" s="2"/>
      <c r="AN1825" s="2"/>
      <c r="AQ1825" s="1"/>
      <c r="BG1825" s="1"/>
    </row>
    <row r="1826" spans="39:59">
      <c r="AM1826" s="2"/>
      <c r="AN1826" s="2"/>
      <c r="AQ1826" s="1"/>
      <c r="BG1826" s="1"/>
    </row>
    <row r="1827" spans="39:59">
      <c r="AM1827" s="2"/>
      <c r="AN1827" s="2"/>
      <c r="AQ1827" s="1"/>
      <c r="BG1827" s="1"/>
    </row>
    <row r="1828" spans="39:59">
      <c r="AM1828" s="2"/>
      <c r="AN1828" s="2"/>
      <c r="AQ1828" s="1"/>
      <c r="BG1828" s="1"/>
    </row>
    <row r="1829" spans="39:59">
      <c r="AM1829" s="2"/>
      <c r="AN1829" s="2"/>
      <c r="AQ1829" s="1"/>
      <c r="BG1829" s="1"/>
    </row>
    <row r="1830" spans="39:59">
      <c r="AM1830" s="2"/>
      <c r="AN1830" s="2"/>
      <c r="AQ1830" s="1"/>
      <c r="BG1830" s="1"/>
    </row>
    <row r="1831" spans="39:59">
      <c r="AM1831" s="2"/>
      <c r="AN1831" s="2"/>
      <c r="AQ1831" s="1"/>
      <c r="BG1831" s="1"/>
    </row>
    <row r="1832" spans="39:59">
      <c r="AM1832" s="2"/>
      <c r="AN1832" s="2"/>
      <c r="AQ1832" s="1"/>
      <c r="BG1832" s="1"/>
    </row>
    <row r="1833" spans="39:59">
      <c r="AM1833" s="2"/>
      <c r="AN1833" s="2"/>
      <c r="AQ1833" s="1"/>
      <c r="BG1833" s="1"/>
    </row>
    <row r="1834" spans="39:59">
      <c r="AM1834" s="2"/>
      <c r="AN1834" s="2"/>
      <c r="AQ1834" s="1"/>
      <c r="BG1834" s="1"/>
    </row>
    <row r="1835" spans="39:59">
      <c r="AM1835" s="2"/>
      <c r="AN1835" s="2"/>
      <c r="AQ1835" s="1"/>
      <c r="BG1835" s="1"/>
    </row>
    <row r="1836" spans="39:59">
      <c r="AM1836" s="2"/>
      <c r="AN1836" s="2"/>
      <c r="AQ1836" s="1"/>
      <c r="BG1836" s="1"/>
    </row>
    <row r="1837" spans="39:59">
      <c r="AM1837" s="2"/>
      <c r="AN1837" s="2"/>
      <c r="AQ1837" s="1"/>
      <c r="BG1837" s="1"/>
    </row>
    <row r="1838" spans="39:59">
      <c r="AM1838" s="2"/>
      <c r="AN1838" s="2"/>
      <c r="AQ1838" s="1"/>
      <c r="BG1838" s="1"/>
    </row>
    <row r="1839" spans="39:59">
      <c r="AM1839" s="2"/>
      <c r="AN1839" s="2"/>
      <c r="AQ1839" s="1"/>
      <c r="BG1839" s="1"/>
    </row>
    <row r="1840" spans="39:59">
      <c r="AM1840" s="2"/>
      <c r="AN1840" s="2"/>
      <c r="AQ1840" s="1"/>
      <c r="BG1840" s="1"/>
    </row>
    <row r="1841" spans="39:59">
      <c r="AM1841" s="2"/>
      <c r="AN1841" s="2"/>
      <c r="AQ1841" s="1"/>
      <c r="BG1841" s="1"/>
    </row>
    <row r="1842" spans="39:59">
      <c r="AM1842" s="2"/>
      <c r="AN1842" s="2"/>
      <c r="AQ1842" s="1"/>
      <c r="BG1842" s="1"/>
    </row>
    <row r="1843" spans="39:59">
      <c r="AM1843" s="2"/>
      <c r="AN1843" s="2"/>
      <c r="AQ1843" s="1"/>
      <c r="BG1843" s="1"/>
    </row>
    <row r="1844" spans="39:59">
      <c r="AM1844" s="2"/>
      <c r="AN1844" s="2"/>
      <c r="AQ1844" s="1"/>
      <c r="BG1844" s="1"/>
    </row>
    <row r="1845" spans="39:59">
      <c r="AM1845" s="2"/>
      <c r="AN1845" s="2"/>
      <c r="AQ1845" s="1"/>
      <c r="BG1845" s="1"/>
    </row>
    <row r="1846" spans="39:59">
      <c r="AM1846" s="2"/>
      <c r="AN1846" s="2"/>
      <c r="AQ1846" s="1"/>
      <c r="BG1846" s="1"/>
    </row>
    <row r="1847" spans="39:59">
      <c r="AM1847" s="2"/>
      <c r="AN1847" s="2"/>
      <c r="AQ1847" s="1"/>
      <c r="BG1847" s="1"/>
    </row>
    <row r="1848" spans="39:59">
      <c r="AM1848" s="2"/>
      <c r="AN1848" s="2"/>
      <c r="AQ1848" s="1"/>
      <c r="BG1848" s="1"/>
    </row>
    <row r="1849" spans="39:59">
      <c r="AM1849" s="2"/>
      <c r="AN1849" s="2"/>
      <c r="AQ1849" s="1"/>
      <c r="BG1849" s="1"/>
    </row>
    <row r="1850" spans="39:59">
      <c r="AM1850" s="2"/>
      <c r="AN1850" s="2"/>
      <c r="AQ1850" s="1"/>
      <c r="BG1850" s="1"/>
    </row>
    <row r="1851" spans="39:59">
      <c r="AM1851" s="2"/>
      <c r="AN1851" s="2"/>
      <c r="AQ1851" s="1"/>
      <c r="BG1851" s="1"/>
    </row>
    <row r="1852" spans="39:59">
      <c r="AM1852" s="2"/>
      <c r="AN1852" s="2"/>
      <c r="AQ1852" s="1"/>
      <c r="BG1852" s="1"/>
    </row>
    <row r="1853" spans="39:59">
      <c r="AM1853" s="2"/>
      <c r="AN1853" s="2"/>
      <c r="AQ1853" s="1"/>
      <c r="BG1853" s="1"/>
    </row>
    <row r="1854" spans="39:59">
      <c r="AM1854" s="2"/>
      <c r="AN1854" s="2"/>
      <c r="AQ1854" s="1"/>
      <c r="BG1854" s="1"/>
    </row>
    <row r="1855" spans="39:59">
      <c r="AM1855" s="2"/>
      <c r="AN1855" s="2"/>
      <c r="AQ1855" s="1"/>
      <c r="BG1855" s="1"/>
    </row>
    <row r="1856" spans="39:59">
      <c r="AM1856" s="2"/>
      <c r="AN1856" s="2"/>
      <c r="AQ1856" s="1"/>
      <c r="BG1856" s="1"/>
    </row>
    <row r="1857" spans="39:59">
      <c r="AM1857" s="2"/>
      <c r="AN1857" s="2"/>
      <c r="AQ1857" s="1"/>
      <c r="BG1857" s="1"/>
    </row>
    <row r="1858" spans="39:59">
      <c r="AM1858" s="2"/>
      <c r="AN1858" s="2"/>
      <c r="AQ1858" s="1"/>
      <c r="BG1858" s="1"/>
    </row>
    <row r="1859" spans="39:59">
      <c r="AM1859" s="2"/>
      <c r="AN1859" s="2"/>
      <c r="AQ1859" s="1"/>
      <c r="BG1859" s="1"/>
    </row>
    <row r="1860" spans="39:59">
      <c r="AM1860" s="2"/>
      <c r="AN1860" s="2"/>
      <c r="AQ1860" s="1"/>
      <c r="BG1860" s="1"/>
    </row>
    <row r="1861" spans="39:59">
      <c r="AM1861" s="2"/>
      <c r="AN1861" s="2"/>
      <c r="AQ1861" s="1"/>
      <c r="BG1861" s="1"/>
    </row>
    <row r="1862" spans="39:59">
      <c r="AM1862" s="2"/>
      <c r="AN1862" s="2"/>
      <c r="AQ1862" s="1"/>
      <c r="BG1862" s="1"/>
    </row>
    <row r="1863" spans="39:59">
      <c r="AM1863" s="2"/>
      <c r="AN1863" s="2"/>
      <c r="AQ1863" s="1"/>
      <c r="BG1863" s="1"/>
    </row>
    <row r="1864" spans="39:59">
      <c r="AM1864" s="2"/>
      <c r="AN1864" s="2"/>
      <c r="AQ1864" s="1"/>
      <c r="BG1864" s="1"/>
    </row>
    <row r="1865" spans="39:59">
      <c r="AM1865" s="2"/>
      <c r="AN1865" s="2"/>
      <c r="AQ1865" s="1"/>
      <c r="BG1865" s="1"/>
    </row>
    <row r="1866" spans="39:59">
      <c r="AM1866" s="2"/>
      <c r="AN1866" s="2"/>
      <c r="AQ1866" s="1"/>
      <c r="BG1866" s="1"/>
    </row>
    <row r="1867" spans="39:59">
      <c r="AM1867" s="2"/>
      <c r="AN1867" s="2"/>
      <c r="AQ1867" s="1"/>
      <c r="BG1867" s="1"/>
    </row>
    <row r="1868" spans="39:59">
      <c r="AM1868" s="2"/>
      <c r="AN1868" s="2"/>
      <c r="AQ1868" s="1"/>
      <c r="BG1868" s="1"/>
    </row>
    <row r="1869" spans="39:59">
      <c r="AM1869" s="2"/>
      <c r="AN1869" s="2"/>
      <c r="AQ1869" s="1"/>
      <c r="BG1869" s="1"/>
    </row>
    <row r="1870" spans="39:59">
      <c r="AM1870" s="2"/>
      <c r="AN1870" s="2"/>
      <c r="AQ1870" s="1"/>
      <c r="BG1870" s="1"/>
    </row>
    <row r="1871" spans="39:59">
      <c r="AM1871" s="2"/>
      <c r="AN1871" s="2"/>
      <c r="AQ1871" s="1"/>
      <c r="BG1871" s="1"/>
    </row>
    <row r="1872" spans="39:59">
      <c r="AM1872" s="2"/>
      <c r="AN1872" s="2"/>
      <c r="AQ1872" s="1"/>
      <c r="BG1872" s="1"/>
    </row>
    <row r="1873" spans="39:59">
      <c r="AM1873" s="2"/>
      <c r="AN1873" s="2"/>
      <c r="AQ1873" s="1"/>
      <c r="BG1873" s="1"/>
    </row>
    <row r="1874" spans="39:59">
      <c r="AM1874" s="2"/>
      <c r="AN1874" s="2"/>
      <c r="AQ1874" s="1"/>
      <c r="BG1874" s="1"/>
    </row>
    <row r="1875" spans="39:59">
      <c r="AM1875" s="2"/>
      <c r="AN1875" s="2"/>
      <c r="AQ1875" s="1"/>
      <c r="BG1875" s="1"/>
    </row>
    <row r="1876" spans="39:59">
      <c r="AM1876" s="2"/>
      <c r="AN1876" s="2"/>
      <c r="AQ1876" s="1"/>
      <c r="BG1876" s="1"/>
    </row>
    <row r="1877" spans="39:59">
      <c r="AM1877" s="2"/>
      <c r="AN1877" s="2"/>
      <c r="AQ1877" s="1"/>
      <c r="BG1877" s="1"/>
    </row>
    <row r="1878" spans="39:59">
      <c r="AM1878" s="2"/>
      <c r="AN1878" s="2"/>
      <c r="AQ1878" s="1"/>
      <c r="BG1878" s="1"/>
    </row>
    <row r="1879" spans="39:59">
      <c r="AM1879" s="2"/>
      <c r="AN1879" s="2"/>
      <c r="AQ1879" s="1"/>
      <c r="BG1879" s="1"/>
    </row>
    <row r="1880" spans="39:59">
      <c r="AM1880" s="2"/>
      <c r="AN1880" s="2"/>
      <c r="AQ1880" s="1"/>
      <c r="BG1880" s="1"/>
    </row>
    <row r="1881" spans="39:59">
      <c r="AM1881" s="2"/>
      <c r="AN1881" s="2"/>
      <c r="AQ1881" s="1"/>
      <c r="BG1881" s="1"/>
    </row>
    <row r="1882" spans="39:59">
      <c r="AM1882" s="2"/>
      <c r="AN1882" s="2"/>
      <c r="AQ1882" s="1"/>
      <c r="BG1882" s="1"/>
    </row>
    <row r="1883" spans="39:59">
      <c r="AM1883" s="2"/>
      <c r="AN1883" s="2"/>
      <c r="AQ1883" s="1"/>
      <c r="BG1883" s="1"/>
    </row>
    <row r="1884" spans="39:59">
      <c r="AM1884" s="2"/>
      <c r="AN1884" s="2"/>
      <c r="AQ1884" s="1"/>
      <c r="BG1884" s="1"/>
    </row>
    <row r="1885" spans="39:59">
      <c r="AM1885" s="2"/>
      <c r="AN1885" s="2"/>
      <c r="AQ1885" s="1"/>
      <c r="BG1885" s="1"/>
    </row>
    <row r="1886" spans="39:59">
      <c r="AM1886" s="2"/>
      <c r="AN1886" s="2"/>
      <c r="AQ1886" s="1"/>
      <c r="BG1886" s="1"/>
    </row>
    <row r="1887" spans="39:59">
      <c r="AM1887" s="2"/>
      <c r="AN1887" s="2"/>
      <c r="AQ1887" s="1"/>
      <c r="BG1887" s="1"/>
    </row>
    <row r="1888" spans="39:59">
      <c r="AM1888" s="2"/>
      <c r="AN1888" s="2"/>
      <c r="AQ1888" s="1"/>
      <c r="BG1888" s="1"/>
    </row>
    <row r="1889" spans="39:59">
      <c r="AM1889" s="2"/>
      <c r="AN1889" s="2"/>
      <c r="AQ1889" s="1"/>
      <c r="BG1889" s="1"/>
    </row>
    <row r="1890" spans="39:59">
      <c r="AM1890" s="2"/>
      <c r="AN1890" s="2"/>
      <c r="AQ1890" s="1"/>
      <c r="BG1890" s="1"/>
    </row>
    <row r="1891" spans="39:59">
      <c r="AM1891" s="2"/>
      <c r="AN1891" s="2"/>
      <c r="AQ1891" s="1"/>
      <c r="BG1891" s="1"/>
    </row>
    <row r="1892" spans="39:59">
      <c r="AM1892" s="2"/>
      <c r="AN1892" s="2"/>
      <c r="AQ1892" s="1"/>
      <c r="BG1892" s="1"/>
    </row>
    <row r="1893" spans="39:59">
      <c r="AM1893" s="2"/>
      <c r="AN1893" s="2"/>
      <c r="AQ1893" s="1"/>
      <c r="BG1893" s="1"/>
    </row>
    <row r="1894" spans="39:59">
      <c r="AM1894" s="2"/>
      <c r="AN1894" s="2"/>
      <c r="AQ1894" s="1"/>
      <c r="BG1894" s="1"/>
    </row>
    <row r="1895" spans="39:59">
      <c r="AM1895" s="2"/>
      <c r="AN1895" s="2"/>
      <c r="AQ1895" s="1"/>
      <c r="BG1895" s="1"/>
    </row>
    <row r="1896" spans="39:59">
      <c r="AM1896" s="2"/>
      <c r="AN1896" s="2"/>
      <c r="AQ1896" s="1"/>
      <c r="BG1896" s="1"/>
    </row>
    <row r="1897" spans="39:59">
      <c r="AM1897" s="2"/>
      <c r="AN1897" s="2"/>
      <c r="AQ1897" s="1"/>
      <c r="BG1897" s="1"/>
    </row>
    <row r="1898" spans="39:59">
      <c r="AM1898" s="2"/>
      <c r="AN1898" s="2"/>
      <c r="AQ1898" s="1"/>
      <c r="BG1898" s="1"/>
    </row>
    <row r="1899" spans="39:59">
      <c r="AM1899" s="2"/>
      <c r="AN1899" s="2"/>
      <c r="AQ1899" s="1"/>
      <c r="BG1899" s="1"/>
    </row>
    <row r="1900" spans="39:59">
      <c r="AM1900" s="2"/>
      <c r="AN1900" s="2"/>
      <c r="AQ1900" s="1"/>
      <c r="BG1900" s="1"/>
    </row>
    <row r="1901" spans="39:59">
      <c r="AM1901" s="2"/>
      <c r="AN1901" s="2"/>
      <c r="AQ1901" s="1"/>
      <c r="BG1901" s="1"/>
    </row>
    <row r="1902" spans="39:59">
      <c r="AM1902" s="2"/>
      <c r="AN1902" s="2"/>
      <c r="AQ1902" s="1"/>
      <c r="BG1902" s="1"/>
    </row>
    <row r="1903" spans="39:59">
      <c r="AM1903" s="2"/>
      <c r="AN1903" s="2"/>
      <c r="AQ1903" s="1"/>
      <c r="BG1903" s="1"/>
    </row>
    <row r="1904" spans="39:59">
      <c r="AM1904" s="2"/>
      <c r="AN1904" s="2"/>
      <c r="AQ1904" s="1"/>
      <c r="BG1904" s="1"/>
    </row>
    <row r="1905" spans="39:59">
      <c r="AM1905" s="2"/>
      <c r="AN1905" s="2"/>
      <c r="AQ1905" s="1"/>
      <c r="BG1905" s="1"/>
    </row>
    <row r="1906" spans="39:59">
      <c r="AM1906" s="2"/>
      <c r="AN1906" s="2"/>
      <c r="AQ1906" s="1"/>
      <c r="BG1906" s="1"/>
    </row>
    <row r="1907" spans="39:59">
      <c r="AM1907" s="2"/>
      <c r="AN1907" s="2"/>
      <c r="AQ1907" s="1"/>
      <c r="BG1907" s="1"/>
    </row>
    <row r="1908" spans="39:59">
      <c r="AM1908" s="2"/>
      <c r="AN1908" s="2"/>
      <c r="AQ1908" s="1"/>
      <c r="BG1908" s="1"/>
    </row>
    <row r="1909" spans="39:59">
      <c r="AM1909" s="2"/>
      <c r="AN1909" s="2"/>
      <c r="AQ1909" s="1"/>
      <c r="BG1909" s="1"/>
    </row>
    <row r="1910" spans="39:59">
      <c r="AM1910" s="2"/>
      <c r="AN1910" s="2"/>
      <c r="AQ1910" s="1"/>
      <c r="BG1910" s="1"/>
    </row>
    <row r="1911" spans="39:59">
      <c r="AM1911" s="2"/>
      <c r="AN1911" s="2"/>
      <c r="AQ1911" s="1"/>
      <c r="BG1911" s="1"/>
    </row>
    <row r="1912" spans="39:59">
      <c r="AM1912" s="2"/>
      <c r="AN1912" s="2"/>
      <c r="AQ1912" s="1"/>
      <c r="BG1912" s="1"/>
    </row>
    <row r="1913" spans="39:59">
      <c r="AM1913" s="2"/>
      <c r="AN1913" s="2"/>
      <c r="AQ1913" s="1"/>
      <c r="BG1913" s="1"/>
    </row>
    <row r="1914" spans="39:59">
      <c r="AM1914" s="2"/>
      <c r="AN1914" s="2"/>
      <c r="AQ1914" s="1"/>
      <c r="BG1914" s="1"/>
    </row>
    <row r="1915" spans="39:59">
      <c r="AM1915" s="2"/>
      <c r="AN1915" s="2"/>
      <c r="AQ1915" s="1"/>
      <c r="BG1915" s="1"/>
    </row>
    <row r="1916" spans="39:59">
      <c r="AM1916" s="2"/>
      <c r="AN1916" s="2"/>
      <c r="AQ1916" s="1"/>
      <c r="BG1916" s="1"/>
    </row>
    <row r="1917" spans="39:59">
      <c r="AM1917" s="2"/>
      <c r="AN1917" s="2"/>
      <c r="AQ1917" s="1"/>
      <c r="BG1917" s="1"/>
    </row>
    <row r="1918" spans="39:59">
      <c r="AM1918" s="2"/>
      <c r="AN1918" s="2"/>
      <c r="AQ1918" s="1"/>
      <c r="BG1918" s="1"/>
    </row>
    <row r="1919" spans="39:59">
      <c r="AM1919" s="2"/>
      <c r="AN1919" s="2"/>
      <c r="AQ1919" s="1"/>
      <c r="BG1919" s="1"/>
    </row>
    <row r="1920" spans="39:59">
      <c r="AM1920" s="2"/>
      <c r="AN1920" s="2"/>
      <c r="AQ1920" s="1"/>
      <c r="BG1920" s="1"/>
    </row>
    <row r="1921" spans="39:59">
      <c r="AM1921" s="2"/>
      <c r="AN1921" s="2"/>
      <c r="AQ1921" s="1"/>
      <c r="BG1921" s="1"/>
    </row>
    <row r="1922" spans="39:59">
      <c r="AM1922" s="2"/>
      <c r="AN1922" s="2"/>
      <c r="AQ1922" s="1"/>
      <c r="BG1922" s="1"/>
    </row>
    <row r="1923" spans="39:59">
      <c r="AM1923" s="2"/>
      <c r="AN1923" s="2"/>
      <c r="AQ1923" s="1"/>
      <c r="BG1923" s="1"/>
    </row>
    <row r="1924" spans="39:59">
      <c r="AM1924" s="2"/>
      <c r="AN1924" s="2"/>
      <c r="AQ1924" s="1"/>
      <c r="BG1924" s="1"/>
    </row>
    <row r="1925" spans="39:59">
      <c r="AM1925" s="2"/>
      <c r="AN1925" s="2"/>
      <c r="AQ1925" s="1"/>
      <c r="BG1925" s="1"/>
    </row>
    <row r="1926" spans="39:59">
      <c r="AM1926" s="2"/>
      <c r="AN1926" s="2"/>
      <c r="AQ1926" s="1"/>
      <c r="BG1926" s="1"/>
    </row>
    <row r="1927" spans="39:59">
      <c r="AM1927" s="2"/>
      <c r="AN1927" s="2"/>
      <c r="AQ1927" s="1"/>
      <c r="BG1927" s="1"/>
    </row>
    <row r="1928" spans="39:59">
      <c r="AM1928" s="2"/>
      <c r="AN1928" s="2"/>
      <c r="AQ1928" s="1"/>
      <c r="BG1928" s="1"/>
    </row>
    <row r="1929" spans="39:59">
      <c r="AM1929" s="2"/>
      <c r="AN1929" s="2"/>
      <c r="AQ1929" s="1"/>
      <c r="BG1929" s="1"/>
    </row>
    <row r="1930" spans="39:59">
      <c r="AM1930" s="2"/>
      <c r="AN1930" s="2"/>
      <c r="AQ1930" s="1"/>
      <c r="BG1930" s="1"/>
    </row>
    <row r="1931" spans="39:59">
      <c r="AM1931" s="2"/>
      <c r="AN1931" s="2"/>
      <c r="AQ1931" s="1"/>
      <c r="BG1931" s="1"/>
    </row>
    <row r="1932" spans="39:59">
      <c r="AM1932" s="2"/>
      <c r="AN1932" s="2"/>
      <c r="AQ1932" s="1"/>
      <c r="BG1932" s="1"/>
    </row>
    <row r="1933" spans="39:59">
      <c r="AM1933" s="2"/>
      <c r="AN1933" s="2"/>
      <c r="AQ1933" s="1"/>
      <c r="BG1933" s="1"/>
    </row>
    <row r="1934" spans="39:59">
      <c r="AM1934" s="2"/>
      <c r="AN1934" s="2"/>
      <c r="AQ1934" s="1"/>
      <c r="BG1934" s="1"/>
    </row>
    <row r="1935" spans="39:59">
      <c r="AM1935" s="2"/>
      <c r="AN1935" s="2"/>
      <c r="AQ1935" s="1"/>
      <c r="BG1935" s="1"/>
    </row>
    <row r="1936" spans="39:59">
      <c r="AM1936" s="2"/>
      <c r="AN1936" s="2"/>
      <c r="AQ1936" s="1"/>
      <c r="BG1936" s="1"/>
    </row>
    <row r="1937" spans="39:59">
      <c r="AM1937" s="2"/>
      <c r="AN1937" s="2"/>
      <c r="AQ1937" s="1"/>
      <c r="BG1937" s="1"/>
    </row>
    <row r="1938" spans="39:59">
      <c r="AM1938" s="2"/>
      <c r="AN1938" s="2"/>
      <c r="AQ1938" s="1"/>
      <c r="BG1938" s="1"/>
    </row>
    <row r="1939" spans="39:59">
      <c r="AM1939" s="2"/>
      <c r="AN1939" s="2"/>
      <c r="AQ1939" s="1"/>
      <c r="BG1939" s="1"/>
    </row>
    <row r="1940" spans="39:59">
      <c r="AM1940" s="2"/>
      <c r="AN1940" s="2"/>
      <c r="AQ1940" s="1"/>
      <c r="BG1940" s="1"/>
    </row>
    <row r="1941" spans="39:59">
      <c r="AM1941" s="2"/>
      <c r="AN1941" s="2"/>
      <c r="AQ1941" s="1"/>
      <c r="BG1941" s="1"/>
    </row>
    <row r="1942" spans="39:59">
      <c r="AM1942" s="2"/>
      <c r="AN1942" s="2"/>
      <c r="AQ1942" s="1"/>
      <c r="BG1942" s="1"/>
    </row>
    <row r="1943" spans="39:59">
      <c r="AM1943" s="2"/>
      <c r="AN1943" s="2"/>
      <c r="AQ1943" s="1"/>
      <c r="BG1943" s="1"/>
    </row>
    <row r="1944" spans="39:59">
      <c r="AM1944" s="2"/>
      <c r="AN1944" s="2"/>
      <c r="AQ1944" s="1"/>
      <c r="BG1944" s="1"/>
    </row>
    <row r="1945" spans="39:59">
      <c r="AM1945" s="2"/>
      <c r="AN1945" s="2"/>
      <c r="AQ1945" s="1"/>
      <c r="BG1945" s="1"/>
    </row>
    <row r="1946" spans="39:59">
      <c r="AM1946" s="2"/>
      <c r="AN1946" s="2"/>
      <c r="AQ1946" s="1"/>
      <c r="BG1946" s="1"/>
    </row>
    <row r="1947" spans="39:59">
      <c r="AM1947" s="2"/>
      <c r="AN1947" s="2"/>
      <c r="AQ1947" s="1"/>
      <c r="BG1947" s="1"/>
    </row>
    <row r="1948" spans="39:59">
      <c r="AM1948" s="2"/>
      <c r="AN1948" s="2"/>
      <c r="AQ1948" s="1"/>
      <c r="BG1948" s="1"/>
    </row>
    <row r="1949" spans="39:59">
      <c r="AM1949" s="2"/>
      <c r="AN1949" s="2"/>
      <c r="AQ1949" s="1"/>
      <c r="BG1949" s="1"/>
    </row>
    <row r="1950" spans="39:59">
      <c r="AM1950" s="2"/>
      <c r="AN1950" s="2"/>
      <c r="AQ1950" s="1"/>
      <c r="BG1950" s="1"/>
    </row>
    <row r="1951" spans="39:59">
      <c r="AM1951" s="2"/>
      <c r="AN1951" s="2"/>
      <c r="AQ1951" s="1"/>
      <c r="BG1951" s="1"/>
    </row>
    <row r="1952" spans="39:59">
      <c r="AM1952" s="2"/>
      <c r="AN1952" s="2"/>
      <c r="AQ1952" s="1"/>
      <c r="BG1952" s="1"/>
    </row>
    <row r="1953" spans="39:59">
      <c r="AM1953" s="2"/>
      <c r="AN1953" s="2"/>
      <c r="AQ1953" s="1"/>
      <c r="BG1953" s="1"/>
    </row>
    <row r="1954" spans="39:59">
      <c r="AM1954" s="2"/>
      <c r="AN1954" s="2"/>
      <c r="AQ1954" s="1"/>
      <c r="BG1954" s="1"/>
    </row>
    <row r="1955" spans="39:59">
      <c r="AM1955" s="2"/>
      <c r="AN1955" s="2"/>
      <c r="AQ1955" s="1"/>
      <c r="BG1955" s="1"/>
    </row>
    <row r="1956" spans="39:59">
      <c r="AM1956" s="2"/>
      <c r="AN1956" s="2"/>
      <c r="AQ1956" s="1"/>
      <c r="BG1956" s="1"/>
    </row>
    <row r="1957" spans="39:59">
      <c r="AM1957" s="2"/>
      <c r="AN1957" s="2"/>
      <c r="AQ1957" s="1"/>
      <c r="BG1957" s="1"/>
    </row>
    <row r="1958" spans="39:59">
      <c r="AM1958" s="2"/>
      <c r="AN1958" s="2"/>
      <c r="AQ1958" s="1"/>
      <c r="BG1958" s="1"/>
    </row>
    <row r="1959" spans="39:59">
      <c r="AM1959" s="2"/>
      <c r="AN1959" s="2"/>
      <c r="AQ1959" s="1"/>
      <c r="BG1959" s="1"/>
    </row>
    <row r="1960" spans="39:59">
      <c r="AM1960" s="2"/>
      <c r="AN1960" s="2"/>
      <c r="AQ1960" s="1"/>
      <c r="BG1960" s="1"/>
    </row>
    <row r="1961" spans="39:59">
      <c r="AM1961" s="2"/>
      <c r="AN1961" s="2"/>
      <c r="AQ1961" s="1"/>
      <c r="BG1961" s="1"/>
    </row>
    <row r="1962" spans="39:59">
      <c r="AM1962" s="2"/>
      <c r="AN1962" s="2"/>
      <c r="AQ1962" s="1"/>
      <c r="BG1962" s="1"/>
    </row>
    <row r="1963" spans="39:59">
      <c r="AM1963" s="2"/>
      <c r="AN1963" s="2"/>
      <c r="AQ1963" s="1"/>
      <c r="BG1963" s="1"/>
    </row>
    <row r="1964" spans="39:59">
      <c r="AM1964" s="2"/>
      <c r="AN1964" s="2"/>
      <c r="AQ1964" s="1"/>
      <c r="BG1964" s="1"/>
    </row>
    <row r="1965" spans="39:59">
      <c r="AM1965" s="2"/>
      <c r="AN1965" s="2"/>
      <c r="AQ1965" s="1"/>
      <c r="BG1965" s="1"/>
    </row>
    <row r="1966" spans="39:59">
      <c r="AM1966" s="2"/>
      <c r="AN1966" s="2"/>
      <c r="AQ1966" s="1"/>
      <c r="BG1966" s="1"/>
    </row>
    <row r="1967" spans="39:59">
      <c r="AM1967" s="2"/>
      <c r="AN1967" s="2"/>
      <c r="AQ1967" s="1"/>
      <c r="BG1967" s="1"/>
    </row>
    <row r="1968" spans="39:59">
      <c r="AM1968" s="2"/>
      <c r="AN1968" s="2"/>
      <c r="AQ1968" s="1"/>
      <c r="BG1968" s="1"/>
    </row>
    <row r="1969" spans="39:59">
      <c r="AM1969" s="2"/>
      <c r="AN1969" s="2"/>
      <c r="AQ1969" s="1"/>
      <c r="BG1969" s="1"/>
    </row>
    <row r="1970" spans="39:59">
      <c r="AM1970" s="2"/>
      <c r="AN1970" s="2"/>
      <c r="AQ1970" s="1"/>
      <c r="BG1970" s="1"/>
    </row>
    <row r="1971" spans="39:59">
      <c r="AM1971" s="2"/>
      <c r="AN1971" s="2"/>
      <c r="AQ1971" s="1"/>
      <c r="BG1971" s="1"/>
    </row>
    <row r="1972" spans="39:59">
      <c r="AM1972" s="2"/>
      <c r="AN1972" s="2"/>
      <c r="AQ1972" s="1"/>
      <c r="BG1972" s="1"/>
    </row>
    <row r="1973" spans="39:59">
      <c r="AM1973" s="2"/>
      <c r="AN1973" s="2"/>
      <c r="AQ1973" s="1"/>
      <c r="BG1973" s="1"/>
    </row>
    <row r="1974" spans="39:59">
      <c r="AM1974" s="2"/>
      <c r="AN1974" s="2"/>
      <c r="AQ1974" s="1"/>
      <c r="BG1974" s="1"/>
    </row>
    <row r="1975" spans="39:59">
      <c r="AM1975" s="2"/>
      <c r="AN1975" s="2"/>
      <c r="AQ1975" s="1"/>
      <c r="BG1975" s="1"/>
    </row>
    <row r="1976" spans="39:59">
      <c r="AM1976" s="2"/>
      <c r="AN1976" s="2"/>
      <c r="AQ1976" s="1"/>
      <c r="BG1976" s="1"/>
    </row>
    <row r="1977" spans="39:59">
      <c r="AM1977" s="2"/>
      <c r="AN1977" s="2"/>
      <c r="AQ1977" s="1"/>
      <c r="BG1977" s="1"/>
    </row>
    <row r="1978" spans="39:59">
      <c r="AM1978" s="2"/>
      <c r="AN1978" s="2"/>
      <c r="AQ1978" s="1"/>
      <c r="BG1978" s="1"/>
    </row>
    <row r="1979" spans="39:59">
      <c r="AM1979" s="2"/>
      <c r="AN1979" s="2"/>
      <c r="AQ1979" s="1"/>
      <c r="BG1979" s="1"/>
    </row>
    <row r="1980" spans="39:59">
      <c r="AM1980" s="2"/>
      <c r="AN1980" s="2"/>
      <c r="AQ1980" s="1"/>
      <c r="BG1980" s="1"/>
    </row>
    <row r="1981" spans="39:59">
      <c r="AM1981" s="2"/>
      <c r="AN1981" s="2"/>
      <c r="AQ1981" s="1"/>
      <c r="BG1981" s="1"/>
    </row>
    <row r="1982" spans="39:59">
      <c r="AM1982" s="2"/>
      <c r="AN1982" s="2"/>
      <c r="AQ1982" s="1"/>
      <c r="BG1982" s="1"/>
    </row>
    <row r="1983" spans="39:59">
      <c r="AM1983" s="2"/>
      <c r="AN1983" s="2"/>
      <c r="AQ1983" s="1"/>
      <c r="BG1983" s="1"/>
    </row>
    <row r="1984" spans="39:59">
      <c r="AM1984" s="2"/>
      <c r="AN1984" s="2"/>
      <c r="AQ1984" s="1"/>
      <c r="BG1984" s="1"/>
    </row>
    <row r="1985" spans="39:59">
      <c r="AM1985" s="2"/>
      <c r="AN1985" s="2"/>
      <c r="AQ1985" s="1"/>
      <c r="BG1985" s="1"/>
    </row>
    <row r="1986" spans="39:59">
      <c r="AM1986" s="2"/>
      <c r="AN1986" s="2"/>
      <c r="AQ1986" s="1"/>
      <c r="BG1986" s="1"/>
    </row>
    <row r="1987" spans="39:59">
      <c r="AM1987" s="2"/>
      <c r="AN1987" s="2"/>
      <c r="AQ1987" s="1"/>
      <c r="BG1987" s="1"/>
    </row>
    <row r="1988" spans="39:59">
      <c r="AM1988" s="2"/>
      <c r="AN1988" s="2"/>
      <c r="AQ1988" s="1"/>
      <c r="BG1988" s="1"/>
    </row>
    <row r="1989" spans="39:59">
      <c r="AM1989" s="2"/>
      <c r="AN1989" s="2"/>
      <c r="AQ1989" s="1"/>
      <c r="BG1989" s="1"/>
    </row>
    <row r="1990" spans="39:59">
      <c r="AM1990" s="2"/>
      <c r="AN1990" s="2"/>
      <c r="AQ1990" s="1"/>
      <c r="BG1990" s="1"/>
    </row>
    <row r="1991" spans="39:59">
      <c r="AM1991" s="2"/>
      <c r="AN1991" s="2"/>
      <c r="AQ1991" s="1"/>
      <c r="BG1991" s="1"/>
    </row>
    <row r="1992" spans="39:59">
      <c r="AM1992" s="2"/>
      <c r="AN1992" s="2"/>
      <c r="AQ1992" s="1"/>
      <c r="BG1992" s="1"/>
    </row>
    <row r="1993" spans="39:59">
      <c r="AM1993" s="2"/>
      <c r="AN1993" s="2"/>
      <c r="AQ1993" s="1"/>
      <c r="BG1993" s="1"/>
    </row>
    <row r="1994" spans="39:59">
      <c r="AM1994" s="2"/>
      <c r="AN1994" s="2"/>
      <c r="AQ1994" s="1"/>
      <c r="BG1994" s="1"/>
    </row>
    <row r="1995" spans="39:59">
      <c r="AM1995" s="2"/>
      <c r="AN1995" s="2"/>
      <c r="AQ1995" s="1"/>
      <c r="BG1995" s="1"/>
    </row>
    <row r="1996" spans="39:59">
      <c r="AM1996" s="2"/>
      <c r="AN1996" s="2"/>
      <c r="AQ1996" s="1"/>
      <c r="BG1996" s="1"/>
    </row>
    <row r="1997" spans="39:59">
      <c r="AM1997" s="2"/>
      <c r="AN1997" s="2"/>
      <c r="AQ1997" s="1"/>
      <c r="BG1997" s="1"/>
    </row>
    <row r="1998" spans="39:59">
      <c r="AM1998" s="2"/>
      <c r="AN1998" s="2"/>
      <c r="AQ1998" s="1"/>
      <c r="BG1998" s="1"/>
    </row>
    <row r="1999" spans="39:59">
      <c r="AM1999" s="2"/>
      <c r="AN1999" s="2"/>
      <c r="AQ1999" s="1"/>
      <c r="BG1999" s="1"/>
    </row>
    <row r="2000" spans="39:59">
      <c r="AM2000" s="2"/>
      <c r="AN2000" s="2"/>
      <c r="AQ2000" s="1"/>
      <c r="BG2000" s="1"/>
    </row>
    <row r="2001" spans="39:59">
      <c r="AM2001" s="2"/>
      <c r="AN2001" s="2"/>
      <c r="AQ2001" s="1"/>
      <c r="BG2001" s="1"/>
    </row>
    <row r="2002" spans="39:59">
      <c r="AM2002" s="2"/>
      <c r="AN2002" s="2"/>
      <c r="AQ2002" s="1"/>
      <c r="BG2002" s="1"/>
    </row>
    <row r="2003" spans="39:59">
      <c r="AM2003" s="2"/>
      <c r="AN2003" s="2"/>
      <c r="AQ2003" s="1"/>
      <c r="BG2003" s="1"/>
    </row>
    <row r="2004" spans="39:59">
      <c r="AM2004" s="2"/>
      <c r="AN2004" s="2"/>
      <c r="AQ2004" s="1"/>
      <c r="BG2004" s="1"/>
    </row>
    <row r="2005" spans="39:59">
      <c r="AM2005" s="2"/>
      <c r="AN2005" s="2"/>
      <c r="AQ2005" s="1"/>
      <c r="BG2005" s="1"/>
    </row>
    <row r="2006" spans="39:59">
      <c r="AM2006" s="2"/>
      <c r="AN2006" s="2"/>
      <c r="AQ2006" s="1"/>
      <c r="BG2006" s="1"/>
    </row>
    <row r="2007" spans="39:59">
      <c r="AM2007" s="2"/>
      <c r="AN2007" s="2"/>
      <c r="AQ2007" s="1"/>
      <c r="BG2007" s="1"/>
    </row>
    <row r="2008" spans="39:59">
      <c r="AM2008" s="2"/>
      <c r="AN2008" s="2"/>
      <c r="AQ2008" s="1"/>
      <c r="BG2008" s="1"/>
    </row>
    <row r="2009" spans="39:59">
      <c r="AM2009" s="2"/>
      <c r="AN2009" s="2"/>
      <c r="AQ2009" s="1"/>
      <c r="BG2009" s="1"/>
    </row>
    <row r="2010" spans="39:59">
      <c r="AM2010" s="2"/>
      <c r="AN2010" s="2"/>
      <c r="AQ2010" s="1"/>
      <c r="BG2010" s="1"/>
    </row>
    <row r="2011" spans="39:59">
      <c r="AM2011" s="2"/>
      <c r="AN2011" s="2"/>
      <c r="AQ2011" s="1"/>
      <c r="BG2011" s="1"/>
    </row>
    <row r="2012" spans="39:59">
      <c r="AM2012" s="2"/>
      <c r="AN2012" s="2"/>
      <c r="AQ2012" s="1"/>
      <c r="BG2012" s="1"/>
    </row>
    <row r="2013" spans="39:59">
      <c r="AM2013" s="2"/>
      <c r="AN2013" s="2"/>
      <c r="AQ2013" s="1"/>
      <c r="BG2013" s="1"/>
    </row>
    <row r="2014" spans="39:59">
      <c r="AM2014" s="2"/>
      <c r="AN2014" s="2"/>
      <c r="AQ2014" s="1"/>
      <c r="BG2014" s="1"/>
    </row>
    <row r="2015" spans="39:59">
      <c r="AM2015" s="2"/>
      <c r="AN2015" s="2"/>
      <c r="AQ2015" s="1"/>
      <c r="BG2015" s="1"/>
    </row>
    <row r="2016" spans="39:59">
      <c r="AM2016" s="2"/>
      <c r="AN2016" s="2"/>
      <c r="AQ2016" s="1"/>
      <c r="BG2016" s="1"/>
    </row>
    <row r="2017" spans="39:59">
      <c r="AM2017" s="2"/>
      <c r="AN2017" s="2"/>
      <c r="AQ2017" s="1"/>
      <c r="BG2017" s="1"/>
    </row>
    <row r="2018" spans="39:59">
      <c r="AM2018" s="2"/>
      <c r="AN2018" s="2"/>
      <c r="AQ2018" s="1"/>
      <c r="BG2018" s="1"/>
    </row>
    <row r="2019" spans="39:59">
      <c r="AM2019" s="2"/>
      <c r="AN2019" s="2"/>
      <c r="AQ2019" s="1"/>
      <c r="BG2019" s="1"/>
    </row>
    <row r="2020" spans="39:59">
      <c r="AM2020" s="2"/>
      <c r="AN2020" s="2"/>
      <c r="AQ2020" s="1"/>
      <c r="BG2020" s="1"/>
    </row>
    <row r="2021" spans="39:59">
      <c r="AM2021" s="2"/>
      <c r="AN2021" s="2"/>
      <c r="AQ2021" s="1"/>
      <c r="BG2021" s="1"/>
    </row>
    <row r="2022" spans="39:59">
      <c r="AM2022" s="2"/>
      <c r="AN2022" s="2"/>
      <c r="AQ2022" s="1"/>
      <c r="BG2022" s="1"/>
    </row>
    <row r="2023" spans="39:59">
      <c r="AM2023" s="2"/>
      <c r="AN2023" s="2"/>
      <c r="AQ2023" s="1"/>
      <c r="BG2023" s="1"/>
    </row>
    <row r="2024" spans="39:59">
      <c r="AM2024" s="2"/>
      <c r="AN2024" s="2"/>
      <c r="AQ2024" s="1"/>
      <c r="BG2024" s="1"/>
    </row>
    <row r="2025" spans="39:59">
      <c r="AM2025" s="2"/>
      <c r="AN2025" s="2"/>
      <c r="AQ2025" s="1"/>
      <c r="BG2025" s="1"/>
    </row>
    <row r="2026" spans="39:59">
      <c r="AM2026" s="2"/>
      <c r="AN2026" s="2"/>
      <c r="AQ2026" s="1"/>
      <c r="BG2026" s="1"/>
    </row>
    <row r="2027" spans="39:59">
      <c r="AM2027" s="2"/>
      <c r="AN2027" s="2"/>
      <c r="AQ2027" s="1"/>
      <c r="BG2027" s="1"/>
    </row>
    <row r="2028" spans="39:59">
      <c r="AM2028" s="2"/>
      <c r="AN2028" s="2"/>
      <c r="AQ2028" s="1"/>
      <c r="BG2028" s="1"/>
    </row>
    <row r="2029" spans="39:59">
      <c r="AM2029" s="2"/>
      <c r="AN2029" s="2"/>
      <c r="AQ2029" s="1"/>
      <c r="BG2029" s="1"/>
    </row>
    <row r="2030" spans="39:59">
      <c r="AM2030" s="2"/>
      <c r="AN2030" s="2"/>
      <c r="AQ2030" s="1"/>
      <c r="BG2030" s="1"/>
    </row>
    <row r="2031" spans="39:59">
      <c r="AM2031" s="2"/>
      <c r="AN2031" s="2"/>
      <c r="AQ2031" s="1"/>
      <c r="BG2031" s="1"/>
    </row>
    <row r="2032" spans="39:59">
      <c r="AM2032" s="2"/>
      <c r="AN2032" s="2"/>
      <c r="AQ2032" s="1"/>
      <c r="BG2032" s="1"/>
    </row>
    <row r="2033" spans="39:59">
      <c r="AM2033" s="2"/>
      <c r="AN2033" s="2"/>
      <c r="AQ2033" s="1"/>
      <c r="BG2033" s="1"/>
    </row>
    <row r="2034" spans="39:59">
      <c r="AM2034" s="2"/>
      <c r="AN2034" s="2"/>
      <c r="AQ2034" s="1"/>
      <c r="BG2034" s="1"/>
    </row>
    <row r="2035" spans="39:59">
      <c r="AM2035" s="2"/>
      <c r="AN2035" s="2"/>
      <c r="AQ2035" s="1"/>
      <c r="BG2035" s="1"/>
    </row>
    <row r="2036" spans="39:59">
      <c r="AM2036" s="2"/>
      <c r="AN2036" s="2"/>
      <c r="AQ2036" s="1"/>
      <c r="BG2036" s="1"/>
    </row>
    <row r="2037" spans="39:59">
      <c r="AM2037" s="2"/>
      <c r="AN2037" s="2"/>
      <c r="AQ2037" s="1"/>
      <c r="BG2037" s="1"/>
    </row>
    <row r="2038" spans="39:59">
      <c r="AM2038" s="2"/>
      <c r="AN2038" s="2"/>
      <c r="AQ2038" s="1"/>
      <c r="BG2038" s="1"/>
    </row>
    <row r="2039" spans="39:59">
      <c r="AM2039" s="2"/>
      <c r="AN2039" s="2"/>
      <c r="AQ2039" s="1"/>
      <c r="BG2039" s="1"/>
    </row>
    <row r="2040" spans="39:59">
      <c r="AM2040" s="2"/>
      <c r="AN2040" s="2"/>
      <c r="AQ2040" s="1"/>
      <c r="BG2040" s="1"/>
    </row>
    <row r="2041" spans="39:59">
      <c r="AM2041" s="2"/>
      <c r="AN2041" s="2"/>
      <c r="AQ2041" s="1"/>
      <c r="BG2041" s="1"/>
    </row>
    <row r="2042" spans="39:59">
      <c r="AM2042" s="2"/>
      <c r="AN2042" s="2"/>
      <c r="AQ2042" s="1"/>
      <c r="BG2042" s="1"/>
    </row>
    <row r="2043" spans="39:59">
      <c r="AM2043" s="2"/>
      <c r="AN2043" s="2"/>
      <c r="AQ2043" s="1"/>
      <c r="BG2043" s="1"/>
    </row>
    <row r="2044" spans="39:59">
      <c r="AM2044" s="2"/>
      <c r="AN2044" s="2"/>
      <c r="AQ2044" s="1"/>
      <c r="BG2044" s="1"/>
    </row>
    <row r="2045" spans="39:59">
      <c r="AM2045" s="2"/>
      <c r="AN2045" s="2"/>
      <c r="AQ2045" s="1"/>
      <c r="BG2045" s="1"/>
    </row>
    <row r="2046" spans="39:59">
      <c r="AM2046" s="2"/>
      <c r="AN2046" s="2"/>
      <c r="AQ2046" s="1"/>
      <c r="BG2046" s="1"/>
    </row>
    <row r="2047" spans="39:59">
      <c r="AM2047" s="2"/>
      <c r="AN2047" s="2"/>
      <c r="AQ2047" s="1"/>
      <c r="BG2047" s="1"/>
    </row>
    <row r="2048" spans="39:59">
      <c r="AM2048" s="2"/>
      <c r="AN2048" s="2"/>
      <c r="AQ2048" s="1"/>
      <c r="BG2048" s="1"/>
    </row>
    <row r="2049" spans="39:81">
      <c r="AM2049" s="2"/>
      <c r="AN2049" s="2"/>
      <c r="AQ2049" s="1"/>
      <c r="BG2049" s="1"/>
    </row>
    <row r="2050" spans="39:81">
      <c r="AM2050" s="2"/>
      <c r="AN2050" s="2"/>
      <c r="AQ2050" s="1"/>
      <c r="BG2050" s="1"/>
    </row>
    <row r="2051" spans="39:81">
      <c r="AM2051" s="2"/>
      <c r="AN2051" s="2"/>
      <c r="AQ2051" s="1"/>
    </row>
    <row r="2052" spans="39:81">
      <c r="AM2052" s="2"/>
      <c r="AN2052" s="2"/>
      <c r="AS2052">
        <v>-11.158836132284099</v>
      </c>
      <c r="AT2052">
        <v>-18.289072400985798</v>
      </c>
      <c r="CB2052">
        <v>-11.158836132284099</v>
      </c>
      <c r="CC2052">
        <v>-7.1416551246618303</v>
      </c>
    </row>
    <row r="2053" spans="39:81">
      <c r="AM2053" s="2"/>
      <c r="AN2053" s="2"/>
      <c r="AS2053">
        <v>-11.3022678277793</v>
      </c>
      <c r="AT2053">
        <v>-17.0687357440776</v>
      </c>
      <c r="CB2053">
        <v>-11.3022678277793</v>
      </c>
      <c r="CC2053">
        <v>-7.2334514097787999</v>
      </c>
    </row>
    <row r="2054" spans="39:81">
      <c r="AM2054" s="2"/>
      <c r="AN2054" s="2"/>
      <c r="AS2054">
        <v>-11.4435850033737</v>
      </c>
      <c r="AT2054">
        <v>-15.927762460092501</v>
      </c>
      <c r="CB2054">
        <v>-11.4435850033737</v>
      </c>
      <c r="CC2054">
        <v>-7.3238944021592003</v>
      </c>
    </row>
    <row r="2055" spans="39:81">
      <c r="AM2055" s="2"/>
      <c r="AN2055" s="2"/>
      <c r="AS2055">
        <v>-11.5130096002573</v>
      </c>
      <c r="AT2055">
        <v>-14.6802922320325</v>
      </c>
      <c r="CB2055">
        <v>-11.5130096002573</v>
      </c>
      <c r="CC2055">
        <v>-7.3683261441647101</v>
      </c>
    </row>
    <row r="2056" spans="39:81">
      <c r="AM2056" s="2"/>
      <c r="AN2056" s="2"/>
      <c r="AS2056">
        <v>-11.6153976686379</v>
      </c>
      <c r="AT2056">
        <v>-13.740624695813599</v>
      </c>
      <c r="CB2056">
        <v>-11.6153976686379</v>
      </c>
      <c r="CC2056">
        <v>-7.4338545079282801</v>
      </c>
    </row>
    <row r="2057" spans="39:81">
      <c r="AM2057" s="2"/>
      <c r="AN2057" s="2"/>
      <c r="AS2057">
        <v>-11.663010651296</v>
      </c>
      <c r="AT2057">
        <v>-12.470236516785601</v>
      </c>
      <c r="CB2057">
        <v>-11.663010651296</v>
      </c>
      <c r="CC2057">
        <v>-7.4643268168294696</v>
      </c>
    </row>
    <row r="2058" spans="39:81">
      <c r="AM2058" s="2"/>
      <c r="AN2058" s="2"/>
      <c r="AS2058">
        <v>-11.6921054191432</v>
      </c>
      <c r="AT2058">
        <v>-11.2587520152249</v>
      </c>
      <c r="CB2058">
        <v>-11.6921054191432</v>
      </c>
      <c r="CC2058">
        <v>-7.4829474682516599</v>
      </c>
    </row>
    <row r="2059" spans="39:81">
      <c r="AM2059" s="2"/>
      <c r="AN2059" s="2"/>
      <c r="AS2059">
        <v>-11.7587334679113</v>
      </c>
      <c r="AT2059">
        <v>-9.9291690720733001</v>
      </c>
      <c r="CB2059">
        <v>-11.7587334679113</v>
      </c>
      <c r="CC2059">
        <v>-7.5255894194632704</v>
      </c>
    </row>
    <row r="2060" spans="39:81">
      <c r="AM2060" s="2"/>
      <c r="AN2060" s="2"/>
      <c r="AS2060">
        <v>-11.787852760359</v>
      </c>
      <c r="AT2060">
        <v>-8.3038714657405404</v>
      </c>
      <c r="CB2060">
        <v>-11.787852760359</v>
      </c>
      <c r="CC2060">
        <v>-7.5442257666297898</v>
      </c>
    </row>
    <row r="2061" spans="39:81">
      <c r="AM2061" s="2"/>
      <c r="AN2061" s="2"/>
      <c r="AS2061">
        <v>-11.867210983268301</v>
      </c>
      <c r="AT2061">
        <v>-7.0037492095451599</v>
      </c>
      <c r="CB2061">
        <v>-11.867210983268301</v>
      </c>
      <c r="CC2061">
        <v>-7.5950150292917096</v>
      </c>
    </row>
    <row r="2062" spans="39:81">
      <c r="AM2062" s="2"/>
      <c r="AN2062" s="2"/>
      <c r="AS2062">
        <v>-11.9388584749858</v>
      </c>
      <c r="AT2062">
        <v>-5.5535521314187202</v>
      </c>
      <c r="CB2062">
        <v>-11.9388584749858</v>
      </c>
      <c r="CC2062">
        <v>-7.6408694239909201</v>
      </c>
    </row>
    <row r="2063" spans="39:81">
      <c r="AM2063" s="2"/>
      <c r="AN2063" s="2"/>
      <c r="AS2063">
        <v>-11.9593282198691</v>
      </c>
      <c r="AT2063">
        <v>-4.3836952110023404</v>
      </c>
      <c r="CB2063">
        <v>-11.9593282198691</v>
      </c>
      <c r="CC2063">
        <v>-7.6539700607162704</v>
      </c>
    </row>
    <row r="2064" spans="39:81">
      <c r="AM2064" s="2"/>
      <c r="AN2064" s="2"/>
      <c r="AS2064">
        <v>-11.979335046500699</v>
      </c>
      <c r="AT2064">
        <v>-3.3338585908126102</v>
      </c>
      <c r="CB2064">
        <v>-11.979335046500699</v>
      </c>
      <c r="CC2064">
        <v>-7.6667744297604798</v>
      </c>
    </row>
    <row r="2065" spans="39:81">
      <c r="AM2065" s="2"/>
      <c r="AN2065" s="2"/>
      <c r="AS2065">
        <v>-11.9327500781485</v>
      </c>
      <c r="AT2065">
        <v>-2.1069940206256601</v>
      </c>
      <c r="CB2065">
        <v>-11.9327500781485</v>
      </c>
      <c r="CC2065">
        <v>-7.6369600500150803</v>
      </c>
    </row>
    <row r="2066" spans="39:81">
      <c r="AM2066" s="2"/>
      <c r="AN2066" s="2"/>
      <c r="AS2066">
        <v>-11.8889783172619</v>
      </c>
      <c r="AT2066">
        <v>-0.77384535943423305</v>
      </c>
      <c r="CB2066">
        <v>-11.8889783172619</v>
      </c>
      <c r="CC2066">
        <v>-7.6089461230476498</v>
      </c>
    </row>
    <row r="2067" spans="39:81">
      <c r="AM2067" s="2"/>
      <c r="AN2067" s="2"/>
      <c r="AS2067">
        <v>-11.8912315495692</v>
      </c>
      <c r="AT2067">
        <v>0.71589248516339399</v>
      </c>
      <c r="CB2067">
        <v>-11.8912315495692</v>
      </c>
      <c r="CC2067">
        <v>-7.6103881917243097</v>
      </c>
    </row>
    <row r="2068" spans="39:81">
      <c r="AM2068" s="2"/>
      <c r="AN2068" s="2"/>
      <c r="AS2068">
        <v>-11.868189329176801</v>
      </c>
      <c r="AT2068">
        <v>2.2979100701352402</v>
      </c>
      <c r="CB2068">
        <v>-11.868189329176801</v>
      </c>
      <c r="CC2068">
        <v>-7.5956411706731899</v>
      </c>
    </row>
    <row r="2069" spans="39:81">
      <c r="AM2069" s="2"/>
      <c r="AN2069" s="2"/>
      <c r="AS2069">
        <v>-11.8720595279365</v>
      </c>
      <c r="AT2069">
        <v>3.7246274024916199</v>
      </c>
      <c r="CB2069">
        <v>-11.8720595279365</v>
      </c>
      <c r="CC2069">
        <v>-7.5981180978793796</v>
      </c>
    </row>
    <row r="2070" spans="39:81">
      <c r="AM2070" s="2"/>
      <c r="AN2070" s="2"/>
      <c r="AS2070">
        <v>-11.845805873044799</v>
      </c>
      <c r="AT2070">
        <v>4.9096458904063596</v>
      </c>
      <c r="CB2070">
        <v>-11.845805873044799</v>
      </c>
      <c r="CC2070">
        <v>-7.5813157587486701</v>
      </c>
    </row>
    <row r="2071" spans="39:81">
      <c r="AM2071" s="2"/>
      <c r="AN2071" s="2"/>
      <c r="AS2071">
        <v>-11.756113054784199</v>
      </c>
      <c r="AT2071">
        <v>6.1397538091554704</v>
      </c>
      <c r="CB2071">
        <v>-11.756113054784199</v>
      </c>
      <c r="CC2071">
        <v>-7.5239123550619196</v>
      </c>
    </row>
    <row r="2072" spans="39:81">
      <c r="AM2072" s="2"/>
      <c r="AN2072" s="2"/>
      <c r="AS2072">
        <v>-11.7019043782295</v>
      </c>
      <c r="AT2072">
        <v>7.2055255649154004</v>
      </c>
      <c r="CB2072">
        <v>-11.7019043782295</v>
      </c>
      <c r="CC2072">
        <v>-7.4892188020669099</v>
      </c>
    </row>
    <row r="2073" spans="39:81">
      <c r="AM2073" s="2"/>
      <c r="AN2073" s="2"/>
      <c r="AS2073">
        <v>-11.6195195141428</v>
      </c>
      <c r="AT2073">
        <v>8.5591617388963908</v>
      </c>
      <c r="CB2073">
        <v>-11.6195195141428</v>
      </c>
      <c r="CC2073">
        <v>-7.4364924890514299</v>
      </c>
    </row>
    <row r="2074" spans="39:81">
      <c r="AM2074" s="2"/>
      <c r="AN2074" s="2"/>
      <c r="AS2074">
        <v>-11.551351816621899</v>
      </c>
      <c r="AT2074">
        <v>9.9294047790586095</v>
      </c>
      <c r="CB2074">
        <v>-11.551351816621899</v>
      </c>
      <c r="CC2074">
        <v>-7.3928651626380502</v>
      </c>
    </row>
    <row r="2075" spans="39:81">
      <c r="AM2075" s="2"/>
      <c r="AN2075" s="2"/>
      <c r="AS2075">
        <v>-11.513512221643101</v>
      </c>
      <c r="AT2075">
        <v>11.1555865172817</v>
      </c>
      <c r="CB2075">
        <v>-11.513512221643101</v>
      </c>
      <c r="CC2075">
        <v>-7.3686478218516198</v>
      </c>
    </row>
    <row r="2076" spans="39:81">
      <c r="AM2076" s="2"/>
      <c r="AN2076" s="2"/>
      <c r="AS2076">
        <v>-11.420399554777401</v>
      </c>
      <c r="AT2076">
        <v>12.605418012299101</v>
      </c>
      <c r="CB2076">
        <v>-11.420399554777401</v>
      </c>
      <c r="CC2076">
        <v>-7.3090557150575499</v>
      </c>
    </row>
    <row r="2077" spans="39:81">
      <c r="AM2077" s="2"/>
      <c r="AN2077" s="2"/>
      <c r="AS2077">
        <v>-11.361834238059201</v>
      </c>
      <c r="AT2077">
        <v>13.8102439612318</v>
      </c>
      <c r="CB2077">
        <v>-11.361834238059201</v>
      </c>
      <c r="CC2077">
        <v>-7.2715739123579102</v>
      </c>
    </row>
    <row r="2078" spans="39:81">
      <c r="AM2078" s="2"/>
      <c r="AN2078" s="2"/>
      <c r="AS2078">
        <v>-11.269989523764201</v>
      </c>
      <c r="AT2078">
        <v>15.070086881412999</v>
      </c>
      <c r="CB2078">
        <v>-11.269989523764201</v>
      </c>
      <c r="CC2078">
        <v>-7.2127932952090896</v>
      </c>
    </row>
    <row r="2079" spans="39:81">
      <c r="AM2079" s="2"/>
      <c r="AN2079" s="2"/>
      <c r="AS2079">
        <v>-11.153443450924801</v>
      </c>
      <c r="AT2079">
        <v>16.152800183434401</v>
      </c>
      <c r="CB2079">
        <v>-11.153443450924801</v>
      </c>
      <c r="CC2079">
        <v>-7.1382038085918902</v>
      </c>
    </row>
    <row r="2080" spans="39:81">
      <c r="AM2080" s="2"/>
      <c r="AN2080" s="2"/>
      <c r="AS2080">
        <v>-11.0652315038431</v>
      </c>
      <c r="AT2080">
        <v>17.220696320502</v>
      </c>
      <c r="CB2080">
        <v>-11.0652315038431</v>
      </c>
      <c r="CC2080">
        <v>-7.0817481624595802</v>
      </c>
    </row>
    <row r="2081" spans="39:81">
      <c r="AM2081" s="2"/>
      <c r="AN2081" s="2"/>
      <c r="AS2081">
        <v>-10.934234932251799</v>
      </c>
      <c r="AT2081">
        <v>18.284326087165599</v>
      </c>
      <c r="CB2081">
        <v>-10.934234932251799</v>
      </c>
      <c r="CC2081">
        <v>-6.9979103566411798</v>
      </c>
    </row>
    <row r="2082" spans="39:81">
      <c r="AM2082" s="2"/>
      <c r="AN2082" s="2"/>
      <c r="AS2082">
        <v>-10.8280382456177</v>
      </c>
      <c r="AT2082">
        <v>19.4232109521379</v>
      </c>
      <c r="CB2082">
        <v>-10.8280382456177</v>
      </c>
      <c r="CC2082">
        <v>-6.9299444771953898</v>
      </c>
    </row>
    <row r="2083" spans="39:81">
      <c r="AM2083" s="2"/>
      <c r="AN2083" s="2"/>
      <c r="AS2083">
        <v>-10.7442443960798</v>
      </c>
      <c r="AT2083">
        <v>20.7198787582793</v>
      </c>
      <c r="CB2083">
        <v>-10.7442443960798</v>
      </c>
      <c r="CC2083">
        <v>-6.8763164134910904</v>
      </c>
    </row>
    <row r="2084" spans="39:81">
      <c r="AM2084" s="2"/>
      <c r="AN2084" s="2"/>
      <c r="AS2084">
        <v>-10.6452076794266</v>
      </c>
      <c r="AT2084">
        <v>21.973848077371301</v>
      </c>
      <c r="CB2084">
        <v>-10.6452076794266</v>
      </c>
      <c r="CC2084">
        <v>-6.8129329148330502</v>
      </c>
    </row>
    <row r="2085" spans="39:81">
      <c r="AM2085" s="2"/>
      <c r="AN2085" s="2"/>
      <c r="AS2085">
        <v>-10.573539815638799</v>
      </c>
      <c r="AT2085">
        <v>23.1296291470581</v>
      </c>
      <c r="CB2085">
        <v>-10.573539815638799</v>
      </c>
      <c r="CC2085">
        <v>-6.76706548200886</v>
      </c>
    </row>
    <row r="2086" spans="39:81">
      <c r="AM2086" s="2"/>
      <c r="AN2086" s="2"/>
      <c r="AS2086">
        <v>-10.461688184106301</v>
      </c>
      <c r="AT2086">
        <v>24.2069154889918</v>
      </c>
      <c r="CB2086">
        <v>-10.461688184106301</v>
      </c>
      <c r="CC2086">
        <v>-6.6954804378280501</v>
      </c>
    </row>
    <row r="2087" spans="39:81">
      <c r="AM2087" s="2"/>
      <c r="AN2087" s="2"/>
      <c r="AS2087">
        <v>-10.3323929801721</v>
      </c>
      <c r="AT2087">
        <v>25.108548160148199</v>
      </c>
      <c r="CB2087">
        <v>-10.3323929801721</v>
      </c>
      <c r="CC2087">
        <v>-6.6127315073101602</v>
      </c>
    </row>
    <row r="2088" spans="39:81">
      <c r="AM2088" s="2"/>
      <c r="AN2088" s="2"/>
      <c r="AS2088">
        <v>-10.2162733907325</v>
      </c>
      <c r="AT2088">
        <v>26.1405293477995</v>
      </c>
      <c r="CB2088">
        <v>-10.2162733907325</v>
      </c>
      <c r="CC2088">
        <v>-6.5384149700688496</v>
      </c>
    </row>
    <row r="2089" spans="39:81">
      <c r="AM2089" s="2"/>
      <c r="AN2089" s="2"/>
      <c r="AS2089">
        <v>-10.0558022344369</v>
      </c>
      <c r="AT2089">
        <v>27.344573698770699</v>
      </c>
      <c r="CB2089">
        <v>-10.0558022344369</v>
      </c>
      <c r="CC2089">
        <v>-6.4357134300396499</v>
      </c>
    </row>
    <row r="2090" spans="39:81">
      <c r="AM2090" s="2"/>
      <c r="AN2090" s="2"/>
      <c r="AS2090">
        <v>-9.9069731427213394</v>
      </c>
      <c r="AT2090">
        <v>28.512797095785899</v>
      </c>
      <c r="CB2090">
        <v>-9.9069731427213394</v>
      </c>
      <c r="CC2090">
        <v>-6.3404628113416601</v>
      </c>
    </row>
    <row r="2091" spans="39:81">
      <c r="AM2091" s="2"/>
      <c r="AN2091" s="2"/>
      <c r="AS2091">
        <v>-9.7548579280643803</v>
      </c>
      <c r="AT2091">
        <v>29.859399892562799</v>
      </c>
      <c r="CB2091">
        <v>-9.7548579280643803</v>
      </c>
      <c r="CC2091">
        <v>-6.2431090739612003</v>
      </c>
    </row>
    <row r="2092" spans="39:81">
      <c r="AM2092" s="2"/>
      <c r="AN2092" s="2"/>
      <c r="AS2092">
        <v>-9.5753352894530401</v>
      </c>
      <c r="AT2092">
        <v>31.012992328694299</v>
      </c>
      <c r="CB2092">
        <v>-9.5753352894530401</v>
      </c>
      <c r="CC2092">
        <v>-6.1282145852499497</v>
      </c>
    </row>
    <row r="2093" spans="39:81">
      <c r="AM2093" s="2"/>
      <c r="AN2093" s="2"/>
      <c r="AS2093">
        <v>-9.4123624984955097</v>
      </c>
      <c r="AT2093">
        <v>32.043249649497596</v>
      </c>
      <c r="CB2093">
        <v>-9.4123624984955097</v>
      </c>
      <c r="CC2093">
        <v>-6.0239119990371304</v>
      </c>
    </row>
    <row r="2094" spans="39:81">
      <c r="AM2094" s="2"/>
      <c r="AN2094" s="2"/>
      <c r="AS2094">
        <v>-9.2562730714173291</v>
      </c>
      <c r="AT2094">
        <v>33.0155770374311</v>
      </c>
      <c r="CB2094">
        <v>-9.2562730714173291</v>
      </c>
      <c r="CC2094">
        <v>-5.9240147657070903</v>
      </c>
    </row>
    <row r="2095" spans="39:81">
      <c r="AM2095" s="2"/>
      <c r="AN2095" s="2"/>
      <c r="AS2095">
        <v>-9.0739219193422294</v>
      </c>
      <c r="AT2095">
        <v>33.8988197528003</v>
      </c>
      <c r="CB2095">
        <v>-9.0739219193422294</v>
      </c>
      <c r="CC2095">
        <v>-5.80731002837903</v>
      </c>
    </row>
    <row r="2096" spans="39:81">
      <c r="AM2096" s="2"/>
      <c r="AN2096" s="2"/>
      <c r="AS2096">
        <v>-8.9038388408285201</v>
      </c>
      <c r="AT2096">
        <v>34.931248541517903</v>
      </c>
      <c r="CB2096">
        <v>-8.9038388408285201</v>
      </c>
      <c r="CC2096">
        <v>-5.6984568581302497</v>
      </c>
    </row>
    <row r="2097" spans="39:81">
      <c r="AM2097" s="2"/>
      <c r="AN2097" s="2"/>
      <c r="AS2097">
        <v>-8.6980902460715299</v>
      </c>
      <c r="AT2097">
        <v>35.879428584098399</v>
      </c>
      <c r="CB2097">
        <v>-8.6980902460715299</v>
      </c>
      <c r="CC2097">
        <v>-5.56677775748578</v>
      </c>
    </row>
    <row r="2098" spans="39:81">
      <c r="AM2098" s="2"/>
      <c r="AN2098" s="2"/>
      <c r="AS2098">
        <v>-8.4818268079327108</v>
      </c>
      <c r="AT2098">
        <v>36.875224256896402</v>
      </c>
      <c r="CB2098">
        <v>-8.4818268079327108</v>
      </c>
      <c r="CC2098">
        <v>-5.4283691570769301</v>
      </c>
    </row>
    <row r="2099" spans="39:81">
      <c r="AM2099" s="2"/>
      <c r="AN2099" s="2"/>
      <c r="AS2099">
        <v>-8.2883453302013592</v>
      </c>
      <c r="AT2099">
        <v>37.978805135677199</v>
      </c>
      <c r="CB2099">
        <v>-8.2883453302013592</v>
      </c>
      <c r="CC2099">
        <v>-5.3045410113288698</v>
      </c>
    </row>
    <row r="2100" spans="39:81">
      <c r="AM2100" s="2"/>
      <c r="AN2100" s="2"/>
      <c r="AS2100">
        <v>-8.0685793990892005</v>
      </c>
      <c r="AT2100">
        <v>38.713013987179501</v>
      </c>
      <c r="CB2100">
        <v>-8.0685793990892005</v>
      </c>
      <c r="CC2100">
        <v>-5.1638908154170897</v>
      </c>
    </row>
    <row r="2101" spans="39:81">
      <c r="AM2101" s="2"/>
      <c r="AN2101" s="2"/>
      <c r="AS2101">
        <v>-7.8516804053518996</v>
      </c>
      <c r="AT2101">
        <v>39.640201047583503</v>
      </c>
      <c r="CB2101">
        <v>-7.8516804053518996</v>
      </c>
      <c r="CC2101">
        <v>-5.0250754594252101</v>
      </c>
    </row>
    <row r="2102" spans="39:81">
      <c r="AM2102" s="2"/>
      <c r="AN2102" s="2"/>
      <c r="AS2102">
        <v>-7.6410879715770497</v>
      </c>
      <c r="AT2102">
        <v>40.180179653985498</v>
      </c>
      <c r="CB2102">
        <v>-7.6410879715770497</v>
      </c>
      <c r="CC2102">
        <v>-4.8902963018093102</v>
      </c>
    </row>
    <row r="2103" spans="39:81">
      <c r="AM2103" s="2"/>
      <c r="AN2103" s="2"/>
      <c r="AS2103">
        <v>-7.4152324438769401</v>
      </c>
      <c r="AT2103">
        <v>40.714855280687701</v>
      </c>
      <c r="CB2103">
        <v>-7.4152324438769401</v>
      </c>
      <c r="CC2103">
        <v>-4.7457487640812399</v>
      </c>
    </row>
    <row r="2104" spans="39:81">
      <c r="AM2104" s="2"/>
      <c r="AN2104" s="2"/>
      <c r="AS2104">
        <v>-7.2195445407045504</v>
      </c>
      <c r="AT2104">
        <v>41.475785423112598</v>
      </c>
      <c r="CB2104">
        <v>-7.2195445407045504</v>
      </c>
      <c r="CC2104">
        <v>-4.6205085060509097</v>
      </c>
    </row>
    <row r="2105" spans="39:81">
      <c r="AM2105" s="2"/>
      <c r="AN2105" s="2"/>
      <c r="AS2105">
        <v>-7.0229033194894797</v>
      </c>
      <c r="AT2105">
        <v>42.095286124462703</v>
      </c>
      <c r="CB2105">
        <v>-7.0229033194894797</v>
      </c>
      <c r="CC2105">
        <v>-4.4946581244732604</v>
      </c>
    </row>
    <row r="2106" spans="39:81">
      <c r="AM2106" s="2"/>
      <c r="AN2106" s="2"/>
      <c r="AS2106">
        <v>-6.8115961765730297</v>
      </c>
      <c r="AT2106">
        <v>43.0031144927367</v>
      </c>
      <c r="CB2106">
        <v>-6.8115961765730297</v>
      </c>
      <c r="CC2106">
        <v>-4.3594215530067402</v>
      </c>
    </row>
    <row r="2107" spans="39:81">
      <c r="AM2107" s="2"/>
      <c r="AN2107" s="2"/>
      <c r="AS2107">
        <v>-6.5968004548536898</v>
      </c>
      <c r="AT2107">
        <v>43.814246218035798</v>
      </c>
      <c r="CB2107">
        <v>-6.5968004548536898</v>
      </c>
      <c r="CC2107">
        <v>-4.2219522911063603</v>
      </c>
    </row>
    <row r="2108" spans="39:81">
      <c r="AM2108" s="2"/>
      <c r="AN2108" s="2"/>
      <c r="AS2108">
        <v>-6.3455616561397301</v>
      </c>
      <c r="AT2108">
        <v>44.427762283719403</v>
      </c>
      <c r="CB2108">
        <v>-6.3455616561397301</v>
      </c>
      <c r="CC2108">
        <v>-4.0611594599294296</v>
      </c>
    </row>
    <row r="2109" spans="39:81">
      <c r="AM2109" s="2"/>
      <c r="AN2109" s="2"/>
      <c r="AS2109">
        <v>-6.1008086754805504</v>
      </c>
      <c r="AT2109">
        <v>44.910448752774798</v>
      </c>
      <c r="CB2109">
        <v>-6.1008086754805504</v>
      </c>
      <c r="CC2109">
        <v>-3.9045175523075502</v>
      </c>
    </row>
    <row r="2110" spans="39:81">
      <c r="AM2110" s="2"/>
      <c r="AN2110" s="2"/>
      <c r="AS2110">
        <v>-5.8644980218479104</v>
      </c>
      <c r="AT2110">
        <v>45.282020523860901</v>
      </c>
      <c r="CB2110">
        <v>-5.8644980218479104</v>
      </c>
      <c r="CC2110">
        <v>-3.7532787339826599</v>
      </c>
    </row>
    <row r="2111" spans="39:81">
      <c r="AM2111" s="2"/>
      <c r="AN2111" s="2"/>
      <c r="AS2111">
        <v>-5.6065900990228901</v>
      </c>
      <c r="AT2111">
        <v>45.574509276690897</v>
      </c>
      <c r="CB2111">
        <v>-5.6065900990228901</v>
      </c>
      <c r="CC2111">
        <v>-3.5882176633746501</v>
      </c>
    </row>
    <row r="2112" spans="39:81">
      <c r="AM2112" s="2"/>
      <c r="AN2112" s="2"/>
      <c r="AS2112">
        <v>-5.3655579817858996</v>
      </c>
      <c r="AT2112">
        <v>46.110468498837399</v>
      </c>
      <c r="CB2112">
        <v>-5.3655579817858996</v>
      </c>
      <c r="CC2112">
        <v>-3.4339571083429701</v>
      </c>
    </row>
    <row r="2113" spans="39:81">
      <c r="AM2113" s="2"/>
      <c r="AN2113" s="2"/>
      <c r="AS2113">
        <v>-5.0835174771060299</v>
      </c>
      <c r="AT2113">
        <v>46.687828198107702</v>
      </c>
      <c r="CB2113">
        <v>-5.0835174771060299</v>
      </c>
      <c r="CC2113">
        <v>-3.2534511853478598</v>
      </c>
    </row>
    <row r="2114" spans="39:81">
      <c r="AM2114" s="2"/>
      <c r="AN2114" s="2"/>
      <c r="AS2114">
        <v>-4.7774806946112403</v>
      </c>
      <c r="AT2114">
        <v>47.195024115373101</v>
      </c>
      <c r="CB2114">
        <v>-4.7774806946112403</v>
      </c>
      <c r="CC2114">
        <v>-3.05758764455119</v>
      </c>
    </row>
    <row r="2115" spans="39:81">
      <c r="AM2115" s="2"/>
      <c r="AN2115" s="2"/>
      <c r="AS2115">
        <v>-4.48489185781043</v>
      </c>
      <c r="AT2115">
        <v>47.820823478011199</v>
      </c>
      <c r="CB2115">
        <v>-4.48489185781043</v>
      </c>
      <c r="CC2115">
        <v>-2.87033078899867</v>
      </c>
    </row>
    <row r="2116" spans="39:81">
      <c r="AM2116" s="2"/>
      <c r="AN2116" s="2"/>
      <c r="AS2116">
        <v>-4.1601187308465502</v>
      </c>
      <c r="AT2116">
        <v>47.967640787195101</v>
      </c>
      <c r="CB2116">
        <v>-4.1601187308465502</v>
      </c>
      <c r="CC2116">
        <v>-2.6624759877417898</v>
      </c>
    </row>
    <row r="2117" spans="39:81">
      <c r="AM2117" s="2"/>
      <c r="AN2117" s="2"/>
      <c r="AS2117">
        <v>-3.8639354267352002</v>
      </c>
      <c r="AT2117">
        <v>48.279147794238497</v>
      </c>
      <c r="CB2117">
        <v>-3.8639354267352002</v>
      </c>
      <c r="CC2117">
        <v>-2.4729186731105299</v>
      </c>
    </row>
    <row r="2118" spans="39:81">
      <c r="AM2118" s="2"/>
      <c r="AN2118" s="2"/>
      <c r="AS2118">
        <v>-3.5666812950528302</v>
      </c>
      <c r="AT2118">
        <v>48.541240033657402</v>
      </c>
      <c r="CB2118">
        <v>-3.5666812950528302</v>
      </c>
      <c r="CC2118">
        <v>-2.2826760288338099</v>
      </c>
    </row>
    <row r="2119" spans="39:81">
      <c r="AM2119" s="2"/>
      <c r="AN2119" s="2"/>
      <c r="AS2119">
        <v>-3.2548632612581301</v>
      </c>
      <c r="AT2119">
        <v>48.683084724596903</v>
      </c>
      <c r="CB2119">
        <v>-3.2548632612581301</v>
      </c>
      <c r="CC2119">
        <v>-2.0831124872052</v>
      </c>
    </row>
    <row r="2120" spans="39:81">
      <c r="AM2120" s="2"/>
      <c r="AN2120" s="2"/>
      <c r="AS2120">
        <v>-2.9564330591627401</v>
      </c>
      <c r="AT2120">
        <v>49.117245745285601</v>
      </c>
      <c r="CB2120">
        <v>-2.9564330591627401</v>
      </c>
      <c r="CC2120">
        <v>-1.89211715786415</v>
      </c>
    </row>
    <row r="2121" spans="39:81">
      <c r="AM2121" s="2"/>
      <c r="AN2121" s="2"/>
      <c r="AS2121">
        <v>-2.6260777032199898</v>
      </c>
      <c r="AT2121">
        <v>49.365323300395801</v>
      </c>
      <c r="CB2121">
        <v>-2.6260777032199898</v>
      </c>
      <c r="CC2121">
        <v>-1.6806897300607899</v>
      </c>
    </row>
    <row r="2122" spans="39:81">
      <c r="AM2122" s="2"/>
      <c r="AN2122" s="2"/>
      <c r="AS2122">
        <v>-2.31057410740625</v>
      </c>
      <c r="AT2122">
        <v>49.808739803677803</v>
      </c>
      <c r="CB2122">
        <v>-2.31057410740625</v>
      </c>
      <c r="CC2122">
        <v>-1.4787674287399999</v>
      </c>
    </row>
    <row r="2123" spans="39:81">
      <c r="AM2123" s="2"/>
      <c r="AN2123" s="2"/>
      <c r="AS2123">
        <v>-1.9855254798234601</v>
      </c>
      <c r="AT2123">
        <v>50.087675883966703</v>
      </c>
      <c r="CB2123">
        <v>-1.9855254798234601</v>
      </c>
      <c r="CC2123">
        <v>-1.2707363070870199</v>
      </c>
    </row>
    <row r="2124" spans="39:81">
      <c r="AM2124" s="2"/>
      <c r="AN2124" s="2"/>
      <c r="AS2124">
        <v>-1.6600074131915299</v>
      </c>
      <c r="AT2124">
        <v>50.315767780194101</v>
      </c>
      <c r="CB2124">
        <v>-1.6600074131915299</v>
      </c>
      <c r="CC2124">
        <v>-1.0624047444425799</v>
      </c>
    </row>
    <row r="2125" spans="39:81">
      <c r="AM2125" s="2"/>
      <c r="AN2125" s="2"/>
      <c r="AS2125">
        <v>-1.3624268221990701</v>
      </c>
      <c r="AT2125">
        <v>50.453221972049697</v>
      </c>
      <c r="CB2125">
        <v>-1.3624268221990701</v>
      </c>
      <c r="CC2125">
        <v>-0.87195316620740904</v>
      </c>
    </row>
    <row r="2126" spans="39:81">
      <c r="AM2126" s="2"/>
      <c r="AN2126" s="2"/>
      <c r="AS2126">
        <v>-1.0593781058257601</v>
      </c>
      <c r="AT2126">
        <v>50.457988257549403</v>
      </c>
      <c r="CB2126">
        <v>-1.0593781058257601</v>
      </c>
      <c r="CC2126">
        <v>-0.67800198772848896</v>
      </c>
    </row>
    <row r="2127" spans="39:81">
      <c r="AM2127" s="2"/>
      <c r="AN2127" s="2"/>
      <c r="AS2127">
        <v>-0.785480310755723</v>
      </c>
      <c r="AT2127">
        <v>50.556046962516497</v>
      </c>
      <c r="CB2127">
        <v>-0.785480310755723</v>
      </c>
      <c r="CC2127">
        <v>-0.502707398883662</v>
      </c>
    </row>
    <row r="2128" spans="39:81">
      <c r="AM2128" s="2"/>
      <c r="AN2128" s="2"/>
      <c r="AS2128">
        <v>-0.51769284562189799</v>
      </c>
      <c r="AT2128">
        <v>50.685342804773903</v>
      </c>
      <c r="CB2128">
        <v>-0.51769284562189799</v>
      </c>
      <c r="CC2128">
        <v>-0.331323421198014</v>
      </c>
    </row>
    <row r="2129" spans="39:81">
      <c r="AM2129" s="2"/>
      <c r="AN2129" s="2"/>
      <c r="AS2129">
        <v>-0.21161663152426599</v>
      </c>
      <c r="AT2129">
        <v>50.853382908077599</v>
      </c>
      <c r="CB2129">
        <v>-0.21161663152426599</v>
      </c>
      <c r="CC2129">
        <v>-0.13543464417553</v>
      </c>
    </row>
    <row r="2130" spans="39:81">
      <c r="AM2130" s="2"/>
      <c r="AN2130" s="2"/>
      <c r="AS2130">
        <v>6.3755095670272099E-2</v>
      </c>
      <c r="AT2130">
        <v>51.103709771333598</v>
      </c>
      <c r="CB2130">
        <v>6.3755095670272099E-2</v>
      </c>
      <c r="CC2130">
        <v>4.0803261228974097E-2</v>
      </c>
    </row>
    <row r="2131" spans="39:81">
      <c r="AM2131" s="2"/>
      <c r="AN2131" s="2"/>
      <c r="AS2131">
        <v>0.37425202022705401</v>
      </c>
      <c r="AT2131">
        <v>51.0970799984038</v>
      </c>
      <c r="CB2131">
        <v>0.37425202022705401</v>
      </c>
      <c r="CC2131">
        <v>0.23952129294531399</v>
      </c>
    </row>
    <row r="2132" spans="39:81">
      <c r="AM2132" s="2"/>
      <c r="AN2132" s="2"/>
      <c r="AS2132">
        <v>0.67680396435638601</v>
      </c>
      <c r="AT2132">
        <v>50.963979023464397</v>
      </c>
      <c r="CB2132">
        <v>0.67680396435638601</v>
      </c>
      <c r="CC2132">
        <v>0.433154537188087</v>
      </c>
    </row>
    <row r="2133" spans="39:81">
      <c r="AM2133" s="2"/>
      <c r="AN2133" s="2"/>
      <c r="AS2133">
        <v>0.95385988003054401</v>
      </c>
      <c r="AT2133">
        <v>50.804666878383301</v>
      </c>
      <c r="CB2133">
        <v>0.95385988003054401</v>
      </c>
      <c r="CC2133">
        <v>0.61047032321954797</v>
      </c>
    </row>
    <row r="2134" spans="39:81">
      <c r="AM2134" s="2"/>
      <c r="AN2134" s="2"/>
      <c r="AS2134">
        <v>1.2782579863418</v>
      </c>
      <c r="AT2134">
        <v>50.3908591846129</v>
      </c>
      <c r="CB2134">
        <v>1.2782579863418</v>
      </c>
      <c r="CC2134">
        <v>0.81808511125875705</v>
      </c>
    </row>
    <row r="2135" spans="39:81">
      <c r="AM2135" s="2"/>
      <c r="AN2135" s="2"/>
      <c r="AS2135">
        <v>1.57631584087391</v>
      </c>
      <c r="AT2135">
        <v>50.214264323159703</v>
      </c>
      <c r="CB2135">
        <v>1.57631584087391</v>
      </c>
      <c r="CC2135">
        <v>1.0088421381593</v>
      </c>
    </row>
    <row r="2136" spans="39:81">
      <c r="AM2136" s="2"/>
      <c r="AN2136" s="2"/>
      <c r="AS2136">
        <v>1.89558890854747</v>
      </c>
      <c r="AT2136">
        <v>50.024923420393101</v>
      </c>
      <c r="CB2136">
        <v>1.89558890854747</v>
      </c>
      <c r="CC2136">
        <v>1.2131769014703799</v>
      </c>
    </row>
    <row r="2137" spans="39:81">
      <c r="AM2137" s="2"/>
      <c r="AN2137" s="2"/>
      <c r="AS2137">
        <v>2.2238835771983498</v>
      </c>
      <c r="AT2137">
        <v>49.866990031831698</v>
      </c>
      <c r="CB2137">
        <v>2.2238835771983498</v>
      </c>
      <c r="CC2137">
        <v>1.42328548940694</v>
      </c>
    </row>
    <row r="2138" spans="39:81">
      <c r="AM2138" s="2"/>
      <c r="AN2138" s="2"/>
      <c r="AS2138">
        <v>2.5401644838297601</v>
      </c>
      <c r="AT2138">
        <v>49.7517872123316</v>
      </c>
      <c r="CB2138">
        <v>2.5401644838297601</v>
      </c>
      <c r="CC2138">
        <v>1.6257052696510399</v>
      </c>
    </row>
    <row r="2139" spans="39:81">
      <c r="AM2139" s="2"/>
      <c r="AN2139" s="2"/>
      <c r="AS2139">
        <v>2.8823998273837601</v>
      </c>
      <c r="AT2139">
        <v>49.392940248418199</v>
      </c>
      <c r="CB2139">
        <v>2.8823998273837601</v>
      </c>
      <c r="CC2139">
        <v>1.8447358895256101</v>
      </c>
    </row>
    <row r="2140" spans="39:81">
      <c r="AM2140" s="2"/>
      <c r="AN2140" s="2"/>
      <c r="AS2140">
        <v>3.1949288399676199</v>
      </c>
      <c r="AT2140">
        <v>49.175737907357401</v>
      </c>
      <c r="CB2140">
        <v>3.1949288399676199</v>
      </c>
      <c r="CC2140">
        <v>2.04475445757928</v>
      </c>
    </row>
    <row r="2141" spans="39:81">
      <c r="AM2141" s="2"/>
      <c r="AN2141" s="2"/>
      <c r="AS2141">
        <v>3.5098456048628401</v>
      </c>
      <c r="AT2141">
        <v>48.595973804528398</v>
      </c>
      <c r="CB2141">
        <v>3.5098456048628401</v>
      </c>
      <c r="CC2141">
        <v>2.2463011871122101</v>
      </c>
    </row>
    <row r="2142" spans="39:81">
      <c r="AM2142" s="2"/>
      <c r="AN2142" s="2"/>
      <c r="AS2142">
        <v>3.8048826437077499</v>
      </c>
      <c r="AT2142">
        <v>48.145614905388904</v>
      </c>
      <c r="CB2142">
        <v>3.8048826437077499</v>
      </c>
      <c r="CC2142">
        <v>2.43512489197296</v>
      </c>
    </row>
    <row r="2143" spans="39:81">
      <c r="AM2143" s="2"/>
      <c r="AN2143" s="2"/>
      <c r="AS2143">
        <v>4.0631985783916198</v>
      </c>
      <c r="AT2143">
        <v>47.853029108680403</v>
      </c>
      <c r="CB2143">
        <v>4.0631985783916198</v>
      </c>
      <c r="CC2143">
        <v>2.6004470901706398</v>
      </c>
    </row>
    <row r="2144" spans="39:81">
      <c r="AM2144" s="2"/>
      <c r="AN2144" s="2"/>
      <c r="AS2144">
        <v>4.3490839597258502</v>
      </c>
      <c r="AT2144">
        <v>47.411983450307503</v>
      </c>
      <c r="CB2144">
        <v>4.3490839597258502</v>
      </c>
      <c r="CC2144">
        <v>2.7834137342245402</v>
      </c>
    </row>
    <row r="2145" spans="39:81">
      <c r="AM2145" s="2"/>
      <c r="AN2145" s="2"/>
      <c r="AS2145">
        <v>4.6117301154022501</v>
      </c>
      <c r="AT2145">
        <v>47.447799913995901</v>
      </c>
      <c r="CB2145">
        <v>4.6117301154022501</v>
      </c>
      <c r="CC2145">
        <v>2.9515072738574402</v>
      </c>
    </row>
    <row r="2146" spans="39:81">
      <c r="AM2146" s="2"/>
      <c r="AN2146" s="2"/>
      <c r="AS2146">
        <v>4.8962830487392504</v>
      </c>
      <c r="AT2146">
        <v>47.135175590911302</v>
      </c>
      <c r="CB2146">
        <v>4.8962830487392504</v>
      </c>
      <c r="CC2146">
        <v>3.13362115119312</v>
      </c>
    </row>
    <row r="2147" spans="39:81">
      <c r="AM2147" s="2"/>
      <c r="AN2147" s="2"/>
      <c r="AS2147">
        <v>5.1813366015507301</v>
      </c>
      <c r="AT2147">
        <v>46.809473265665297</v>
      </c>
      <c r="CB2147">
        <v>5.1813366015507301</v>
      </c>
      <c r="CC2147">
        <v>3.3160554249924701</v>
      </c>
    </row>
    <row r="2148" spans="39:81">
      <c r="AM2148" s="2"/>
      <c r="AN2148" s="2"/>
      <c r="AS2148">
        <v>5.4181469500854096</v>
      </c>
      <c r="AT2148">
        <v>46.376261408776898</v>
      </c>
      <c r="CB2148">
        <v>5.4181469500854096</v>
      </c>
      <c r="CC2148">
        <v>3.46761404805466</v>
      </c>
    </row>
    <row r="2149" spans="39:81">
      <c r="AM2149" s="2"/>
      <c r="AN2149" s="2"/>
      <c r="AS2149">
        <v>5.6524336198442304</v>
      </c>
      <c r="AT2149">
        <v>45.593760088518202</v>
      </c>
      <c r="CB2149">
        <v>5.6524336198442304</v>
      </c>
      <c r="CC2149">
        <v>3.6175575167003098</v>
      </c>
    </row>
    <row r="2150" spans="39:81">
      <c r="AM2150" s="2"/>
      <c r="AN2150" s="2"/>
      <c r="AS2150">
        <v>5.85200652431483</v>
      </c>
      <c r="AT2150">
        <v>45.010476490728202</v>
      </c>
      <c r="CB2150">
        <v>5.85200652431483</v>
      </c>
      <c r="CC2150">
        <v>3.7452841755614901</v>
      </c>
    </row>
    <row r="2151" spans="39:81">
      <c r="AM2151" s="2"/>
      <c r="AN2151" s="2"/>
      <c r="AS2151">
        <v>6.0406683255209002</v>
      </c>
      <c r="AT2151">
        <v>44.512096379485101</v>
      </c>
      <c r="CB2151">
        <v>6.0406683255209002</v>
      </c>
      <c r="CC2151">
        <v>3.8660277283333699</v>
      </c>
    </row>
    <row r="2152" spans="39:81">
      <c r="AM2152" s="2"/>
      <c r="AN2152" s="2"/>
      <c r="AS2152">
        <v>6.2594611888434999</v>
      </c>
      <c r="AT2152">
        <v>44.117484369477197</v>
      </c>
      <c r="CB2152">
        <v>6.2594611888434999</v>
      </c>
      <c r="CC2152">
        <v>4.00605516085984</v>
      </c>
    </row>
    <row r="2153" spans="39:81">
      <c r="AM2153" s="2"/>
      <c r="AN2153" s="2"/>
      <c r="AS2153">
        <v>6.4761896291863001</v>
      </c>
      <c r="AT2153">
        <v>43.789401961979699</v>
      </c>
      <c r="CB2153">
        <v>6.4761896291863001</v>
      </c>
      <c r="CC2153">
        <v>4.1447613626792297</v>
      </c>
    </row>
    <row r="2154" spans="39:81">
      <c r="AM2154" s="2"/>
      <c r="AN2154" s="2"/>
      <c r="AS2154">
        <v>6.7003584728585199</v>
      </c>
      <c r="AT2154">
        <v>43.388155417892399</v>
      </c>
      <c r="CB2154">
        <v>6.7003584728585199</v>
      </c>
      <c r="CC2154">
        <v>4.2882294226294499</v>
      </c>
    </row>
    <row r="2155" spans="39:81">
      <c r="AM2155" s="2"/>
      <c r="AN2155" s="2"/>
      <c r="AS2155">
        <v>6.9187952097932399</v>
      </c>
      <c r="AT2155">
        <v>42.687307077951402</v>
      </c>
      <c r="CB2155">
        <v>6.9187952097932399</v>
      </c>
      <c r="CC2155">
        <v>4.4280289342676697</v>
      </c>
    </row>
    <row r="2156" spans="39:81">
      <c r="AM2156" s="2"/>
      <c r="AN2156" s="2"/>
      <c r="AS2156">
        <v>7.1077794899345399</v>
      </c>
      <c r="AT2156">
        <v>41.978943037000903</v>
      </c>
      <c r="CB2156">
        <v>7.1077794899345399</v>
      </c>
      <c r="CC2156">
        <v>4.5489788735580996</v>
      </c>
    </row>
    <row r="2157" spans="39:81">
      <c r="AM2157" s="2"/>
      <c r="AN2157" s="2"/>
      <c r="AS2157">
        <v>7.3123637463248699</v>
      </c>
      <c r="AT2157">
        <v>41.173999183330899</v>
      </c>
      <c r="CB2157">
        <v>7.3123637463248699</v>
      </c>
      <c r="CC2157">
        <v>4.67991279764792</v>
      </c>
    </row>
    <row r="2158" spans="39:81">
      <c r="AM2158" s="2"/>
      <c r="AN2158" s="2"/>
      <c r="AS2158">
        <v>7.5267583382192997</v>
      </c>
      <c r="AT2158">
        <v>40.339163605348901</v>
      </c>
      <c r="CB2158">
        <v>7.5267583382192997</v>
      </c>
      <c r="CC2158">
        <v>4.8171253364603501</v>
      </c>
    </row>
    <row r="2159" spans="39:81">
      <c r="AM2159" s="2"/>
      <c r="AN2159" s="2"/>
      <c r="AS2159">
        <v>7.7365921599865199</v>
      </c>
      <c r="AT2159">
        <v>39.777681604563803</v>
      </c>
      <c r="CB2159">
        <v>7.7365921599865199</v>
      </c>
      <c r="CC2159">
        <v>4.9514189823913703</v>
      </c>
    </row>
    <row r="2160" spans="39:81">
      <c r="AM2160" s="2"/>
      <c r="AN2160" s="2"/>
      <c r="AS2160">
        <v>7.9659162784816697</v>
      </c>
      <c r="AT2160">
        <v>38.892794643583102</v>
      </c>
      <c r="CB2160">
        <v>7.9659162784816697</v>
      </c>
      <c r="CC2160">
        <v>5.0981864182282699</v>
      </c>
    </row>
    <row r="2161" spans="39:81">
      <c r="AM2161" s="2"/>
      <c r="AN2161" s="2"/>
      <c r="AS2161">
        <v>8.16683917795398</v>
      </c>
      <c r="AT2161">
        <v>38.227505208473602</v>
      </c>
      <c r="CB2161">
        <v>8.16683917795398</v>
      </c>
      <c r="CC2161">
        <v>5.2267770738905499</v>
      </c>
    </row>
    <row r="2162" spans="39:81">
      <c r="AM2162" s="2"/>
      <c r="AN2162" s="2"/>
      <c r="AS2162">
        <v>8.3673540796740298</v>
      </c>
      <c r="AT2162">
        <v>37.4725057488264</v>
      </c>
      <c r="CB2162">
        <v>8.3673540796740298</v>
      </c>
      <c r="CC2162">
        <v>5.3551066109913803</v>
      </c>
    </row>
    <row r="2163" spans="39:81">
      <c r="AM2163" s="2"/>
      <c r="AN2163" s="2"/>
      <c r="AS2163">
        <v>8.5809063455738404</v>
      </c>
      <c r="AT2163">
        <v>36.539248478203803</v>
      </c>
      <c r="CB2163">
        <v>8.5809063455738404</v>
      </c>
      <c r="CC2163">
        <v>5.49178006116726</v>
      </c>
    </row>
    <row r="2164" spans="39:81">
      <c r="AM2164" s="2"/>
      <c r="AN2164" s="2"/>
      <c r="AS2164">
        <v>8.7603131347490706</v>
      </c>
      <c r="AT2164">
        <v>35.630488474014001</v>
      </c>
      <c r="CB2164">
        <v>8.7603131347490706</v>
      </c>
      <c r="CC2164">
        <v>5.6066004062393997</v>
      </c>
    </row>
    <row r="2165" spans="39:81">
      <c r="AM2165" s="2"/>
      <c r="AN2165" s="2"/>
      <c r="AS2165">
        <v>8.9640140613611496</v>
      </c>
      <c r="AT2165">
        <v>34.510078858975</v>
      </c>
      <c r="CB2165">
        <v>8.9640140613611496</v>
      </c>
      <c r="CC2165">
        <v>5.7369689992711397</v>
      </c>
    </row>
    <row r="2166" spans="39:81">
      <c r="AM2166" s="2"/>
      <c r="AN2166" s="2"/>
      <c r="AS2166">
        <v>9.1538831695612597</v>
      </c>
      <c r="AT2166">
        <v>33.458196846765603</v>
      </c>
      <c r="CB2166">
        <v>9.1538831695612597</v>
      </c>
      <c r="CC2166">
        <v>5.8584852285191999</v>
      </c>
    </row>
    <row r="2167" spans="39:81">
      <c r="AM2167" s="2"/>
      <c r="AN2167" s="2"/>
      <c r="AS2167">
        <v>9.3191765346786504</v>
      </c>
      <c r="AT2167">
        <v>32.407253395171402</v>
      </c>
      <c r="CB2167">
        <v>9.3191765346786504</v>
      </c>
      <c r="CC2167">
        <v>5.9642729821943297</v>
      </c>
    </row>
    <row r="2168" spans="39:81">
      <c r="AM2168" s="2"/>
      <c r="AN2168" s="2"/>
      <c r="AS2168">
        <v>9.5008967877120103</v>
      </c>
      <c r="AT2168">
        <v>31.464358012398101</v>
      </c>
      <c r="CB2168">
        <v>9.5008967877120103</v>
      </c>
      <c r="CC2168">
        <v>6.0805739441356899</v>
      </c>
    </row>
    <row r="2169" spans="39:81">
      <c r="AM2169" s="2"/>
      <c r="AN2169" s="2"/>
      <c r="AS2169">
        <v>9.6700067329764892</v>
      </c>
      <c r="AT2169">
        <v>30.549324346193501</v>
      </c>
      <c r="CB2169">
        <v>9.6700067329764892</v>
      </c>
      <c r="CC2169">
        <v>6.1888043091049498</v>
      </c>
    </row>
    <row r="2170" spans="39:81">
      <c r="AM2170" s="2"/>
      <c r="AN2170" s="2"/>
      <c r="AS2170">
        <v>9.8233981550508194</v>
      </c>
      <c r="AT2170">
        <v>29.512759948179099</v>
      </c>
      <c r="CB2170">
        <v>9.8233981550508194</v>
      </c>
      <c r="CC2170">
        <v>6.2869748192325297</v>
      </c>
    </row>
    <row r="2171" spans="39:81">
      <c r="AM2171" s="2"/>
      <c r="AN2171" s="2"/>
      <c r="AS2171">
        <v>9.9947811159210502</v>
      </c>
      <c r="AT2171">
        <v>28.403156286518399</v>
      </c>
      <c r="CB2171">
        <v>9.9947811159210502</v>
      </c>
      <c r="CC2171">
        <v>6.3966599141894704</v>
      </c>
    </row>
    <row r="2172" spans="39:81">
      <c r="AM2172" s="2"/>
      <c r="AN2172" s="2"/>
      <c r="AS2172">
        <v>10.1370905630114</v>
      </c>
      <c r="AT2172">
        <v>27.1239207477044</v>
      </c>
      <c r="CB2172">
        <v>10.1370905630114</v>
      </c>
      <c r="CC2172">
        <v>6.4877379603273004</v>
      </c>
    </row>
    <row r="2173" spans="39:81">
      <c r="AM2173" s="2"/>
      <c r="AN2173" s="2"/>
      <c r="AS2173">
        <v>10.281345632515199</v>
      </c>
      <c r="AT2173">
        <v>25.856506521938599</v>
      </c>
      <c r="CB2173">
        <v>10.281345632515199</v>
      </c>
      <c r="CC2173">
        <v>6.5800612048097502</v>
      </c>
    </row>
    <row r="2174" spans="39:81">
      <c r="AM2174" s="2"/>
      <c r="AN2174" s="2"/>
      <c r="AS2174">
        <v>10.4353099589396</v>
      </c>
      <c r="AT2174">
        <v>24.773159674083399</v>
      </c>
      <c r="CB2174">
        <v>10.4353099589396</v>
      </c>
      <c r="CC2174">
        <v>6.6785983737213801</v>
      </c>
    </row>
    <row r="2175" spans="39:81">
      <c r="AM2175" s="2"/>
      <c r="AN2175" s="2"/>
      <c r="AS2175">
        <v>10.538044951342901</v>
      </c>
      <c r="AT2175">
        <v>23.743901375644601</v>
      </c>
      <c r="CB2175">
        <v>10.538044951342901</v>
      </c>
      <c r="CC2175">
        <v>6.7443487688594796</v>
      </c>
    </row>
    <row r="2176" spans="39:81">
      <c r="AM2176" s="2"/>
      <c r="AN2176" s="2"/>
      <c r="AS2176">
        <v>10.6640272798581</v>
      </c>
      <c r="AT2176">
        <v>22.809072049028199</v>
      </c>
      <c r="CB2176">
        <v>10.6640272798581</v>
      </c>
      <c r="CC2176">
        <v>6.8249774591092098</v>
      </c>
    </row>
    <row r="2177" spans="39:81">
      <c r="AM2177" s="2"/>
      <c r="AN2177" s="2"/>
      <c r="AS2177">
        <v>10.7822876413521</v>
      </c>
      <c r="AT2177">
        <v>21.9022779665138</v>
      </c>
      <c r="CB2177">
        <v>10.7822876413521</v>
      </c>
      <c r="CC2177">
        <v>6.9006640904653898</v>
      </c>
    </row>
    <row r="2178" spans="39:81">
      <c r="AM2178" s="2"/>
      <c r="AN2178" s="2"/>
      <c r="AS2178">
        <v>10.8813113293456</v>
      </c>
      <c r="AT2178">
        <v>20.7418085039041</v>
      </c>
      <c r="CB2178">
        <v>10.8813113293456</v>
      </c>
      <c r="CC2178">
        <v>6.9640392507811901</v>
      </c>
    </row>
    <row r="2179" spans="39:81">
      <c r="AM2179" s="2"/>
      <c r="AN2179" s="2"/>
      <c r="AS2179">
        <v>11.034332724927999</v>
      </c>
      <c r="AT2179">
        <v>19.549184931365801</v>
      </c>
      <c r="CB2179">
        <v>11.034332724927999</v>
      </c>
      <c r="CC2179">
        <v>7.0619729439539496</v>
      </c>
    </row>
    <row r="2180" spans="39:81">
      <c r="AM2180" s="2"/>
      <c r="AN2180" s="2"/>
      <c r="AS2180">
        <v>11.1588356910743</v>
      </c>
      <c r="AT2180">
        <v>18.289075225297601</v>
      </c>
      <c r="CB2180">
        <v>11.1588356910743</v>
      </c>
      <c r="CC2180">
        <v>7.1416548422875703</v>
      </c>
    </row>
    <row r="2181" spans="39:81">
      <c r="AM2181" s="2"/>
      <c r="AN2181" s="2"/>
      <c r="AS2181">
        <v>11.3022669405606</v>
      </c>
      <c r="AT2181">
        <v>17.0687353516036</v>
      </c>
      <c r="CB2181">
        <v>11.3022669405606</v>
      </c>
      <c r="CC2181">
        <v>7.2334508419587999</v>
      </c>
    </row>
    <row r="2182" spans="39:81">
      <c r="AM2182" s="2"/>
      <c r="AN2182" s="2"/>
      <c r="AS2182">
        <v>11.4435839875015</v>
      </c>
      <c r="AT2182">
        <v>15.9277643603267</v>
      </c>
      <c r="CB2182">
        <v>11.4435839875015</v>
      </c>
      <c r="CC2182">
        <v>7.3238937520010197</v>
      </c>
    </row>
    <row r="2183" spans="39:81">
      <c r="AM2183" s="2"/>
      <c r="AN2183" s="2"/>
      <c r="AS2183">
        <v>11.5130089563618</v>
      </c>
      <c r="AT2183">
        <v>14.6802905824461</v>
      </c>
      <c r="CB2183">
        <v>11.5130089563618</v>
      </c>
      <c r="CC2183">
        <v>7.3683257320716002</v>
      </c>
    </row>
    <row r="2184" spans="39:81">
      <c r="AM2184" s="2"/>
      <c r="AN2184" s="2"/>
      <c r="AS2184">
        <v>11.6153970554845</v>
      </c>
      <c r="AT2184">
        <v>13.7406223004479</v>
      </c>
      <c r="CB2184">
        <v>11.6153970554845</v>
      </c>
      <c r="CC2184">
        <v>7.4338541155101296</v>
      </c>
    </row>
    <row r="2185" spans="39:81">
      <c r="AM2185" s="2"/>
      <c r="AN2185" s="2"/>
      <c r="AS2185">
        <v>11.6630106882576</v>
      </c>
      <c r="AT2185">
        <v>12.470239027619799</v>
      </c>
      <c r="CB2185">
        <v>11.6630106882576</v>
      </c>
      <c r="CC2185">
        <v>7.4643268404848797</v>
      </c>
    </row>
    <row r="2186" spans="39:81">
      <c r="AM2186" s="2"/>
      <c r="AN2186" s="2"/>
      <c r="AS2186">
        <v>11.6921049151041</v>
      </c>
      <c r="AT2186">
        <v>11.258749976703401</v>
      </c>
      <c r="CB2186">
        <v>11.6921049151041</v>
      </c>
      <c r="CC2186">
        <v>7.4829471456666798</v>
      </c>
    </row>
    <row r="2187" spans="39:81">
      <c r="AM2187" s="2"/>
      <c r="AN2187" s="2"/>
      <c r="AS2187">
        <v>11.7587321259688</v>
      </c>
      <c r="AT2187">
        <v>9.9291736790011207</v>
      </c>
      <c r="CB2187">
        <v>11.7587321259688</v>
      </c>
      <c r="CC2187">
        <v>7.5255885606200499</v>
      </c>
    </row>
    <row r="2188" spans="39:81">
      <c r="AM2188" s="2"/>
      <c r="AN2188" s="2"/>
      <c r="AS2188">
        <v>11.787851734627299</v>
      </c>
      <c r="AT2188">
        <v>8.3038738265813006</v>
      </c>
      <c r="CB2188">
        <v>11.787851734627299</v>
      </c>
      <c r="CC2188">
        <v>7.5442251101614799</v>
      </c>
    </row>
    <row r="2189" spans="39:81">
      <c r="AM2189" s="2"/>
      <c r="AN2189" s="2"/>
      <c r="AS2189">
        <v>11.8672096568752</v>
      </c>
      <c r="AT2189">
        <v>7.0037498790430401</v>
      </c>
      <c r="CB2189">
        <v>11.8672096568752</v>
      </c>
      <c r="CC2189">
        <v>7.5950141804001401</v>
      </c>
    </row>
    <row r="2190" spans="39:81">
      <c r="AM2190" s="2"/>
      <c r="AN2190" s="2"/>
      <c r="AS2190">
        <v>11.9388576986868</v>
      </c>
      <c r="AT2190">
        <v>5.5535536007237498</v>
      </c>
      <c r="CB2190">
        <v>11.9388576986868</v>
      </c>
      <c r="CC2190">
        <v>7.6408689271596097</v>
      </c>
    </row>
    <row r="2191" spans="39:81">
      <c r="AM2191" s="2"/>
      <c r="AN2191" s="2"/>
      <c r="AS2191">
        <v>11.959327793293401</v>
      </c>
      <c r="AT2191">
        <v>4.3836912680919902</v>
      </c>
      <c r="CB2191">
        <v>11.959327793293401</v>
      </c>
      <c r="CC2191">
        <v>7.6539697877078101</v>
      </c>
    </row>
    <row r="2192" spans="39:81">
      <c r="AM2192" s="2"/>
      <c r="AN2192" s="2"/>
      <c r="AS2192">
        <v>11.9793350960192</v>
      </c>
      <c r="AT2192">
        <v>3.3338564548571901</v>
      </c>
      <c r="CB2192">
        <v>11.9793350960192</v>
      </c>
      <c r="CC2192">
        <v>7.6667744614522899</v>
      </c>
    </row>
    <row r="2193" spans="39:81">
      <c r="AM2193" s="2"/>
      <c r="AN2193" s="2"/>
      <c r="AS2193">
        <v>11.9327497812196</v>
      </c>
      <c r="AT2193">
        <v>2.1069950305793799</v>
      </c>
      <c r="CB2193">
        <v>11.9327497812196</v>
      </c>
      <c r="CC2193">
        <v>7.6369598599805402</v>
      </c>
    </row>
    <row r="2194" spans="39:81">
      <c r="AM2194" s="2"/>
      <c r="AN2194" s="2"/>
      <c r="AS2194">
        <v>11.8889774706971</v>
      </c>
      <c r="AT2194">
        <v>0.77384631799759496</v>
      </c>
      <c r="CB2194">
        <v>11.8889774706971</v>
      </c>
      <c r="CC2194">
        <v>7.6089455812461599</v>
      </c>
    </row>
    <row r="2195" spans="39:81">
      <c r="AM2195" s="2"/>
      <c r="AN2195" s="2"/>
      <c r="AS2195">
        <v>11.8912302892429</v>
      </c>
      <c r="AT2195">
        <v>-0.71588900655292698</v>
      </c>
      <c r="CB2195">
        <v>11.8912302892429</v>
      </c>
      <c r="CC2195">
        <v>7.61038738511549</v>
      </c>
    </row>
    <row r="2196" spans="39:81">
      <c r="AM2196" s="2"/>
      <c r="AN2196" s="2"/>
      <c r="AS2196">
        <v>11.868188417896301</v>
      </c>
      <c r="AT2196">
        <v>-2.2979068143801098</v>
      </c>
      <c r="CB2196">
        <v>11.868188417896301</v>
      </c>
      <c r="CC2196">
        <v>7.5956405874536701</v>
      </c>
    </row>
    <row r="2197" spans="39:81">
      <c r="AM2197" s="2"/>
      <c r="AN2197" s="2"/>
      <c r="AS2197">
        <v>11.872058437776801</v>
      </c>
      <c r="AT2197">
        <v>-3.7246280884488598</v>
      </c>
      <c r="CB2197">
        <v>11.872058437776801</v>
      </c>
      <c r="CC2197">
        <v>7.5981174001771503</v>
      </c>
    </row>
    <row r="2198" spans="39:81">
      <c r="AM2198" s="2"/>
      <c r="AN2198" s="2"/>
      <c r="AS2198">
        <v>11.8458048735533</v>
      </c>
      <c r="AT2198">
        <v>-4.9096454431559504</v>
      </c>
      <c r="CB2198">
        <v>11.8458048735533</v>
      </c>
      <c r="CC2198">
        <v>7.5813151190741204</v>
      </c>
    </row>
    <row r="2199" spans="39:81">
      <c r="AM2199" s="2"/>
      <c r="AN2199" s="2"/>
      <c r="AS2199">
        <v>11.7561123634413</v>
      </c>
      <c r="AT2199">
        <v>-6.1397551794645002</v>
      </c>
      <c r="CB2199">
        <v>11.7561123634413</v>
      </c>
      <c r="CC2199">
        <v>7.5239119126024701</v>
      </c>
    </row>
    <row r="2200" spans="39:81">
      <c r="AM2200" s="2"/>
      <c r="AN2200" s="2"/>
      <c r="AS2200">
        <v>11.7019038338012</v>
      </c>
      <c r="AT2200">
        <v>-7.2055275062997</v>
      </c>
      <c r="CB2200">
        <v>11.7019038338012</v>
      </c>
      <c r="CC2200">
        <v>7.4892184536327999</v>
      </c>
    </row>
    <row r="2201" spans="39:81">
      <c r="AM2201" s="2"/>
      <c r="AN2201" s="2"/>
      <c r="AS2201">
        <v>11.619519246781699</v>
      </c>
      <c r="AT2201">
        <v>-8.5591587782566503</v>
      </c>
      <c r="CB2201">
        <v>11.619519246781699</v>
      </c>
      <c r="CC2201">
        <v>7.43649231794031</v>
      </c>
    </row>
    <row r="2202" spans="39:81">
      <c r="AM2202" s="2"/>
      <c r="AN2202" s="2"/>
      <c r="AS2202">
        <v>11.5513509946528</v>
      </c>
      <c r="AT2202">
        <v>-9.9294058990519503</v>
      </c>
      <c r="CB2202">
        <v>11.5513509946528</v>
      </c>
      <c r="CC2202">
        <v>7.3928646365778397</v>
      </c>
    </row>
    <row r="2203" spans="39:81">
      <c r="AM2203" s="2"/>
      <c r="AN2203" s="2"/>
      <c r="AS2203">
        <v>11.5135109000627</v>
      </c>
      <c r="AT2203">
        <v>-11.155583572532199</v>
      </c>
      <c r="CB2203">
        <v>11.5135109000627</v>
      </c>
      <c r="CC2203">
        <v>7.3686469760401296</v>
      </c>
    </row>
    <row r="2204" spans="39:81">
      <c r="AM2204" s="2"/>
      <c r="AN2204" s="2"/>
      <c r="AS2204">
        <v>11.420398660453801</v>
      </c>
      <c r="AT2204">
        <v>-12.605415442914101</v>
      </c>
      <c r="CB2204">
        <v>11.420398660453801</v>
      </c>
      <c r="CC2204">
        <v>7.30905514269047</v>
      </c>
    </row>
    <row r="2205" spans="39:81">
      <c r="AM2205" s="2"/>
      <c r="AN2205" s="2"/>
      <c r="AS2205">
        <v>11.3618331327324</v>
      </c>
      <c r="AT2205">
        <v>-13.810244201094999</v>
      </c>
      <c r="CB2205">
        <v>11.3618331327324</v>
      </c>
      <c r="CC2205">
        <v>7.2715732049487496</v>
      </c>
    </row>
    <row r="2206" spans="39:81">
      <c r="AM2206" s="2"/>
      <c r="AN2206" s="2"/>
      <c r="AS2206">
        <v>11.2699889887973</v>
      </c>
      <c r="AT2206">
        <v>-15.0700856640018</v>
      </c>
      <c r="CB2206">
        <v>11.2699889887973</v>
      </c>
      <c r="CC2206">
        <v>7.2127929528303003</v>
      </c>
    </row>
    <row r="2207" spans="39:81">
      <c r="AM2207" s="2"/>
      <c r="AN2207" s="2"/>
      <c r="AS2207">
        <v>11.1534428514551</v>
      </c>
      <c r="AT2207">
        <v>-16.152801974966</v>
      </c>
      <c r="CB2207">
        <v>11.1534428514551</v>
      </c>
      <c r="CC2207">
        <v>7.1382034249313202</v>
      </c>
    </row>
    <row r="2208" spans="39:81">
      <c r="AM2208" s="2"/>
      <c r="AN2208" s="2"/>
      <c r="AS2208">
        <v>11.065231318171399</v>
      </c>
      <c r="AT2208">
        <v>-17.220696774474899</v>
      </c>
      <c r="CB2208">
        <v>11.065231318171399</v>
      </c>
      <c r="CC2208">
        <v>7.0817480436297</v>
      </c>
    </row>
    <row r="2209" spans="39:81">
      <c r="AM2209" s="2"/>
      <c r="AN2209" s="2"/>
      <c r="AS2209">
        <v>10.9342342732545</v>
      </c>
      <c r="AT2209">
        <v>-18.2843259613079</v>
      </c>
      <c r="CB2209">
        <v>10.9342342732545</v>
      </c>
      <c r="CC2209">
        <v>6.9979099348828804</v>
      </c>
    </row>
    <row r="2210" spans="39:81">
      <c r="AM2210" s="2"/>
      <c r="AN2210" s="2"/>
      <c r="AS2210">
        <v>10.8280373020664</v>
      </c>
      <c r="AT2210">
        <v>-19.423208851080801</v>
      </c>
      <c r="CB2210">
        <v>10.8280373020664</v>
      </c>
      <c r="CC2210">
        <v>6.9299438733225198</v>
      </c>
    </row>
    <row r="2211" spans="39:81">
      <c r="AM2211" s="2"/>
      <c r="AN2211" s="2"/>
      <c r="AS2211">
        <v>10.744243469171099</v>
      </c>
      <c r="AT2211">
        <v>-20.7198764027431</v>
      </c>
      <c r="CB2211">
        <v>10.744243469171099</v>
      </c>
      <c r="CC2211">
        <v>6.87631582026955</v>
      </c>
    </row>
    <row r="2212" spans="39:81">
      <c r="AM2212" s="2"/>
      <c r="AN2212" s="2"/>
      <c r="AS2212">
        <v>10.6452068038846</v>
      </c>
      <c r="AT2212">
        <v>-21.9738469843576</v>
      </c>
      <c r="CB2212">
        <v>10.6452068038846</v>
      </c>
      <c r="CC2212">
        <v>6.8129323544861498</v>
      </c>
    </row>
    <row r="2213" spans="39:81">
      <c r="AM2213" s="2"/>
      <c r="AN2213" s="2"/>
      <c r="AS2213">
        <v>10.5735391023285</v>
      </c>
      <c r="AT2213">
        <v>-23.129628467270798</v>
      </c>
      <c r="CB2213">
        <v>10.5735391023285</v>
      </c>
      <c r="CC2213">
        <v>6.7670650254903002</v>
      </c>
    </row>
    <row r="2214" spans="39:81">
      <c r="AM2214" s="2"/>
      <c r="AN2214" s="2"/>
      <c r="AS2214">
        <v>10.4616873110953</v>
      </c>
      <c r="AT2214">
        <v>-24.206916927069901</v>
      </c>
      <c r="CB2214">
        <v>10.4616873110953</v>
      </c>
      <c r="CC2214">
        <v>6.6954798791010104</v>
      </c>
    </row>
    <row r="2215" spans="39:81">
      <c r="AM2215" s="2"/>
      <c r="AN2215" s="2"/>
      <c r="AS2215">
        <v>10.332392015467301</v>
      </c>
      <c r="AT2215">
        <v>-25.108549926932199</v>
      </c>
      <c r="CB2215">
        <v>10.332392015467301</v>
      </c>
      <c r="CC2215">
        <v>6.61273088989911</v>
      </c>
    </row>
    <row r="2216" spans="39:81">
      <c r="AM2216" s="2"/>
      <c r="AN2216" s="2"/>
      <c r="AS2216">
        <v>10.2162729502458</v>
      </c>
      <c r="AT2216">
        <v>-26.140528449720399</v>
      </c>
      <c r="CB2216">
        <v>10.2162729502458</v>
      </c>
      <c r="CC2216">
        <v>6.5384146881573297</v>
      </c>
    </row>
    <row r="2217" spans="39:81">
      <c r="AM2217" s="2"/>
      <c r="AN2217" s="2"/>
      <c r="AS2217">
        <v>10.055801819929901</v>
      </c>
      <c r="AT2217">
        <v>-27.344572423777699</v>
      </c>
      <c r="CB2217">
        <v>10.055801819929901</v>
      </c>
      <c r="CC2217">
        <v>6.4357131647551498</v>
      </c>
    </row>
    <row r="2218" spans="39:81">
      <c r="AM2218" s="2"/>
      <c r="AN2218" s="2"/>
      <c r="AS2218">
        <v>9.9069724256150593</v>
      </c>
      <c r="AT2218">
        <v>-28.512796294838601</v>
      </c>
      <c r="CB2218">
        <v>9.9069724256150593</v>
      </c>
      <c r="CC2218">
        <v>6.3404623523936401</v>
      </c>
    </row>
    <row r="2219" spans="39:81">
      <c r="AM2219" s="2"/>
      <c r="AN2219" s="2"/>
      <c r="AS2219">
        <v>9.7548568323660891</v>
      </c>
      <c r="AT2219">
        <v>-29.859396261586099</v>
      </c>
      <c r="CB2219">
        <v>9.7548568323660891</v>
      </c>
      <c r="CC2219">
        <v>6.24310837271429</v>
      </c>
    </row>
    <row r="2220" spans="39:81">
      <c r="AM2220" s="2"/>
      <c r="AN2220" s="2"/>
      <c r="AS2220">
        <v>9.5753345590431707</v>
      </c>
      <c r="AT2220">
        <v>-31.012992430985101</v>
      </c>
      <c r="CB2220">
        <v>9.5753345590431707</v>
      </c>
      <c r="CC2220">
        <v>6.1282141177876204</v>
      </c>
    </row>
    <row r="2221" spans="39:81">
      <c r="AM2221" s="2"/>
      <c r="AN2221" s="2"/>
      <c r="AS2221">
        <v>9.4123615689486098</v>
      </c>
      <c r="AT2221">
        <v>-32.043250388345598</v>
      </c>
      <c r="CB2221">
        <v>9.4123615689486098</v>
      </c>
      <c r="CC2221">
        <v>6.0239114041271096</v>
      </c>
    </row>
    <row r="2222" spans="39:81">
      <c r="AM2222" s="2"/>
      <c r="AN2222" s="2"/>
      <c r="AS2222">
        <v>9.2562722179710093</v>
      </c>
      <c r="AT2222">
        <v>-33.015577796210799</v>
      </c>
      <c r="CB2222">
        <v>9.2562722179710093</v>
      </c>
      <c r="CC2222">
        <v>5.9240142195014496</v>
      </c>
    </row>
    <row r="2223" spans="39:81">
      <c r="AM2223" s="2"/>
      <c r="AN2223" s="2"/>
      <c r="AS2223">
        <v>9.0739213197089406</v>
      </c>
      <c r="AT2223">
        <v>-33.898820953767398</v>
      </c>
      <c r="CB2223">
        <v>9.0739213197089406</v>
      </c>
      <c r="CC2223">
        <v>5.8073096446137198</v>
      </c>
    </row>
    <row r="2224" spans="39:81">
      <c r="AM2224" s="2"/>
      <c r="AN2224" s="2"/>
      <c r="AS2224">
        <v>8.9038384221799998</v>
      </c>
      <c r="AT2224">
        <v>-34.931247691833299</v>
      </c>
      <c r="CB2224">
        <v>8.9038384221799998</v>
      </c>
      <c r="CC2224">
        <v>5.6984565901951996</v>
      </c>
    </row>
    <row r="2225" spans="39:81">
      <c r="AM2225" s="2"/>
      <c r="AN2225" s="2"/>
      <c r="AS2225">
        <v>8.6980896060162696</v>
      </c>
      <c r="AT2225">
        <v>-35.879428743663397</v>
      </c>
      <c r="CB2225">
        <v>8.6980896060162696</v>
      </c>
      <c r="CC2225">
        <v>5.5667773478504099</v>
      </c>
    </row>
    <row r="2226" spans="39:81">
      <c r="AM2226" s="2"/>
      <c r="AN2226" s="2"/>
      <c r="AS2226">
        <v>8.4818260511099393</v>
      </c>
      <c r="AT2226">
        <v>-36.875219547445603</v>
      </c>
      <c r="CB2226">
        <v>8.4818260511099393</v>
      </c>
      <c r="CC2226">
        <v>5.4283686727103602</v>
      </c>
    </row>
    <row r="2227" spans="39:81">
      <c r="AM2227" s="2"/>
      <c r="AN2227" s="2"/>
      <c r="AS2227">
        <v>8.2883444169768303</v>
      </c>
      <c r="AT2227">
        <v>-37.978804892539102</v>
      </c>
      <c r="CB2227">
        <v>8.2883444169768303</v>
      </c>
      <c r="CC2227">
        <v>5.3045404268651701</v>
      </c>
    </row>
    <row r="2228" spans="39:81">
      <c r="AM2228" s="2"/>
      <c r="AN2228" s="2"/>
      <c r="AS2228">
        <v>8.0685790180650194</v>
      </c>
      <c r="AT2228">
        <v>-38.713013953548597</v>
      </c>
      <c r="CB2228">
        <v>8.0685790180650194</v>
      </c>
      <c r="CC2228">
        <v>5.1638905715616099</v>
      </c>
    </row>
    <row r="2229" spans="39:81">
      <c r="AM2229" s="2"/>
      <c r="AN2229" s="2"/>
      <c r="AS2229">
        <v>7.8516798161876702</v>
      </c>
      <c r="AT2229">
        <v>-39.640200207645996</v>
      </c>
      <c r="CB2229">
        <v>7.8516798161876702</v>
      </c>
      <c r="CC2229">
        <v>5.02507508236011</v>
      </c>
    </row>
    <row r="2230" spans="39:81">
      <c r="AM2230" s="2"/>
      <c r="AN2230" s="2"/>
      <c r="AS2230">
        <v>7.6410869876436198</v>
      </c>
      <c r="AT2230">
        <v>-40.180184174703697</v>
      </c>
      <c r="CB2230">
        <v>7.6410869876436198</v>
      </c>
      <c r="CC2230">
        <v>4.8902956720919102</v>
      </c>
    </row>
    <row r="2231" spans="39:81">
      <c r="AM2231" s="2"/>
      <c r="AN2231" s="2"/>
      <c r="AS2231">
        <v>7.4152316355980297</v>
      </c>
      <c r="AT2231">
        <v>-40.714853955141201</v>
      </c>
      <c r="CB2231">
        <v>7.4152316355980297</v>
      </c>
      <c r="CC2231">
        <v>4.7457482467827301</v>
      </c>
    </row>
    <row r="2232" spans="39:81">
      <c r="AM2232" s="2"/>
      <c r="AN2232" s="2"/>
      <c r="AS2232">
        <v>7.2195436810295002</v>
      </c>
      <c r="AT2232">
        <v>-41.475785481636102</v>
      </c>
      <c r="CB2232">
        <v>7.2195436810295002</v>
      </c>
      <c r="CC2232">
        <v>4.62050795585888</v>
      </c>
    </row>
    <row r="2233" spans="39:81">
      <c r="AM2233" s="2"/>
      <c r="AN2233" s="2"/>
      <c r="AS2233">
        <v>7.0229026128479903</v>
      </c>
      <c r="AT2233">
        <v>-42.095284572778802</v>
      </c>
      <c r="CB2233">
        <v>7.0229026128479903</v>
      </c>
      <c r="CC2233">
        <v>4.4946576722227096</v>
      </c>
    </row>
    <row r="2234" spans="39:81">
      <c r="AM2234" s="2"/>
      <c r="AN2234" s="2"/>
      <c r="AS2234">
        <v>6.8115956435980003</v>
      </c>
      <c r="AT2234">
        <v>-43.003110777302702</v>
      </c>
      <c r="CB2234">
        <v>6.8115956435980003</v>
      </c>
      <c r="CC2234">
        <v>4.3594212119027196</v>
      </c>
    </row>
    <row r="2235" spans="39:81">
      <c r="AM2235" s="2"/>
      <c r="AN2235" s="2"/>
      <c r="AS2235">
        <v>6.5967996311996204</v>
      </c>
      <c r="AT2235">
        <v>-43.814245203356997</v>
      </c>
      <c r="CB2235">
        <v>6.5967996311996204</v>
      </c>
      <c r="CC2235">
        <v>4.22195176396776</v>
      </c>
    </row>
    <row r="2236" spans="39:81">
      <c r="AM2236" s="2"/>
      <c r="AN2236" s="2"/>
      <c r="AS2236">
        <v>6.3455613632458299</v>
      </c>
      <c r="AT2236">
        <v>-44.427762290704202</v>
      </c>
      <c r="CB2236">
        <v>6.3455613632458299</v>
      </c>
      <c r="CC2236">
        <v>4.0611592724773304</v>
      </c>
    </row>
    <row r="2237" spans="39:81">
      <c r="AM2237" s="2"/>
      <c r="AN2237" s="2"/>
      <c r="AS2237">
        <v>6.1008080068984096</v>
      </c>
      <c r="AT2237">
        <v>-44.9104495839469</v>
      </c>
      <c r="CB2237">
        <v>6.1008080068984096</v>
      </c>
      <c r="CC2237">
        <v>3.9045171244149799</v>
      </c>
    </row>
    <row r="2238" spans="39:81">
      <c r="AM2238" s="2"/>
      <c r="AN2238" s="2"/>
      <c r="AS2238">
        <v>5.8644974320349199</v>
      </c>
      <c r="AT2238">
        <v>-45.282023272856698</v>
      </c>
      <c r="CB2238">
        <v>5.8644974320349199</v>
      </c>
      <c r="CC2238">
        <v>3.7532783565023502</v>
      </c>
    </row>
    <row r="2239" spans="39:81">
      <c r="AM2239" s="2"/>
      <c r="AN2239" s="2"/>
      <c r="AS2239">
        <v>5.6065894562005498</v>
      </c>
      <c r="AT2239">
        <v>-45.5745103925981</v>
      </c>
      <c r="CB2239">
        <v>5.6065894562005498</v>
      </c>
      <c r="CC2239">
        <v>3.58821725196835</v>
      </c>
    </row>
    <row r="2240" spans="39:81">
      <c r="AM2240" s="2"/>
      <c r="AN2240" s="2"/>
      <c r="AS2240">
        <v>5.3655572325457204</v>
      </c>
      <c r="AT2240">
        <v>-46.110465538978502</v>
      </c>
      <c r="CB2240">
        <v>5.3655572325457204</v>
      </c>
      <c r="CC2240">
        <v>3.43395662882926</v>
      </c>
    </row>
    <row r="2241" spans="39:81">
      <c r="AM2241" s="2"/>
      <c r="AN2241" s="2"/>
      <c r="AS2241">
        <v>5.0835170740523701</v>
      </c>
      <c r="AT2241">
        <v>-46.687827804978298</v>
      </c>
      <c r="CB2241">
        <v>5.0835170740523701</v>
      </c>
      <c r="CC2241">
        <v>3.2534509273935202</v>
      </c>
    </row>
    <row r="2242" spans="39:81">
      <c r="AM2242" s="2"/>
      <c r="AN2242" s="2"/>
      <c r="AS2242">
        <v>4.77748014340757</v>
      </c>
      <c r="AT2242">
        <v>-47.195021157579099</v>
      </c>
      <c r="CB2242">
        <v>4.77748014340757</v>
      </c>
      <c r="CC2242">
        <v>3.0575872917808402</v>
      </c>
    </row>
    <row r="2243" spans="39:81">
      <c r="AM2243" s="2"/>
      <c r="AN2243" s="2"/>
      <c r="AS2243">
        <v>4.4848913945990398</v>
      </c>
      <c r="AT2243">
        <v>-47.820822617970499</v>
      </c>
      <c r="CB2243">
        <v>4.4848913945990398</v>
      </c>
      <c r="CC2243">
        <v>2.8703304925433799</v>
      </c>
    </row>
    <row r="2244" spans="39:81">
      <c r="AM2244" s="2"/>
      <c r="AN2244" s="2"/>
      <c r="AS2244">
        <v>4.1601183708909097</v>
      </c>
      <c r="AT2244">
        <v>-47.9676430953891</v>
      </c>
      <c r="CB2244">
        <v>4.1601183708909097</v>
      </c>
      <c r="CC2244">
        <v>2.6624757573701801</v>
      </c>
    </row>
    <row r="2245" spans="39:81">
      <c r="AM2245" s="2"/>
      <c r="AN2245" s="2"/>
      <c r="AS2245">
        <v>3.86393474589048</v>
      </c>
      <c r="AT2245">
        <v>-48.279146068200099</v>
      </c>
      <c r="CB2245">
        <v>3.86393474589048</v>
      </c>
      <c r="CC2245">
        <v>2.4729182373699001</v>
      </c>
    </row>
    <row r="2246" spans="39:81">
      <c r="AM2246" s="2"/>
      <c r="AN2246" s="2"/>
      <c r="AS2246">
        <v>3.5666807692231299</v>
      </c>
      <c r="AT2246">
        <v>-48.541243172985297</v>
      </c>
      <c r="CB2246">
        <v>3.5666807692231299</v>
      </c>
      <c r="CC2246">
        <v>2.2826756923028002</v>
      </c>
    </row>
    <row r="2247" spans="39:81">
      <c r="AM2247" s="2"/>
      <c r="AN2247" s="2"/>
      <c r="AS2247">
        <v>3.2548625951662098</v>
      </c>
      <c r="AT2247">
        <v>-48.683083897392102</v>
      </c>
      <c r="CB2247">
        <v>3.2548625951662098</v>
      </c>
      <c r="CC2247">
        <v>2.08311206090637</v>
      </c>
    </row>
    <row r="2248" spans="39:81">
      <c r="AM2248" s="2"/>
      <c r="AN2248" s="2"/>
      <c r="AS2248">
        <v>2.9564327440278801</v>
      </c>
      <c r="AT2248">
        <v>-49.117245304893302</v>
      </c>
      <c r="CB2248">
        <v>2.9564327440278801</v>
      </c>
      <c r="CC2248">
        <v>1.8921169561778399</v>
      </c>
    </row>
    <row r="2249" spans="39:81">
      <c r="AM2249" s="2"/>
      <c r="AN2249" s="2"/>
      <c r="AS2249">
        <v>2.6260774535379401</v>
      </c>
      <c r="AT2249">
        <v>-49.365322769723498</v>
      </c>
      <c r="CB2249">
        <v>2.6260774535379401</v>
      </c>
      <c r="CC2249">
        <v>1.6806895702642799</v>
      </c>
    </row>
    <row r="2250" spans="39:81">
      <c r="AM2250" s="2"/>
      <c r="AN2250" s="2"/>
      <c r="AS2250">
        <v>2.31057378430555</v>
      </c>
      <c r="AT2250">
        <v>-49.8087371961009</v>
      </c>
      <c r="CB2250">
        <v>2.31057378430555</v>
      </c>
      <c r="CC2250">
        <v>1.4787672219555501</v>
      </c>
    </row>
    <row r="2251" spans="39:81">
      <c r="AM2251" s="2"/>
      <c r="AN2251" s="2"/>
      <c r="AS2251">
        <v>1.98552533749023</v>
      </c>
      <c r="AT2251">
        <v>-50.087676008485801</v>
      </c>
      <c r="CB2251">
        <v>1.98552533749023</v>
      </c>
      <c r="CC2251">
        <v>1.2707362159937401</v>
      </c>
    </row>
    <row r="2252" spans="39:81">
      <c r="AM2252" s="2"/>
      <c r="AN2252" s="2"/>
      <c r="AS2252">
        <v>1.6600072149040399</v>
      </c>
      <c r="AT2252">
        <v>-50.315768376918498</v>
      </c>
      <c r="CB2252">
        <v>1.6600072149040399</v>
      </c>
      <c r="CC2252">
        <v>1.06240461753858</v>
      </c>
    </row>
    <row r="2253" spans="39:81">
      <c r="AM2253" s="2"/>
      <c r="AN2253" s="2"/>
      <c r="AS2253">
        <v>1.3624265408604499</v>
      </c>
      <c r="AT2253">
        <v>-50.453224212628399</v>
      </c>
      <c r="CB2253">
        <v>1.3624265408604499</v>
      </c>
      <c r="CC2253">
        <v>0.87195298615069405</v>
      </c>
    </row>
    <row r="2254" spans="39:81">
      <c r="AM2254" s="2"/>
      <c r="AN2254" s="2"/>
      <c r="AS2254">
        <v>1.05937788490528</v>
      </c>
      <c r="AT2254">
        <v>-50.457989276540701</v>
      </c>
      <c r="CB2254">
        <v>1.05937788490528</v>
      </c>
      <c r="CC2254">
        <v>0.67800184633937899</v>
      </c>
    </row>
    <row r="2255" spans="39:81">
      <c r="AM2255" s="2"/>
      <c r="AN2255" s="2"/>
      <c r="AS2255">
        <v>0.78547960955602003</v>
      </c>
      <c r="AT2255">
        <v>-50.556046632691498</v>
      </c>
      <c r="CB2255">
        <v>0.78547960955602003</v>
      </c>
      <c r="CC2255">
        <v>0.50270695011585298</v>
      </c>
    </row>
    <row r="2256" spans="39:81">
      <c r="AM2256" s="2"/>
      <c r="AN2256" s="2"/>
      <c r="AS2256">
        <v>0.51769282349200096</v>
      </c>
      <c r="AT2256">
        <v>-50.685342850817101</v>
      </c>
      <c r="CB2256">
        <v>0.51769282349200096</v>
      </c>
      <c r="CC2256">
        <v>0.331323407034881</v>
      </c>
    </row>
    <row r="2257" spans="39:81">
      <c r="AM2257" s="2"/>
      <c r="AN2257" s="2"/>
      <c r="AS2257">
        <v>0.21161648355648799</v>
      </c>
      <c r="AT2257">
        <v>-50.853379832924702</v>
      </c>
      <c r="CB2257">
        <v>0.21161648355648799</v>
      </c>
      <c r="CC2257">
        <v>0.13543454947615199</v>
      </c>
    </row>
    <row r="2258" spans="39:81">
      <c r="AM2258" s="2"/>
      <c r="AN2258" s="2"/>
      <c r="AS2258">
        <v>-6.3755390403397103E-2</v>
      </c>
      <c r="AT2258">
        <v>-51.1037081094996</v>
      </c>
      <c r="CB2258">
        <v>-6.3755390403397103E-2</v>
      </c>
      <c r="CC2258">
        <v>-4.08034498581741E-2</v>
      </c>
    </row>
    <row r="2259" spans="39:81">
      <c r="AM2259" s="2"/>
      <c r="AN2259" s="2"/>
      <c r="AS2259">
        <v>-0.37425172816806002</v>
      </c>
      <c r="AT2259">
        <v>-51.097081483411003</v>
      </c>
      <c r="CB2259">
        <v>-0.37425172816806002</v>
      </c>
      <c r="CC2259">
        <v>-0.239521106027558</v>
      </c>
    </row>
    <row r="2260" spans="39:81">
      <c r="AM2260" s="2"/>
      <c r="AN2260" s="2"/>
      <c r="AS2260">
        <v>-0.67680456991433102</v>
      </c>
      <c r="AT2260">
        <v>-50.963978114730899</v>
      </c>
      <c r="CB2260">
        <v>-0.67680456991433102</v>
      </c>
      <c r="CC2260">
        <v>-0.43315492474517198</v>
      </c>
    </row>
    <row r="2261" spans="39:81">
      <c r="AM2261" s="2"/>
      <c r="AN2261" s="2"/>
      <c r="AS2261">
        <v>-0.95386013088198995</v>
      </c>
      <c r="AT2261">
        <v>-50.804669102848898</v>
      </c>
      <c r="CB2261">
        <v>-0.95386013088198995</v>
      </c>
      <c r="CC2261">
        <v>-0.61047048376447299</v>
      </c>
    </row>
    <row r="2262" spans="39:81">
      <c r="AM2262" s="2"/>
      <c r="AN2262" s="2"/>
      <c r="AS2262">
        <v>-1.27825810526803</v>
      </c>
      <c r="AT2262">
        <v>-50.390861164612502</v>
      </c>
      <c r="CB2262">
        <v>-1.27825810526803</v>
      </c>
      <c r="CC2262">
        <v>-0.81808518737154401</v>
      </c>
    </row>
    <row r="2263" spans="39:81">
      <c r="AM2263" s="2"/>
      <c r="AN2263" s="2"/>
      <c r="AS2263">
        <v>-1.5763163531742601</v>
      </c>
      <c r="AT2263">
        <v>-50.214262560837298</v>
      </c>
      <c r="CB2263">
        <v>-1.5763163531742601</v>
      </c>
      <c r="CC2263">
        <v>-1.00884246603153</v>
      </c>
    </row>
    <row r="2264" spans="39:81">
      <c r="AM2264" s="2"/>
      <c r="AN2264" s="2"/>
      <c r="AS2264">
        <v>-1.89558910303872</v>
      </c>
      <c r="AT2264">
        <v>-50.024922596619902</v>
      </c>
      <c r="CB2264">
        <v>-1.89558910303872</v>
      </c>
      <c r="CC2264">
        <v>-1.2131770259447801</v>
      </c>
    </row>
    <row r="2265" spans="39:81">
      <c r="AM2265" s="2"/>
      <c r="AN2265" s="2"/>
      <c r="AS2265">
        <v>-2.2238839507429899</v>
      </c>
      <c r="AT2265">
        <v>-49.866987580300197</v>
      </c>
      <c r="CB2265">
        <v>-2.2238839507429899</v>
      </c>
      <c r="CC2265">
        <v>-1.42328572847551</v>
      </c>
    </row>
    <row r="2266" spans="39:81">
      <c r="AM2266" s="2"/>
      <c r="AN2266" s="2"/>
      <c r="AS2266">
        <v>-2.540164703331</v>
      </c>
      <c r="AT2266">
        <v>-49.751785682571601</v>
      </c>
      <c r="CB2266">
        <v>-2.540164703331</v>
      </c>
      <c r="CC2266">
        <v>-1.62570541013184</v>
      </c>
    </row>
    <row r="2267" spans="39:81">
      <c r="AM2267" s="2"/>
      <c r="AN2267" s="2"/>
      <c r="AS2267">
        <v>-2.88239966423001</v>
      </c>
      <c r="AT2267">
        <v>-49.392940319229602</v>
      </c>
      <c r="CB2267">
        <v>-2.88239966423001</v>
      </c>
      <c r="CC2267">
        <v>-1.8447357851072099</v>
      </c>
    </row>
    <row r="2268" spans="39:81">
      <c r="AM2268" s="2"/>
      <c r="AN2268" s="2"/>
      <c r="AS2268">
        <v>-3.1949291798855199</v>
      </c>
      <c r="AT2268">
        <v>-49.175737492124597</v>
      </c>
      <c r="CB2268">
        <v>-3.1949291798855199</v>
      </c>
      <c r="CC2268">
        <v>-2.0447546751267298</v>
      </c>
    </row>
    <row r="2269" spans="39:81">
      <c r="AM2269" s="2"/>
      <c r="AN2269" s="2"/>
      <c r="AS2269">
        <v>-3.5098456978943098</v>
      </c>
      <c r="AT2269">
        <v>-48.595978474692799</v>
      </c>
      <c r="CB2269">
        <v>-3.5098456978943098</v>
      </c>
      <c r="CC2269">
        <v>-2.2463012466523602</v>
      </c>
    </row>
    <row r="2270" spans="39:81">
      <c r="AM2270" s="2"/>
      <c r="AN2270" s="2"/>
      <c r="AS2270">
        <v>-3.80488323112028</v>
      </c>
      <c r="AT2270">
        <v>-48.145613618780601</v>
      </c>
      <c r="CB2270">
        <v>-3.80488323112028</v>
      </c>
      <c r="CC2270">
        <v>-2.4351252679169799</v>
      </c>
    </row>
    <row r="2271" spans="39:81">
      <c r="AM2271" s="2"/>
      <c r="AN2271" s="2"/>
      <c r="AS2271">
        <v>-4.06319899162078</v>
      </c>
      <c r="AT2271">
        <v>-47.853031115223601</v>
      </c>
      <c r="CB2271">
        <v>-4.06319899162078</v>
      </c>
      <c r="CC2271">
        <v>-2.6004473546372999</v>
      </c>
    </row>
    <row r="2272" spans="39:81">
      <c r="AM2272" s="2"/>
      <c r="AN2272" s="2"/>
      <c r="AS2272">
        <v>-4.3490842643015801</v>
      </c>
      <c r="AT2272">
        <v>-47.411980924797497</v>
      </c>
      <c r="CB2272">
        <v>-4.3490842643015801</v>
      </c>
      <c r="CC2272">
        <v>-2.78341392915301</v>
      </c>
    </row>
    <row r="2273" spans="39:81">
      <c r="AM2273" s="2"/>
      <c r="AN2273" s="2"/>
      <c r="AS2273">
        <v>-4.6117301957855803</v>
      </c>
      <c r="AT2273">
        <v>-47.447795452141698</v>
      </c>
      <c r="CB2273">
        <v>-4.6117301957855803</v>
      </c>
      <c r="CC2273">
        <v>-2.9515073253027699</v>
      </c>
    </row>
    <row r="2274" spans="39:81">
      <c r="AM2274" s="2"/>
      <c r="AN2274" s="2"/>
      <c r="AS2274">
        <v>-4.8962827283660699</v>
      </c>
      <c r="AT2274">
        <v>-47.135176888866503</v>
      </c>
      <c r="CB2274">
        <v>-4.8962827283660699</v>
      </c>
      <c r="CC2274">
        <v>-3.1336209461542799</v>
      </c>
    </row>
    <row r="2275" spans="39:81">
      <c r="AM2275" s="2"/>
      <c r="AN2275" s="2"/>
      <c r="AS2275">
        <v>-5.1813365963677596</v>
      </c>
      <c r="AT2275">
        <v>-46.8094713411447</v>
      </c>
      <c r="CB2275">
        <v>-5.1813365963677596</v>
      </c>
      <c r="CC2275">
        <v>-3.3160554216753599</v>
      </c>
    </row>
    <row r="2276" spans="39:81">
      <c r="AM2276" s="2"/>
      <c r="AN2276" s="2"/>
      <c r="AS2276">
        <v>-5.4181472668956898</v>
      </c>
      <c r="AT2276">
        <v>-46.3762643194435</v>
      </c>
      <c r="CB2276">
        <v>-5.4181472668956898</v>
      </c>
      <c r="CC2276">
        <v>-3.4676142508132402</v>
      </c>
    </row>
    <row r="2277" spans="39:81">
      <c r="AM2277" s="2"/>
      <c r="AN2277" s="2"/>
      <c r="AS2277">
        <v>-5.6524339901352603</v>
      </c>
      <c r="AT2277">
        <v>-45.593763168566703</v>
      </c>
      <c r="CB2277">
        <v>-5.6524339901352603</v>
      </c>
      <c r="CC2277">
        <v>-3.61755775368656</v>
      </c>
    </row>
    <row r="2278" spans="39:81">
      <c r="AM2278" s="2"/>
      <c r="AN2278" s="2"/>
      <c r="AS2278">
        <v>-5.8520069748268799</v>
      </c>
      <c r="AT2278">
        <v>-45.010476196283697</v>
      </c>
      <c r="CB2278">
        <v>-5.8520069748268799</v>
      </c>
      <c r="CC2278">
        <v>-3.7452844638892002</v>
      </c>
    </row>
    <row r="2279" spans="39:81">
      <c r="AM2279" s="2"/>
      <c r="AN2279" s="2"/>
      <c r="AS2279">
        <v>-6.0406684800475903</v>
      </c>
      <c r="AT2279">
        <v>-44.5120961244276</v>
      </c>
      <c r="CB2279">
        <v>-6.0406684800475903</v>
      </c>
      <c r="CC2279">
        <v>-3.8660278272304498</v>
      </c>
    </row>
    <row r="2280" spans="39:81">
      <c r="AM2280" s="2"/>
      <c r="AN2280" s="2"/>
      <c r="AS2280">
        <v>-6.2594612449978602</v>
      </c>
      <c r="AT2280">
        <v>-44.117482337374803</v>
      </c>
      <c r="CB2280">
        <v>-6.2594612449978602</v>
      </c>
      <c r="CC2280">
        <v>-4.0060551967986298</v>
      </c>
    </row>
    <row r="2281" spans="39:81">
      <c r="AM2281" s="2"/>
      <c r="AN2281" s="2"/>
      <c r="AS2281">
        <v>-6.47618945413842</v>
      </c>
      <c r="AT2281">
        <v>-43.789398870268599</v>
      </c>
      <c r="CB2281">
        <v>-6.47618945413842</v>
      </c>
      <c r="CC2281">
        <v>-4.1447612506485898</v>
      </c>
    </row>
    <row r="2282" spans="39:81">
      <c r="AM2282" s="2"/>
      <c r="AN2282" s="2"/>
      <c r="AS2282">
        <v>-6.7003582654124996</v>
      </c>
      <c r="AT2282">
        <v>-43.388155199122302</v>
      </c>
      <c r="CB2282">
        <v>-6.7003582654124996</v>
      </c>
      <c r="CC2282">
        <v>-4.2882292898639998</v>
      </c>
    </row>
    <row r="2283" spans="39:81">
      <c r="AM2283" s="2"/>
      <c r="AN2283" s="2"/>
      <c r="AS2283">
        <v>-6.9187949113774696</v>
      </c>
      <c r="AT2283">
        <v>-42.687308738379102</v>
      </c>
      <c r="CB2283">
        <v>-6.9187949113774696</v>
      </c>
      <c r="CC2283">
        <v>-4.4280287432815797</v>
      </c>
    </row>
    <row r="2284" spans="39:81">
      <c r="AM2284" s="2"/>
      <c r="AN2284" s="2"/>
      <c r="AS2284">
        <v>-7.1077795979457203</v>
      </c>
      <c r="AT2284">
        <v>-41.978943212584703</v>
      </c>
      <c r="CB2284">
        <v>-7.1077795979457203</v>
      </c>
      <c r="CC2284">
        <v>-4.5489789426852596</v>
      </c>
    </row>
    <row r="2285" spans="39:81">
      <c r="AM2285" s="2"/>
      <c r="AN2285" s="2"/>
      <c r="AS2285">
        <v>-7.31236383877983</v>
      </c>
      <c r="AT2285">
        <v>-41.174002625902297</v>
      </c>
      <c r="CB2285">
        <v>-7.31236383877983</v>
      </c>
      <c r="CC2285">
        <v>-4.6799128568190902</v>
      </c>
    </row>
    <row r="2286" spans="39:81">
      <c r="AM2286" s="2"/>
      <c r="AN2286" s="2"/>
      <c r="AS2286">
        <v>-7.5267585164783704</v>
      </c>
      <c r="AT2286">
        <v>-40.3391621272172</v>
      </c>
      <c r="CB2286">
        <v>-7.5267585164783704</v>
      </c>
      <c r="CC2286">
        <v>-4.8171254505461496</v>
      </c>
    </row>
    <row r="2287" spans="39:81">
      <c r="AM2287" s="2"/>
      <c r="AN2287" s="2"/>
      <c r="AS2287">
        <v>-7.7365923531733403</v>
      </c>
      <c r="AT2287">
        <v>-39.777680629256302</v>
      </c>
      <c r="CB2287">
        <v>-7.7365923531733403</v>
      </c>
      <c r="CC2287">
        <v>-4.95141910603094</v>
      </c>
    </row>
    <row r="2288" spans="39:81">
      <c r="AM2288" s="2"/>
      <c r="AN2288" s="2"/>
      <c r="AS2288">
        <v>-7.9659165725566998</v>
      </c>
      <c r="AT2288">
        <v>-38.8927952825955</v>
      </c>
      <c r="CB2288">
        <v>-7.9659165725566998</v>
      </c>
      <c r="CC2288">
        <v>-5.09818660643628</v>
      </c>
    </row>
    <row r="2289" spans="39:81">
      <c r="AM2289" s="2"/>
      <c r="AN2289" s="2"/>
      <c r="AS2289">
        <v>-8.1668391830737406</v>
      </c>
      <c r="AT2289">
        <v>-38.227502450722397</v>
      </c>
      <c r="CB2289">
        <v>-8.1668391830737406</v>
      </c>
      <c r="CC2289">
        <v>-5.2267770771671902</v>
      </c>
    </row>
    <row r="2290" spans="39:81">
      <c r="AM2290" s="2"/>
      <c r="AN2290" s="2"/>
      <c r="AS2290">
        <v>-8.3673538335363595</v>
      </c>
      <c r="AT2290">
        <v>-37.472506342098498</v>
      </c>
      <c r="CB2290">
        <v>-8.3673538335363595</v>
      </c>
      <c r="CC2290">
        <v>-5.3551064534632697</v>
      </c>
    </row>
    <row r="2291" spans="39:81">
      <c r="AM2291" s="2"/>
      <c r="AN2291" s="2"/>
      <c r="AS2291">
        <v>-8.5809061104078594</v>
      </c>
      <c r="AT2291">
        <v>-36.5392482892929</v>
      </c>
      <c r="CB2291">
        <v>-8.5809061104078594</v>
      </c>
      <c r="CC2291">
        <v>-5.4917799106610303</v>
      </c>
    </row>
    <row r="2292" spans="39:81">
      <c r="AM2292" s="2"/>
      <c r="AN2292" s="2"/>
      <c r="AS2292">
        <v>-8.7603132975350793</v>
      </c>
      <c r="AT2292">
        <v>-35.630489789133001</v>
      </c>
      <c r="CB2292">
        <v>-8.7603132975350793</v>
      </c>
      <c r="CC2292">
        <v>-5.6066005104224503</v>
      </c>
    </row>
    <row r="2293" spans="39:81">
      <c r="AM2293" s="2"/>
      <c r="AN2293" s="2"/>
      <c r="AS2293">
        <v>-8.9640139912917807</v>
      </c>
      <c r="AT2293">
        <v>-34.510079692644098</v>
      </c>
      <c r="CB2293">
        <v>-8.9640139912917807</v>
      </c>
      <c r="CC2293">
        <v>-5.7369689544267404</v>
      </c>
    </row>
    <row r="2294" spans="39:81">
      <c r="AM2294" s="2"/>
      <c r="AN2294" s="2"/>
      <c r="AS2294">
        <v>-9.1538829632554908</v>
      </c>
      <c r="AT2294">
        <v>-33.458198489912697</v>
      </c>
      <c r="CB2294">
        <v>-9.1538829632554908</v>
      </c>
      <c r="CC2294">
        <v>-5.85848509648351</v>
      </c>
    </row>
    <row r="2295" spans="39:81">
      <c r="AM2295" s="2"/>
      <c r="AN2295" s="2"/>
      <c r="AS2295">
        <v>-9.3191764339649197</v>
      </c>
      <c r="AT2295">
        <v>-32.407252498165903</v>
      </c>
      <c r="CB2295">
        <v>-9.3191764339649197</v>
      </c>
      <c r="CC2295">
        <v>-5.9642729177375502</v>
      </c>
    </row>
    <row r="2296" spans="39:81">
      <c r="AM2296" s="2"/>
      <c r="AN2296" s="2"/>
      <c r="AS2296">
        <v>-9.5008968525136908</v>
      </c>
      <c r="AT2296">
        <v>-31.464355347191301</v>
      </c>
      <c r="CB2296">
        <v>-9.5008968525136908</v>
      </c>
      <c r="CC2296">
        <v>-6.0805739856087602</v>
      </c>
    </row>
    <row r="2297" spans="39:81">
      <c r="AM2297" s="2"/>
      <c r="AN2297" s="2"/>
      <c r="AS2297">
        <v>-9.6700068277977191</v>
      </c>
      <c r="AT2297">
        <v>-30.5493232375077</v>
      </c>
      <c r="CB2297">
        <v>-9.6700068277977191</v>
      </c>
      <c r="CC2297">
        <v>-6.1888043697905397</v>
      </c>
    </row>
    <row r="2298" spans="39:81">
      <c r="AM2298" s="2"/>
      <c r="AN2298" s="2"/>
      <c r="AS2298">
        <v>-9.8233982686988899</v>
      </c>
      <c r="AT2298">
        <v>-29.512759286644201</v>
      </c>
      <c r="CB2298">
        <v>-9.8233982686988899</v>
      </c>
      <c r="CC2298">
        <v>-6.2869748919672901</v>
      </c>
    </row>
    <row r="2299" spans="39:81">
      <c r="AM2299" s="2"/>
      <c r="AN2299" s="2"/>
      <c r="AS2299">
        <v>-9.9947804053254607</v>
      </c>
      <c r="AT2299">
        <v>-28.403157859535298</v>
      </c>
      <c r="CB2299">
        <v>-9.9947804053254607</v>
      </c>
      <c r="CC2299">
        <v>-6.3966594594083004</v>
      </c>
    </row>
    <row r="2300" spans="39:81">
      <c r="AM2300" s="2"/>
      <c r="AN2300" s="2"/>
      <c r="AS2300">
        <v>-10.137090453352499</v>
      </c>
      <c r="AT2300">
        <v>-27.123923454078199</v>
      </c>
      <c r="CB2300">
        <v>-10.137090453352499</v>
      </c>
      <c r="CC2300">
        <v>-6.4877378901456302</v>
      </c>
    </row>
    <row r="2301" spans="39:81">
      <c r="AM2301" s="2"/>
      <c r="AN2301" s="2"/>
      <c r="AS2301">
        <v>-10.281345270768499</v>
      </c>
      <c r="AT2301">
        <v>-25.856507112470599</v>
      </c>
      <c r="CB2301">
        <v>-10.281345270768499</v>
      </c>
      <c r="CC2301">
        <v>-6.5800609732918902</v>
      </c>
    </row>
    <row r="2302" spans="39:81">
      <c r="AM2302" s="2"/>
      <c r="AN2302" s="2"/>
      <c r="AS2302">
        <v>-10.4353097894321</v>
      </c>
      <c r="AT2302">
        <v>-24.773158688885999</v>
      </c>
      <c r="CB2302">
        <v>-10.4353097894321</v>
      </c>
      <c r="CC2302">
        <v>-6.6785982652365901</v>
      </c>
    </row>
    <row r="2303" spans="39:81">
      <c r="AM2303" s="2"/>
      <c r="AN2303" s="2"/>
      <c r="AS2303">
        <v>-10.5380453721683</v>
      </c>
      <c r="AT2303">
        <v>-23.7439012650966</v>
      </c>
      <c r="CB2303">
        <v>-10.5380453721683</v>
      </c>
      <c r="CC2303">
        <v>-6.7443490381877496</v>
      </c>
    </row>
    <row r="2304" spans="39:81">
      <c r="AM2304" s="2"/>
      <c r="AN2304" s="2"/>
      <c r="AS2304">
        <v>-10.664027402296</v>
      </c>
      <c r="AT2304">
        <v>-22.8090688666259</v>
      </c>
      <c r="CB2304">
        <v>-10.664027402296</v>
      </c>
      <c r="CC2304">
        <v>-6.8249775374694703</v>
      </c>
    </row>
    <row r="2305" spans="39:81">
      <c r="AM2305" s="2"/>
      <c r="AN2305" s="2"/>
      <c r="AS2305">
        <v>-10.782287550861</v>
      </c>
      <c r="AT2305">
        <v>-21.9022774034893</v>
      </c>
      <c r="CB2305">
        <v>-10.782287550861</v>
      </c>
      <c r="CC2305">
        <v>-6.9006640325511004</v>
      </c>
    </row>
    <row r="2306" spans="39:81">
      <c r="AM2306" s="2"/>
      <c r="AN2306" s="2"/>
      <c r="AS2306">
        <v>-10.8813111140565</v>
      </c>
      <c r="AT2306">
        <v>-20.741809810090501</v>
      </c>
      <c r="CB2306">
        <v>-10.8813111140565</v>
      </c>
      <c r="CC2306">
        <v>-6.9640391129961996</v>
      </c>
    </row>
    <row r="2307" spans="39:81">
      <c r="AM2307" s="2"/>
      <c r="AN2307" s="2"/>
      <c r="AS2307">
        <v>-11.034332030243901</v>
      </c>
      <c r="AT2307">
        <v>-19.549186429638599</v>
      </c>
      <c r="CB2307">
        <v>-11.034332030243901</v>
      </c>
      <c r="CC2307">
        <v>-7.0619724993561004</v>
      </c>
    </row>
    <row r="2308" spans="39:81">
      <c r="AM2308" s="2"/>
      <c r="AN2308" s="2"/>
      <c r="AS2308">
        <v>-11.1588358363874</v>
      </c>
      <c r="AT2308">
        <v>-18.289077645001498</v>
      </c>
      <c r="CB2308">
        <v>-11.1588358363874</v>
      </c>
      <c r="CC2308">
        <v>-7.1416549352879501</v>
      </c>
    </row>
    <row r="2309" spans="39:81">
      <c r="AM2309" s="2"/>
      <c r="AN2309" s="2"/>
      <c r="AS2309">
        <v>-11.3022666443366</v>
      </c>
      <c r="AT2309">
        <v>-17.0687345760882</v>
      </c>
      <c r="CB2309">
        <v>-11.3022666443366</v>
      </c>
      <c r="CC2309">
        <v>-7.23345065237545</v>
      </c>
    </row>
    <row r="2310" spans="39:81">
      <c r="AM2310" s="2"/>
      <c r="AN2310" s="2"/>
      <c r="AS2310">
        <v>-11.4435835529318</v>
      </c>
      <c r="AT2310">
        <v>-15.927765935147001</v>
      </c>
      <c r="CB2310">
        <v>-11.4435835529318</v>
      </c>
      <c r="CC2310">
        <v>-7.3238934738763497</v>
      </c>
    </row>
    <row r="2311" spans="39:81">
      <c r="AM2311" s="2"/>
      <c r="AN2311" s="2"/>
      <c r="AS2311">
        <v>-11.5130088982625</v>
      </c>
      <c r="AT2311">
        <v>-14.680288501966</v>
      </c>
      <c r="CB2311">
        <v>-11.5130088982625</v>
      </c>
      <c r="CC2311">
        <v>-7.3683256948880302</v>
      </c>
    </row>
    <row r="2312" spans="39:81">
      <c r="AM2312" s="2"/>
      <c r="AN2312" s="2"/>
      <c r="AS2312">
        <v>-11.615397027835099</v>
      </c>
      <c r="AT2312">
        <v>-13.7406195463373</v>
      </c>
      <c r="CB2312">
        <v>-11.615397027835099</v>
      </c>
      <c r="CC2312">
        <v>-7.4338540978144696</v>
      </c>
    </row>
    <row r="2313" spans="39:81">
      <c r="AM2313" s="2"/>
      <c r="AN2313" s="2"/>
      <c r="AS2313">
        <v>-11.6630113097146</v>
      </c>
      <c r="AT2313">
        <v>-12.4702411720932</v>
      </c>
      <c r="CB2313">
        <v>-11.6630113097146</v>
      </c>
      <c r="CC2313">
        <v>-7.4643272382173897</v>
      </c>
    </row>
    <row r="2314" spans="39:81">
      <c r="AM2314" s="2"/>
      <c r="AN2314" s="2"/>
      <c r="AS2314">
        <v>-11.6921049939711</v>
      </c>
      <c r="AT2314">
        <v>-11.2587475674729</v>
      </c>
      <c r="CB2314">
        <v>-11.6921049939711</v>
      </c>
      <c r="CC2314">
        <v>-7.4829471961415202</v>
      </c>
    </row>
    <row r="2315" spans="39:81">
      <c r="AM2315" s="2"/>
      <c r="AN2315" s="2"/>
      <c r="AS2315">
        <v>-11.7587313662839</v>
      </c>
      <c r="AT2315">
        <v>-9.92917789990031</v>
      </c>
      <c r="CB2315">
        <v>-11.7587313662839</v>
      </c>
      <c r="CC2315">
        <v>-7.5255880744217496</v>
      </c>
    </row>
    <row r="2316" spans="39:81">
      <c r="AM2316" s="2"/>
      <c r="AN2316" s="2"/>
      <c r="AS2316">
        <v>-11.7878512955605</v>
      </c>
      <c r="AT2316">
        <v>-8.3038757689788394</v>
      </c>
      <c r="CB2316">
        <v>-11.7878512955605</v>
      </c>
      <c r="CC2316">
        <v>-7.5442248291587299</v>
      </c>
    </row>
    <row r="2317" spans="39:81">
      <c r="AM2317" s="2"/>
      <c r="AN2317" s="2"/>
      <c r="AS2317">
        <v>-11.8672089256796</v>
      </c>
      <c r="AT2317">
        <v>-7.0037501078697701</v>
      </c>
      <c r="CB2317">
        <v>-11.8672089256796</v>
      </c>
      <c r="CC2317">
        <v>-7.5950137124349997</v>
      </c>
    </row>
    <row r="2318" spans="39:81">
      <c r="AM2318" s="2"/>
      <c r="AN2318" s="2"/>
      <c r="AS2318">
        <v>-11.938857524038401</v>
      </c>
      <c r="AT2318">
        <v>-5.553554620381</v>
      </c>
      <c r="CB2318">
        <v>-11.938857524038401</v>
      </c>
      <c r="CC2318">
        <v>-7.6408688153846001</v>
      </c>
    </row>
    <row r="2319" spans="39:81">
      <c r="AM2319" s="2"/>
      <c r="AN2319" s="2"/>
      <c r="AS2319">
        <v>-11.9593279719164</v>
      </c>
      <c r="AT2319">
        <v>-4.3836868945728398</v>
      </c>
      <c r="CB2319">
        <v>-11.9593279719164</v>
      </c>
      <c r="CC2319">
        <v>-7.6539699020265202</v>
      </c>
    </row>
    <row r="2320" spans="39:81">
      <c r="AM2320" s="2"/>
      <c r="AN2320" s="2"/>
      <c r="AS2320">
        <v>-11.9793357502499</v>
      </c>
      <c r="AT2320">
        <v>-3.33385391596223</v>
      </c>
      <c r="CB2320">
        <v>-11.9793357502499</v>
      </c>
      <c r="CC2320">
        <v>-7.6667748801599398</v>
      </c>
    </row>
    <row r="2321" spans="39:81">
      <c r="AM2321" s="2"/>
      <c r="AN2321" s="2"/>
      <c r="AS2321">
        <v>-11.932750085699301</v>
      </c>
      <c r="AT2321">
        <v>-2.1069956400541598</v>
      </c>
      <c r="CB2321">
        <v>-11.932750085699301</v>
      </c>
      <c r="CC2321">
        <v>-7.6369600548476004</v>
      </c>
    </row>
    <row r="2322" spans="39:81">
      <c r="AM2322" s="2"/>
      <c r="AN2322" s="2"/>
      <c r="AS2322">
        <v>-11.888977226462901</v>
      </c>
      <c r="AT2322">
        <v>-0.77384685690020605</v>
      </c>
      <c r="CB2322">
        <v>-11.888977226462901</v>
      </c>
      <c r="CC2322">
        <v>-7.60894542493625</v>
      </c>
    </row>
    <row r="2323" spans="39:81">
      <c r="AM2323" s="2"/>
      <c r="AN2323" s="2"/>
      <c r="AS2323">
        <v>-11.8912296316321</v>
      </c>
      <c r="AT2323">
        <v>0.715885988036291</v>
      </c>
      <c r="CB2323">
        <v>-11.8912296316321</v>
      </c>
      <c r="CC2323">
        <v>-7.6103869642445501</v>
      </c>
    </row>
    <row r="2324" spans="39:81">
      <c r="AM2324" s="2"/>
      <c r="AN2324" s="2"/>
      <c r="AS2324">
        <v>-11.868188114328399</v>
      </c>
      <c r="AT2324">
        <v>2.2979040227269798</v>
      </c>
      <c r="CB2324">
        <v>-11.868188114328399</v>
      </c>
      <c r="CC2324">
        <v>-7.5956403931701999</v>
      </c>
    </row>
    <row r="2325" spans="39:81">
      <c r="AM2325" s="2"/>
      <c r="AN2325" s="2"/>
      <c r="AS2325">
        <v>-11.872057958944801</v>
      </c>
      <c r="AT2325">
        <v>3.72462924686445</v>
      </c>
      <c r="CB2325">
        <v>-11.872057958944801</v>
      </c>
      <c r="CC2325">
        <v>-7.59811709372471</v>
      </c>
    </row>
    <row r="2326" spans="39:81">
      <c r="AM2326" s="2"/>
      <c r="AN2326" s="2"/>
      <c r="AS2326">
        <v>-11.8458044859598</v>
      </c>
      <c r="AT2326">
        <v>4.90964543118295</v>
      </c>
      <c r="CB2326">
        <v>-11.8458044859598</v>
      </c>
      <c r="CC2326">
        <v>-7.5813148710142801</v>
      </c>
    </row>
    <row r="2327" spans="39:81">
      <c r="AM2327" s="2"/>
      <c r="AN2327" s="2"/>
      <c r="AS2327">
        <v>-11.7561122901151</v>
      </c>
      <c r="AT2327">
        <v>6.1397569918394597</v>
      </c>
      <c r="CB2327">
        <v>-11.7561122901151</v>
      </c>
      <c r="CC2327">
        <v>-7.5239118656737203</v>
      </c>
    </row>
    <row r="2328" spans="39:81">
      <c r="AM2328" s="2"/>
      <c r="AN2328" s="2"/>
      <c r="AS2328">
        <v>-11.7019039119109</v>
      </c>
      <c r="AT2328">
        <v>7.2055298720258003</v>
      </c>
      <c r="CB2328">
        <v>-11.7019039119109</v>
      </c>
      <c r="CC2328">
        <v>-7.4892185036229897</v>
      </c>
    </row>
    <row r="2329" spans="39:81">
      <c r="AM2329" s="2"/>
      <c r="AN2329" s="2"/>
      <c r="AS2329">
        <v>-11.6195196058707</v>
      </c>
      <c r="AT2329">
        <v>8.5591562935192602</v>
      </c>
      <c r="CB2329">
        <v>-11.6195196058707</v>
      </c>
      <c r="CC2329">
        <v>-7.4364925477572497</v>
      </c>
    </row>
    <row r="2330" spans="39:81">
      <c r="AM2330" s="2"/>
      <c r="AN2330" s="2"/>
      <c r="AS2330">
        <v>-11.5513508027172</v>
      </c>
      <c r="AT2330">
        <v>9.92940750231738</v>
      </c>
      <c r="CB2330">
        <v>-11.5513508027172</v>
      </c>
      <c r="CC2330">
        <v>-7.3928645137390303</v>
      </c>
    </row>
    <row r="2331" spans="39:81">
      <c r="AM2331" s="2"/>
      <c r="AN2331" s="2"/>
      <c r="AS2331">
        <v>-11.5135102009588</v>
      </c>
      <c r="AT2331">
        <v>11.1555811021606</v>
      </c>
      <c r="CB2331">
        <v>-11.5135102009588</v>
      </c>
      <c r="CC2331">
        <v>-7.36864652861364</v>
      </c>
    </row>
    <row r="2332" spans="39:81">
      <c r="AM2332" s="2"/>
      <c r="AN2332" s="2"/>
      <c r="AS2332">
        <v>-11.420398385651</v>
      </c>
      <c r="AT2332">
        <v>12.605413339514</v>
      </c>
      <c r="CB2332">
        <v>-11.420398385651</v>
      </c>
      <c r="CC2332">
        <v>-7.3090549668166398</v>
      </c>
    </row>
    <row r="2333" spans="39:81">
      <c r="AM2333" s="2"/>
      <c r="AN2333" s="2"/>
      <c r="AS2333">
        <v>-11.361832650396799</v>
      </c>
      <c r="AT2333">
        <v>13.8102449550043</v>
      </c>
      <c r="CB2333">
        <v>-11.361832650396799</v>
      </c>
      <c r="CC2333">
        <v>-7.2715728962539599</v>
      </c>
    </row>
    <row r="2334" spans="39:81">
      <c r="AM2334" s="2"/>
      <c r="AN2334" s="2"/>
      <c r="AS2334">
        <v>-11.2699890669155</v>
      </c>
      <c r="AT2334">
        <v>15.0700848616729</v>
      </c>
      <c r="CB2334">
        <v>-11.2699890669155</v>
      </c>
      <c r="CC2334">
        <v>-7.2127930028259497</v>
      </c>
    </row>
    <row r="2335" spans="39:81">
      <c r="AM2335" s="2"/>
      <c r="AN2335" s="2"/>
      <c r="AS2335">
        <v>-11.1534428674083</v>
      </c>
      <c r="AT2335">
        <v>16.152804245221802</v>
      </c>
      <c r="CB2335">
        <v>-11.1534428674083</v>
      </c>
      <c r="CC2335">
        <v>-7.1382034351413299</v>
      </c>
    </row>
    <row r="2336" spans="39:81">
      <c r="AM2336" s="2"/>
      <c r="AN2336" s="2"/>
      <c r="AS2336">
        <v>-11.0652317484076</v>
      </c>
      <c r="AT2336">
        <v>17.220697682274199</v>
      </c>
      <c r="CB2336">
        <v>-11.0652317484076</v>
      </c>
      <c r="CC2336">
        <v>-7.0817483189808597</v>
      </c>
    </row>
    <row r="2337" spans="39:81">
      <c r="AM2337" s="2"/>
      <c r="AN2337" s="2"/>
      <c r="AS2337">
        <v>-10.9342342230723</v>
      </c>
      <c r="AT2337">
        <v>18.284326276486201</v>
      </c>
      <c r="CB2337">
        <v>-10.9342342230723</v>
      </c>
      <c r="CC2337">
        <v>-6.9979099027662901</v>
      </c>
    </row>
    <row r="2338" spans="39:81">
      <c r="AM2338" s="2"/>
      <c r="AN2338" s="2"/>
      <c r="AS2338">
        <v>-10.8280369711544</v>
      </c>
      <c r="AT2338">
        <v>19.4232072331789</v>
      </c>
      <c r="CB2338">
        <v>-10.8280369711544</v>
      </c>
      <c r="CC2338">
        <v>-6.9299436615388501</v>
      </c>
    </row>
    <row r="2339" spans="39:81">
      <c r="AM2339" s="2"/>
      <c r="AN2339" s="2"/>
      <c r="AS2339">
        <v>-10.744243149842401</v>
      </c>
      <c r="AT2339">
        <v>20.7198744493076</v>
      </c>
      <c r="CB2339">
        <v>-10.744243149842401</v>
      </c>
      <c r="CC2339">
        <v>-6.8763156158991396</v>
      </c>
    </row>
    <row r="2340" spans="39:81">
      <c r="AM2340" s="2"/>
      <c r="AN2340" s="2"/>
      <c r="AS2340">
        <v>-10.6452065343697</v>
      </c>
      <c r="AT2340">
        <v>21.9738463498384</v>
      </c>
      <c r="CB2340">
        <v>-10.6452065343697</v>
      </c>
      <c r="CC2340">
        <v>-6.81293218199664</v>
      </c>
    </row>
    <row r="2341" spans="39:81">
      <c r="AM2341" s="2"/>
      <c r="AN2341" s="2"/>
      <c r="AS2341">
        <v>-10.5735389930739</v>
      </c>
      <c r="AT2341">
        <v>23.129628227361099</v>
      </c>
      <c r="CB2341">
        <v>-10.5735389930739</v>
      </c>
      <c r="CC2341">
        <v>-6.7670649555673004</v>
      </c>
    </row>
    <row r="2342" spans="39:81">
      <c r="AM2342" s="2"/>
      <c r="AN2342" s="2"/>
      <c r="AS2342">
        <v>-10.461687036197</v>
      </c>
      <c r="AT2342">
        <v>24.2069187939694</v>
      </c>
      <c r="CB2342">
        <v>-10.461687036197</v>
      </c>
      <c r="CC2342">
        <v>-6.6954797031660904</v>
      </c>
    </row>
    <row r="2343" spans="39:81">
      <c r="AM2343" s="2"/>
      <c r="AN2343" s="2"/>
      <c r="AS2343">
        <v>-10.332391644507901</v>
      </c>
      <c r="AT2343">
        <v>25.1085520852264</v>
      </c>
      <c r="CB2343">
        <v>-10.332391644507901</v>
      </c>
      <c r="CC2343">
        <v>-6.61273065248505</v>
      </c>
    </row>
    <row r="2344" spans="39:81">
      <c r="AM2344" s="2"/>
      <c r="AN2344" s="2"/>
      <c r="AS2344">
        <v>-10.216273098117799</v>
      </c>
      <c r="AT2344">
        <v>26.140527950554901</v>
      </c>
      <c r="CB2344">
        <v>-10.216273098117799</v>
      </c>
      <c r="CC2344">
        <v>-6.5384147827954404</v>
      </c>
    </row>
    <row r="2345" spans="39:81">
      <c r="AM2345" s="2"/>
      <c r="AN2345" s="2"/>
      <c r="AS2345">
        <v>-10.0558019936399</v>
      </c>
      <c r="AT2345">
        <v>27.344571526677001</v>
      </c>
      <c r="CB2345">
        <v>-10.0558019936399</v>
      </c>
      <c r="CC2345">
        <v>-6.4357132759295697</v>
      </c>
    </row>
    <row r="2346" spans="39:81">
      <c r="AM2346" s="2"/>
      <c r="AN2346" s="2"/>
      <c r="AS2346">
        <v>-9.9069722948454295</v>
      </c>
      <c r="AT2346">
        <v>28.512795892704901</v>
      </c>
      <c r="CB2346">
        <v>-9.9069722948454295</v>
      </c>
      <c r="CC2346">
        <v>-6.3404622687010699</v>
      </c>
    </row>
    <row r="2347" spans="39:81">
      <c r="AM2347" s="2"/>
      <c r="AN2347" s="2"/>
      <c r="AS2347">
        <v>-9.7548563210579697</v>
      </c>
      <c r="AT2347">
        <v>29.8593930147319</v>
      </c>
      <c r="CB2347">
        <v>-9.7548563210579697</v>
      </c>
      <c r="CC2347">
        <v>-6.2431080454770997</v>
      </c>
    </row>
    <row r="2348" spans="39:81">
      <c r="AM2348" s="2"/>
      <c r="AN2348" s="2"/>
      <c r="AS2348">
        <v>-9.5753344155953801</v>
      </c>
      <c r="AT2348">
        <v>31.012992909099701</v>
      </c>
      <c r="CB2348">
        <v>-9.5753344155953801</v>
      </c>
      <c r="CC2348">
        <v>-6.1282140259810403</v>
      </c>
    </row>
    <row r="2349" spans="39:81">
      <c r="AM2349" s="2"/>
      <c r="AN2349" s="2"/>
      <c r="AS2349">
        <v>-9.4123612295064998</v>
      </c>
      <c r="AT2349">
        <v>32.0432514717563</v>
      </c>
      <c r="CB2349">
        <v>-9.4123612295064998</v>
      </c>
      <c r="CC2349">
        <v>-6.0239111868841597</v>
      </c>
    </row>
    <row r="2350" spans="39:81">
      <c r="AM2350" s="2"/>
      <c r="AN2350" s="2"/>
      <c r="AS2350">
        <v>-9.2562719557726201</v>
      </c>
      <c r="AT2350">
        <v>33.015578898538301</v>
      </c>
      <c r="CB2350">
        <v>-9.2562719557726201</v>
      </c>
      <c r="CC2350">
        <v>-5.9240140516944697</v>
      </c>
    </row>
    <row r="2351" spans="39:81">
      <c r="AM2351" s="2"/>
      <c r="AN2351" s="2"/>
      <c r="AS2351">
        <v>-9.0739213141863395</v>
      </c>
      <c r="AT2351">
        <v>33.898822508469202</v>
      </c>
      <c r="CB2351">
        <v>-9.0739213141863395</v>
      </c>
      <c r="CC2351">
        <v>-5.80730964107926</v>
      </c>
    </row>
    <row r="2352" spans="39:81">
      <c r="AM2352" s="2"/>
      <c r="AN2352" s="2"/>
      <c r="AS2352">
        <v>-8.9038385932632007</v>
      </c>
      <c r="AT2352">
        <v>34.931247175960998</v>
      </c>
      <c r="CB2352">
        <v>-8.9038385932632007</v>
      </c>
      <c r="CC2352">
        <v>-5.6984566996884496</v>
      </c>
    </row>
    <row r="2353" spans="39:81">
      <c r="AM2353" s="2"/>
      <c r="AN2353" s="2"/>
      <c r="AS2353">
        <v>-8.6980895498154798</v>
      </c>
      <c r="AT2353">
        <v>35.879429283072099</v>
      </c>
      <c r="CB2353">
        <v>-8.6980895498154798</v>
      </c>
      <c r="CC2353">
        <v>-5.5667773118819097</v>
      </c>
    </row>
    <row r="2354" spans="39:81">
      <c r="AM2354" s="2"/>
      <c r="AN2354" s="2"/>
      <c r="AS2354">
        <v>-8.4818258735926797</v>
      </c>
      <c r="AT2354">
        <v>36.875215180605103</v>
      </c>
      <c r="CB2354">
        <v>-8.4818258735926797</v>
      </c>
      <c r="CC2354">
        <v>-5.4283685590993098</v>
      </c>
    </row>
    <row r="2355" spans="39:81">
      <c r="AM2355" s="2"/>
      <c r="AN2355" s="2"/>
      <c r="AS2355">
        <v>-8.2883440795437302</v>
      </c>
      <c r="AT2355">
        <v>37.978805011922297</v>
      </c>
      <c r="CB2355">
        <v>-8.2883440795437302</v>
      </c>
      <c r="CC2355">
        <v>-5.3045402109079802</v>
      </c>
    </row>
    <row r="2356" spans="39:81">
      <c r="AM2356" s="2"/>
      <c r="AN2356" s="2"/>
      <c r="AS2356">
        <v>-8.0685792107806993</v>
      </c>
      <c r="AT2356">
        <v>38.713014350268601</v>
      </c>
      <c r="CB2356">
        <v>-8.0685792107806993</v>
      </c>
      <c r="CC2356">
        <v>-5.1638906948996501</v>
      </c>
    </row>
    <row r="2357" spans="39:81">
      <c r="AM2357" s="2"/>
      <c r="AN2357" s="2"/>
      <c r="AS2357">
        <v>-7.8516797895637902</v>
      </c>
      <c r="AT2357">
        <v>39.640199643946303</v>
      </c>
      <c r="CB2357">
        <v>-7.8516797895637902</v>
      </c>
      <c r="CC2357">
        <v>-5.02507506532082</v>
      </c>
    </row>
    <row r="2358" spans="39:81">
      <c r="AM2358" s="2"/>
      <c r="AN2358" s="2"/>
      <c r="AS2358">
        <v>-7.6410865615065999</v>
      </c>
      <c r="AT2358">
        <v>40.180189049086202</v>
      </c>
      <c r="CB2358">
        <v>-7.6410865615065999</v>
      </c>
      <c r="CC2358">
        <v>-4.8902953993642297</v>
      </c>
    </row>
    <row r="2359" spans="39:81">
      <c r="AM2359" s="2"/>
      <c r="AN2359" s="2"/>
      <c r="AS2359">
        <v>-7.4152313763541997</v>
      </c>
      <c r="AT2359">
        <v>40.714852926272698</v>
      </c>
      <c r="CB2359">
        <v>-7.4152313763541997</v>
      </c>
      <c r="CC2359">
        <v>-4.7457480808666901</v>
      </c>
    </row>
    <row r="2360" spans="39:81">
      <c r="AM2360" s="2"/>
      <c r="AN2360" s="2"/>
      <c r="AS2360">
        <v>-7.21954336861402</v>
      </c>
      <c r="AT2360">
        <v>41.475785864908197</v>
      </c>
      <c r="CB2360">
        <v>-7.21954336861402</v>
      </c>
      <c r="CC2360">
        <v>-4.6205077559129704</v>
      </c>
    </row>
    <row r="2361" spans="39:81">
      <c r="AM2361" s="2"/>
      <c r="AN2361" s="2"/>
      <c r="AS2361">
        <v>-7.0229024470960404</v>
      </c>
      <c r="AT2361">
        <v>42.095283310479999</v>
      </c>
      <c r="CB2361">
        <v>-7.0229024470960404</v>
      </c>
      <c r="CC2361">
        <v>-4.4946575661414601</v>
      </c>
    </row>
    <row r="2362" spans="39:81">
      <c r="AM2362" s="2"/>
      <c r="AN2362" s="2"/>
      <c r="AS2362">
        <v>-6.81159564783069</v>
      </c>
      <c r="AT2362">
        <v>43.003107379888299</v>
      </c>
      <c r="CB2362">
        <v>-6.81159564783069</v>
      </c>
      <c r="CC2362">
        <v>-4.3594212146116398</v>
      </c>
    </row>
    <row r="2363" spans="39:81">
      <c r="AM2363" s="2"/>
      <c r="AN2363" s="2"/>
      <c r="AS2363">
        <v>-6.5967993410914998</v>
      </c>
      <c r="AT2363">
        <v>43.814244514261802</v>
      </c>
      <c r="CB2363">
        <v>-6.5967993410914998</v>
      </c>
      <c r="CC2363">
        <v>-4.2219515782985599</v>
      </c>
    </row>
    <row r="2364" spans="39:81">
      <c r="AM2364" s="2"/>
      <c r="AN2364" s="2"/>
      <c r="AS2364">
        <v>-6.3455615958390696</v>
      </c>
      <c r="AT2364">
        <v>44.4277626000898</v>
      </c>
      <c r="CB2364">
        <v>-6.3455615958390696</v>
      </c>
      <c r="CC2364">
        <v>-4.0611594213369999</v>
      </c>
    </row>
    <row r="2365" spans="39:81">
      <c r="AM2365" s="2"/>
      <c r="AN2365" s="2"/>
      <c r="AS2365">
        <v>-6.1008078529662697</v>
      </c>
      <c r="AT2365">
        <v>44.910450694599199</v>
      </c>
      <c r="CB2365">
        <v>-6.1008078529662697</v>
      </c>
      <c r="CC2365">
        <v>-3.9045170258984099</v>
      </c>
    </row>
    <row r="2366" spans="39:81">
      <c r="AM2366" s="2"/>
      <c r="AN2366" s="2"/>
      <c r="AS2366">
        <v>-5.8644973426330003</v>
      </c>
      <c r="AT2366">
        <v>45.282026263176597</v>
      </c>
      <c r="CB2366">
        <v>-5.8644973426330003</v>
      </c>
      <c r="CC2366">
        <v>-3.7532782992851201</v>
      </c>
    </row>
    <row r="2367" spans="39:81">
      <c r="AM2367" s="2"/>
      <c r="AN2367" s="2"/>
      <c r="AS2367">
        <v>-5.6065893022252</v>
      </c>
      <c r="AT2367">
        <v>45.574511752188499</v>
      </c>
      <c r="CB2367">
        <v>-5.6065893022252</v>
      </c>
      <c r="CC2367">
        <v>-3.5882171534241198</v>
      </c>
    </row>
    <row r="2368" spans="39:81">
      <c r="AM2368" s="2"/>
      <c r="AN2368" s="2"/>
      <c r="AS2368">
        <v>-5.3655569581664002</v>
      </c>
      <c r="AT2368">
        <v>46.110462809339801</v>
      </c>
      <c r="CB2368">
        <v>-5.3655569581664002</v>
      </c>
      <c r="CC2368">
        <v>-3.4339564532264899</v>
      </c>
    </row>
    <row r="2369" spans="39:81">
      <c r="AM2369" s="2"/>
      <c r="AN2369" s="2"/>
      <c r="AS2369">
        <v>-5.0835171279691398</v>
      </c>
      <c r="AT2369">
        <v>46.687827658137898</v>
      </c>
      <c r="CB2369">
        <v>-5.0835171279691398</v>
      </c>
      <c r="CC2369">
        <v>-3.2534509619002501</v>
      </c>
    </row>
    <row r="2370" spans="39:81">
      <c r="AM2370" s="2"/>
      <c r="AN2370" s="2"/>
      <c r="AS2370">
        <v>-4.7774800331627301</v>
      </c>
      <c r="AT2370">
        <v>47.195018414504901</v>
      </c>
      <c r="CB2370">
        <v>-4.7774800331627301</v>
      </c>
      <c r="CC2370">
        <v>-3.0575872212241499</v>
      </c>
    </row>
    <row r="2371" spans="39:81">
      <c r="AM2371" s="2"/>
      <c r="AN2371" s="2"/>
      <c r="AS2371">
        <v>-4.4848913569312803</v>
      </c>
      <c r="AT2371">
        <v>47.820821960552301</v>
      </c>
      <c r="CB2371">
        <v>-4.4848913569312803</v>
      </c>
      <c r="CC2371">
        <v>-2.87033046843601</v>
      </c>
    </row>
    <row r="2372" spans="39:81">
      <c r="AM2372" s="2"/>
      <c r="AN2372" s="2"/>
      <c r="AS2372">
        <v>-4.1601184177484303</v>
      </c>
      <c r="AT2372">
        <v>47.967645582289897</v>
      </c>
      <c r="CB2372">
        <v>-4.1601184177484303</v>
      </c>
      <c r="CC2372">
        <v>-2.6624757873589902</v>
      </c>
    </row>
    <row r="2373" spans="39:81">
      <c r="AM2373" s="2"/>
      <c r="AN2373" s="2"/>
      <c r="AS2373">
        <v>-3.8639344535304798</v>
      </c>
      <c r="AT2373">
        <v>48.279144482046704</v>
      </c>
      <c r="CB2373">
        <v>-3.8639344535304798</v>
      </c>
      <c r="CC2373">
        <v>-2.4729180502595001</v>
      </c>
    </row>
    <row r="2374" spans="39:81">
      <c r="AM2374" s="2"/>
      <c r="AN2374" s="2"/>
      <c r="AS2374">
        <v>-3.5666806173852801</v>
      </c>
      <c r="AT2374">
        <v>48.541246497731102</v>
      </c>
      <c r="CB2374">
        <v>-3.5666806173852801</v>
      </c>
      <c r="CC2374">
        <v>-2.2826755951265798</v>
      </c>
    </row>
    <row r="2375" spans="39:81">
      <c r="AM2375" s="2"/>
      <c r="AN2375" s="2"/>
      <c r="AS2375">
        <v>-3.2548622786128298</v>
      </c>
      <c r="AT2375">
        <v>48.6830831696345</v>
      </c>
      <c r="CB2375">
        <v>-3.2548622786128298</v>
      </c>
      <c r="CC2375">
        <v>-2.0831118583122099</v>
      </c>
    </row>
    <row r="2376" spans="39:81">
      <c r="AM2376" s="2"/>
      <c r="AN2376" s="2"/>
      <c r="AS2376">
        <v>-2.9564327639041701</v>
      </c>
      <c r="AT2376">
        <v>49.117245024656697</v>
      </c>
      <c r="CB2376">
        <v>-2.9564327639041701</v>
      </c>
      <c r="CC2376">
        <v>-1.8921169688986701</v>
      </c>
    </row>
    <row r="2377" spans="39:81">
      <c r="AM2377" s="2"/>
      <c r="AN2377" s="2"/>
      <c r="AS2377">
        <v>-2.6260775204518501</v>
      </c>
      <c r="AT2377">
        <v>49.365322362101203</v>
      </c>
      <c r="CB2377">
        <v>-2.6260775204518501</v>
      </c>
      <c r="CC2377">
        <v>-1.68068961308918</v>
      </c>
    </row>
    <row r="2378" spans="39:81">
      <c r="AM2378" s="2"/>
      <c r="AN2378" s="2"/>
      <c r="AS2378">
        <v>-2.31057375782895</v>
      </c>
      <c r="AT2378">
        <v>49.808734676413998</v>
      </c>
      <c r="CB2378">
        <v>-2.31057375782895</v>
      </c>
      <c r="CC2378">
        <v>-1.4787672050105301</v>
      </c>
    </row>
    <row r="2379" spans="39:81">
      <c r="AM2379" s="2"/>
      <c r="AN2379" s="2"/>
      <c r="AS2379">
        <v>-1.98552547294538</v>
      </c>
      <c r="AT2379">
        <v>50.087676235367702</v>
      </c>
      <c r="CB2379">
        <v>-1.98552547294538</v>
      </c>
      <c r="CC2379">
        <v>-1.27073630268504</v>
      </c>
    </row>
    <row r="2380" spans="39:81">
      <c r="AM2380" s="2"/>
      <c r="AN2380" s="2"/>
      <c r="AS2380">
        <v>-1.66000727384251</v>
      </c>
      <c r="AT2380">
        <v>50.315769040108698</v>
      </c>
      <c r="CB2380">
        <v>-1.66000727384251</v>
      </c>
      <c r="CC2380">
        <v>-1.0624046552592099</v>
      </c>
    </row>
    <row r="2381" spans="39:81">
      <c r="AM2381" s="2"/>
      <c r="AN2381" s="2"/>
      <c r="AS2381">
        <v>-1.36242649596839</v>
      </c>
      <c r="AT2381">
        <v>50.453226518150402</v>
      </c>
      <c r="CB2381">
        <v>-1.36242649596839</v>
      </c>
      <c r="CC2381">
        <v>-0.87195295741976997</v>
      </c>
    </row>
    <row r="2382" spans="39:81">
      <c r="AM2382" s="2"/>
      <c r="AN2382" s="2"/>
      <c r="AS2382">
        <v>-1.0593778915557299</v>
      </c>
      <c r="AT2382">
        <v>50.457990378133502</v>
      </c>
      <c r="CB2382">
        <v>-1.0593778915557299</v>
      </c>
      <c r="CC2382">
        <v>-0.67800185059566898</v>
      </c>
    </row>
    <row r="2383" spans="39:81">
      <c r="AM2383" s="2"/>
      <c r="AN2383" s="2"/>
      <c r="AS2383">
        <v>-0.785479121652919</v>
      </c>
      <c r="AT2383">
        <v>50.556046365509303</v>
      </c>
      <c r="CB2383">
        <v>-0.785479121652919</v>
      </c>
      <c r="CC2383">
        <v>-0.50270663785786796</v>
      </c>
    </row>
    <row r="2384" spans="39:81">
      <c r="AM2384" s="2"/>
      <c r="AN2384" s="2"/>
      <c r="AS2384">
        <v>-0.51769300479440405</v>
      </c>
      <c r="AT2384">
        <v>50.685342970564598</v>
      </c>
      <c r="CB2384">
        <v>-0.51769300479440405</v>
      </c>
      <c r="CC2384">
        <v>-0.331323523068418</v>
      </c>
    </row>
    <row r="2385" spans="39:81">
      <c r="AM2385" s="2"/>
      <c r="AN2385" s="2"/>
      <c r="AS2385">
        <v>-0.21161652544495901</v>
      </c>
      <c r="AT2385">
        <v>50.853376818426902</v>
      </c>
      <c r="CB2385">
        <v>-0.21161652544495901</v>
      </c>
      <c r="CC2385">
        <v>-0.13543457628477401</v>
      </c>
    </row>
    <row r="2386" spans="39:81">
      <c r="AM2386" s="2"/>
      <c r="AN2386" s="2"/>
      <c r="AS2386">
        <v>6.3755502133968606E-2</v>
      </c>
      <c r="AT2386">
        <v>51.103706565053898</v>
      </c>
      <c r="CB2386">
        <v>6.3755502133968606E-2</v>
      </c>
      <c r="CC2386">
        <v>4.0803521365739899E-2</v>
      </c>
    </row>
    <row r="2387" spans="39:81">
      <c r="AM2387" s="2"/>
      <c r="AN2387" s="2"/>
      <c r="AS2387">
        <v>0.37425125648593699</v>
      </c>
      <c r="AT2387">
        <v>51.097083095573502</v>
      </c>
      <c r="CB2387">
        <v>0.37425125648593699</v>
      </c>
      <c r="CC2387">
        <v>0.23952080415099899</v>
      </c>
    </row>
    <row r="2388" spans="39:81">
      <c r="AM2388" s="2"/>
      <c r="AN2388" s="2"/>
      <c r="AS2388">
        <v>0.67680500236527696</v>
      </c>
      <c r="AT2388">
        <v>50.963977328710101</v>
      </c>
      <c r="CB2388">
        <v>0.67680500236527696</v>
      </c>
      <c r="CC2388">
        <v>0.43315520151377701</v>
      </c>
    </row>
    <row r="2389" spans="39:81">
      <c r="AM2389" s="2"/>
      <c r="AN2389" s="2"/>
      <c r="AS2389">
        <v>0.95386020419620299</v>
      </c>
      <c r="AT2389">
        <v>50.804671483700297</v>
      </c>
      <c r="CB2389">
        <v>0.95386020419620299</v>
      </c>
      <c r="CC2389">
        <v>0.61047053068557</v>
      </c>
    </row>
    <row r="2390" spans="39:81">
      <c r="AM2390" s="2"/>
      <c r="AN2390" s="2"/>
      <c r="AS2390">
        <v>1.27825805241309</v>
      </c>
      <c r="AT2390">
        <v>50.390863281364702</v>
      </c>
      <c r="CB2390">
        <v>1.27825805241309</v>
      </c>
      <c r="CC2390">
        <v>0.81808515354437705</v>
      </c>
    </row>
    <row r="2391" spans="39:81">
      <c r="AM2391" s="2"/>
      <c r="AN2391" s="2"/>
      <c r="AS2391">
        <v>1.57631669229511</v>
      </c>
      <c r="AT2391">
        <v>50.2142609559071</v>
      </c>
      <c r="CB2391">
        <v>1.57631669229511</v>
      </c>
      <c r="CC2391">
        <v>1.0088426830688699</v>
      </c>
    </row>
    <row r="2392" spans="39:81">
      <c r="AM2392" s="2"/>
      <c r="AN2392" s="2"/>
      <c r="AS2392">
        <v>1.89558912362696</v>
      </c>
      <c r="AT2392">
        <v>50.024921948094203</v>
      </c>
      <c r="CB2392">
        <v>1.89558912362696</v>
      </c>
      <c r="CC2392">
        <v>1.21317703912125</v>
      </c>
    </row>
    <row r="2393" spans="39:81">
      <c r="AM2393" s="2"/>
      <c r="AN2393" s="2"/>
      <c r="AS2393">
        <v>2.2238841489519099</v>
      </c>
      <c r="AT2393">
        <v>49.866985287530902</v>
      </c>
      <c r="CB2393">
        <v>2.2238841489519099</v>
      </c>
      <c r="CC2393">
        <v>1.42328585532922</v>
      </c>
    </row>
    <row r="2394" spans="39:81">
      <c r="AM2394" s="2"/>
      <c r="AN2394" s="2"/>
      <c r="AS2394">
        <v>2.5401647504435299</v>
      </c>
      <c r="AT2394">
        <v>49.751784294818599</v>
      </c>
      <c r="CB2394">
        <v>2.5401647504435299</v>
      </c>
      <c r="CC2394">
        <v>1.62570544028386</v>
      </c>
    </row>
    <row r="2395" spans="39:81">
      <c r="AM2395" s="2"/>
      <c r="AN2395" s="2"/>
      <c r="AS2395">
        <v>2.88239932461628</v>
      </c>
      <c r="AT2395">
        <v>49.3929405601151</v>
      </c>
      <c r="CB2395">
        <v>2.88239932461628</v>
      </c>
      <c r="CC2395">
        <v>1.8447355677544199</v>
      </c>
    </row>
    <row r="2396" spans="39:81">
      <c r="AM2396" s="2"/>
      <c r="AN2396" s="2"/>
      <c r="AS2396">
        <v>3.1949293551910301</v>
      </c>
      <c r="AT2396">
        <v>49.1757371908134</v>
      </c>
      <c r="CB2396">
        <v>3.1949293551910301</v>
      </c>
      <c r="CC2396">
        <v>2.04475478732226</v>
      </c>
    </row>
    <row r="2397" spans="39:81">
      <c r="AM2397" s="2"/>
      <c r="AN2397" s="2"/>
      <c r="AS2397">
        <v>3.5098456133077098</v>
      </c>
      <c r="AT2397">
        <v>48.595983273981098</v>
      </c>
      <c r="CB2397">
        <v>3.5098456133077098</v>
      </c>
      <c r="CC2397">
        <v>2.2463011925169298</v>
      </c>
    </row>
    <row r="2398" spans="39:81">
      <c r="AM2398" s="2"/>
      <c r="AN2398" s="2"/>
      <c r="AS2398">
        <v>3.8048836619008801</v>
      </c>
      <c r="AT2398">
        <v>48.1456124700304</v>
      </c>
      <c r="CB2398">
        <v>3.8048836619008801</v>
      </c>
      <c r="CC2398">
        <v>2.43512554361656</v>
      </c>
    </row>
    <row r="2399" spans="39:81">
      <c r="AM2399" s="2"/>
      <c r="AN2399" s="2"/>
      <c r="AS2399">
        <v>4.06319925939634</v>
      </c>
      <c r="AT2399">
        <v>47.853033246391</v>
      </c>
      <c r="CB2399">
        <v>4.06319925939634</v>
      </c>
      <c r="CC2399">
        <v>2.6004475260136499</v>
      </c>
    </row>
    <row r="2400" spans="39:81">
      <c r="AM2400" s="2"/>
      <c r="AN2400" s="2"/>
      <c r="AS2400">
        <v>4.3490844270036799</v>
      </c>
      <c r="AT2400">
        <v>47.411978510193002</v>
      </c>
      <c r="CB2400">
        <v>4.3490844270036799</v>
      </c>
      <c r="CC2400">
        <v>2.7834140332823498</v>
      </c>
    </row>
    <row r="2401" spans="39:81">
      <c r="AM2401" s="2"/>
      <c r="AN2401" s="2"/>
      <c r="AS2401">
        <v>4.6117301404485902</v>
      </c>
      <c r="AT2401">
        <v>47.447791101914603</v>
      </c>
      <c r="CB2401">
        <v>4.6117301404485902</v>
      </c>
      <c r="CC2401">
        <v>2.9515072898871</v>
      </c>
    </row>
    <row r="2402" spans="39:81">
      <c r="AM2402" s="2"/>
      <c r="AN2402" s="2"/>
      <c r="AS2402">
        <v>4.8962822830749602</v>
      </c>
      <c r="AT2402">
        <v>47.135178322507699</v>
      </c>
      <c r="CB2402">
        <v>4.8962822830749602</v>
      </c>
      <c r="CC2402">
        <v>3.1336206611679698</v>
      </c>
    </row>
    <row r="2403" spans="39:81">
      <c r="AM2403" s="2"/>
      <c r="AN2403" s="2"/>
      <c r="AS2403">
        <v>5.1813364736047003</v>
      </c>
      <c r="AT2403">
        <v>46.809469508932999</v>
      </c>
      <c r="CB2403">
        <v>5.1813364736047003</v>
      </c>
      <c r="CC2403">
        <v>3.3160553431070099</v>
      </c>
    </row>
    <row r="2404" spans="39:81">
      <c r="AM2404" s="2"/>
      <c r="AN2404" s="2"/>
      <c r="AS2404">
        <v>5.4181474744329696</v>
      </c>
      <c r="AT2404">
        <v>46.376267330513301</v>
      </c>
      <c r="CB2404">
        <v>5.4181474744329696</v>
      </c>
      <c r="CC2404">
        <v>3.4676143836371001</v>
      </c>
    </row>
    <row r="2405" spans="39:81">
      <c r="AM2405" s="2"/>
      <c r="AN2405" s="2"/>
      <c r="AS2405">
        <v>5.6524342616762899</v>
      </c>
      <c r="AT2405">
        <v>45.593766319449799</v>
      </c>
      <c r="CB2405">
        <v>5.6524342616762899</v>
      </c>
      <c r="CC2405">
        <v>3.6175579274728298</v>
      </c>
    </row>
    <row r="2406" spans="39:81">
      <c r="AM2406" s="2"/>
      <c r="AN2406" s="2"/>
      <c r="AS2406">
        <v>5.8520073343233401</v>
      </c>
      <c r="AT2406">
        <v>45.010475987441097</v>
      </c>
      <c r="CB2406">
        <v>5.8520073343233401</v>
      </c>
      <c r="CC2406">
        <v>3.74528469396693</v>
      </c>
    </row>
    <row r="2407" spans="39:81">
      <c r="AM2407" s="2"/>
      <c r="AN2407" s="2"/>
      <c r="AS2407">
        <v>6.0406685517229697</v>
      </c>
      <c r="AT2407">
        <v>44.512095955080703</v>
      </c>
      <c r="CB2407">
        <v>6.0406685517229697</v>
      </c>
      <c r="CC2407">
        <v>3.8660278731026998</v>
      </c>
    </row>
    <row r="2408" spans="39:81">
      <c r="AM2408" s="2"/>
      <c r="AN2408" s="2"/>
      <c r="AS2408">
        <v>6.2594612282187096</v>
      </c>
      <c r="AT2408">
        <v>44.117480401377598</v>
      </c>
      <c r="CB2408">
        <v>6.2594612282187096</v>
      </c>
      <c r="CC2408">
        <v>4.00605518605997</v>
      </c>
    </row>
    <row r="2409" spans="39:81">
      <c r="AM2409" s="2"/>
      <c r="AN2409" s="2"/>
      <c r="AS2409">
        <v>6.4761892167262003</v>
      </c>
      <c r="AT2409">
        <v>43.789395877283198</v>
      </c>
      <c r="CB2409">
        <v>6.4761892167262003</v>
      </c>
      <c r="CC2409">
        <v>4.1447610987047598</v>
      </c>
    </row>
    <row r="2410" spans="39:81">
      <c r="AM2410" s="2"/>
      <c r="AN2410" s="2"/>
      <c r="AS2410">
        <v>6.7003580084527403</v>
      </c>
      <c r="AT2410">
        <v>43.388155057674602</v>
      </c>
      <c r="CB2410">
        <v>6.7003580084527403</v>
      </c>
      <c r="CC2410">
        <v>4.2882291254097504</v>
      </c>
    </row>
    <row r="2411" spans="39:81">
      <c r="AM2411" s="2"/>
      <c r="AN2411" s="2"/>
      <c r="AS2411">
        <v>6.9187945758861602</v>
      </c>
      <c r="AT2411">
        <v>42.687310468099099</v>
      </c>
      <c r="CB2411">
        <v>6.9187945758861602</v>
      </c>
      <c r="CC2411">
        <v>4.4280285285671397</v>
      </c>
    </row>
    <row r="2412" spans="39:81">
      <c r="AM2412" s="2"/>
      <c r="AN2412" s="2"/>
      <c r="AS2412">
        <v>7.1077796831488698</v>
      </c>
      <c r="AT2412">
        <v>41.978943446572998</v>
      </c>
      <c r="CB2412">
        <v>7.1077796831488698</v>
      </c>
      <c r="CC2412">
        <v>4.5489789972152703</v>
      </c>
    </row>
    <row r="2413" spans="39:81">
      <c r="AM2413" s="2"/>
      <c r="AN2413" s="2"/>
      <c r="AS2413">
        <v>7.3123639201171002</v>
      </c>
      <c r="AT2413">
        <v>41.174006154033499</v>
      </c>
      <c r="CB2413">
        <v>7.3123639201171002</v>
      </c>
      <c r="CC2413">
        <v>4.6799129088749396</v>
      </c>
    </row>
    <row r="2414" spans="39:81">
      <c r="AM2414" s="2"/>
      <c r="AN2414" s="2"/>
      <c r="AS2414">
        <v>7.5267586981196999</v>
      </c>
      <c r="AT2414">
        <v>40.3391607079365</v>
      </c>
      <c r="CB2414">
        <v>7.5267586981196999</v>
      </c>
      <c r="CC2414">
        <v>4.8171255667966104</v>
      </c>
    </row>
    <row r="2415" spans="39:81">
      <c r="AM2415" s="2"/>
      <c r="AN2415" s="2"/>
      <c r="AS2415">
        <v>7.7365925643713398</v>
      </c>
      <c r="AT2415">
        <v>39.7776797212356</v>
      </c>
      <c r="CB2415">
        <v>7.7365925643713398</v>
      </c>
      <c r="CC2415">
        <v>4.9514192411976596</v>
      </c>
    </row>
    <row r="2416" spans="39:81">
      <c r="AM2416" s="2"/>
      <c r="AN2416" s="2"/>
      <c r="AS2416">
        <v>7.9659168964359797</v>
      </c>
      <c r="AT2416">
        <v>38.892795978768198</v>
      </c>
      <c r="CB2416">
        <v>7.9659168964359797</v>
      </c>
      <c r="CC2416">
        <v>5.09818681371903</v>
      </c>
    </row>
    <row r="2417" spans="39:81">
      <c r="AM2417" s="2"/>
      <c r="AN2417" s="2"/>
      <c r="AS2417">
        <v>8.16683923063019</v>
      </c>
      <c r="AT2417">
        <v>38.227499728406897</v>
      </c>
      <c r="CB2417">
        <v>8.16683923063019</v>
      </c>
      <c r="CC2417">
        <v>5.2267771076033203</v>
      </c>
    </row>
    <row r="2418" spans="39:81">
      <c r="AM2418" s="2"/>
      <c r="AN2418" s="2"/>
      <c r="AS2418">
        <v>8.3673536419903503</v>
      </c>
      <c r="AT2418">
        <v>37.472506984806401</v>
      </c>
      <c r="CB2418">
        <v>8.3673536419903503</v>
      </c>
      <c r="CC2418">
        <v>5.35510633087382</v>
      </c>
    </row>
    <row r="2419" spans="39:81">
      <c r="AM2419" s="2"/>
      <c r="AN2419" s="2"/>
      <c r="AS2419">
        <v>8.5809059408805304</v>
      </c>
      <c r="AT2419">
        <v>36.539248107713298</v>
      </c>
      <c r="CB2419">
        <v>8.5809059408805304</v>
      </c>
      <c r="CC2419">
        <v>5.4917798021635402</v>
      </c>
    </row>
    <row r="2420" spans="39:81">
      <c r="AM2420" s="2"/>
      <c r="AN2420" s="2"/>
      <c r="AS2420">
        <v>8.7603135367760192</v>
      </c>
      <c r="AT2420">
        <v>35.630491146417398</v>
      </c>
      <c r="CB2420">
        <v>8.7603135367760192</v>
      </c>
      <c r="CC2420">
        <v>5.6066006635366499</v>
      </c>
    </row>
    <row r="2421" spans="39:81">
      <c r="AM2421" s="2"/>
      <c r="AN2421" s="2"/>
      <c r="AS2421">
        <v>8.96401400819766</v>
      </c>
      <c r="AT2421">
        <v>34.510080530610303</v>
      </c>
      <c r="CB2421">
        <v>8.96401400819766</v>
      </c>
      <c r="CC2421">
        <v>5.7369689652464997</v>
      </c>
    </row>
    <row r="2422" spans="39:81">
      <c r="AM2422" s="2"/>
      <c r="AN2422" s="2"/>
      <c r="AS2422">
        <v>9.1538828615946404</v>
      </c>
      <c r="AT2422">
        <v>33.458200152584098</v>
      </c>
      <c r="CB2422">
        <v>9.1538828615946404</v>
      </c>
      <c r="CC2422">
        <v>5.8584850314205701</v>
      </c>
    </row>
    <row r="2423" spans="39:81">
      <c r="AM2423" s="2"/>
      <c r="AN2423" s="2"/>
      <c r="AS2423">
        <v>9.3191764418714396</v>
      </c>
      <c r="AT2423">
        <v>32.407251624247699</v>
      </c>
      <c r="CB2423">
        <v>9.3191764418714396</v>
      </c>
      <c r="CC2423">
        <v>5.9642729227977203</v>
      </c>
    </row>
    <row r="2424" spans="39:81">
      <c r="AM2424" s="2"/>
      <c r="AN2424" s="2"/>
      <c r="AS2424">
        <v>9.5008970378695903</v>
      </c>
      <c r="AT2424">
        <v>31.4643526654148</v>
      </c>
      <c r="CB2424">
        <v>9.5008970378695903</v>
      </c>
      <c r="CC2424">
        <v>6.08057410423653</v>
      </c>
    </row>
    <row r="2425" spans="39:81">
      <c r="AM2425" s="2"/>
      <c r="AN2425" s="2"/>
      <c r="AS2425">
        <v>9.6700070499084507</v>
      </c>
      <c r="AT2425">
        <v>30.5493221127875</v>
      </c>
      <c r="CB2425">
        <v>9.6700070499084507</v>
      </c>
      <c r="CC2425">
        <v>6.1888045119414103</v>
      </c>
    </row>
    <row r="2426" spans="39:81">
      <c r="AM2426" s="2"/>
      <c r="AN2426" s="2"/>
      <c r="AS2426">
        <v>9.8233985198863198</v>
      </c>
      <c r="AT2426">
        <v>29.5127586049922</v>
      </c>
      <c r="CB2426">
        <v>9.8233985198863198</v>
      </c>
      <c r="CC2426">
        <v>6.2869750527272403</v>
      </c>
    </row>
    <row r="2427" spans="39:81">
      <c r="AM2427" s="2"/>
      <c r="AN2427" s="2"/>
      <c r="AS2427">
        <v>9.9947798374051704</v>
      </c>
      <c r="AT2427">
        <v>28.403159392985302</v>
      </c>
      <c r="CB2427">
        <v>9.9947798374051704</v>
      </c>
      <c r="CC2427">
        <v>6.3966590959393104</v>
      </c>
    </row>
    <row r="2428" spans="39:81">
      <c r="AM2428" s="2"/>
      <c r="AN2428" s="2"/>
      <c r="AS2428">
        <v>10.137090489760499</v>
      </c>
      <c r="AT2428">
        <v>27.1239260994153</v>
      </c>
      <c r="CB2428">
        <v>10.137090489760499</v>
      </c>
      <c r="CC2428">
        <v>6.4877379134467503</v>
      </c>
    </row>
    <row r="2429" spans="39:81">
      <c r="AM2429" s="2"/>
      <c r="AN2429" s="2"/>
      <c r="AS2429">
        <v>10.2813450572494</v>
      </c>
      <c r="AT2429">
        <v>25.856507617370202</v>
      </c>
      <c r="CB2429">
        <v>10.2813450572494</v>
      </c>
      <c r="CC2429">
        <v>6.5800608366396096</v>
      </c>
    </row>
    <row r="2430" spans="39:81">
      <c r="AM2430" s="2"/>
      <c r="AN2430" s="2"/>
      <c r="AS2430">
        <v>10.4353097674138</v>
      </c>
      <c r="AT2430">
        <v>24.7731575965506</v>
      </c>
      <c r="CB2430">
        <v>10.4353097674138</v>
      </c>
      <c r="CC2430">
        <v>6.67859825114488</v>
      </c>
    </row>
    <row r="2431" spans="39:81">
      <c r="AM2431" s="2"/>
      <c r="AN2431" s="2"/>
      <c r="AS2431">
        <v>10.5380459400468</v>
      </c>
      <c r="AT2431">
        <v>23.743901052846802</v>
      </c>
      <c r="CB2431">
        <v>10.5380459400468</v>
      </c>
      <c r="CC2431">
        <v>6.7443494016300001</v>
      </c>
    </row>
    <row r="2432" spans="39:81">
      <c r="AM2432" s="2"/>
      <c r="AN2432" s="2"/>
      <c r="AS2432">
        <v>10.664027673562099</v>
      </c>
      <c r="AT2432">
        <v>22.809065570256202</v>
      </c>
      <c r="CB2432">
        <v>10.664027673562099</v>
      </c>
      <c r="CC2432">
        <v>6.8249777110798</v>
      </c>
    </row>
    <row r="2433" spans="39:81">
      <c r="AM2433" s="2"/>
      <c r="AN2433" s="2"/>
      <c r="AS2433">
        <v>10.7822876121935</v>
      </c>
      <c r="AT2433">
        <v>21.902276727525901</v>
      </c>
      <c r="CB2433">
        <v>10.7822876121935</v>
      </c>
      <c r="CC2433">
        <v>6.9006640718038801</v>
      </c>
    </row>
    <row r="2434" spans="39:81">
      <c r="AM2434" s="2"/>
      <c r="AN2434" s="2"/>
      <c r="AS2434">
        <v>10.8813110439336</v>
      </c>
      <c r="AT2434">
        <v>20.741810959952598</v>
      </c>
      <c r="CB2434">
        <v>10.8813110439336</v>
      </c>
      <c r="CC2434">
        <v>6.9640390681174997</v>
      </c>
    </row>
    <row r="2435" spans="39:81">
      <c r="AM2435" s="2"/>
      <c r="AN2435" s="2"/>
      <c r="AS2435">
        <v>11.0343314859121</v>
      </c>
      <c r="AT2435">
        <v>19.549187786736798</v>
      </c>
      <c r="CB2435">
        <v>11.0343314859121</v>
      </c>
      <c r="CC2435">
        <v>7.0619721509837596</v>
      </c>
    </row>
    <row r="2436" spans="39:81">
      <c r="AM2436" s="2"/>
      <c r="AN2436" s="2"/>
      <c r="AS2436">
        <v>11.158836133545201</v>
      </c>
      <c r="AT2436">
        <v>18.289079934868301</v>
      </c>
      <c r="CB2436">
        <v>11.158836133545201</v>
      </c>
      <c r="CC2436">
        <v>7.1416551254689598</v>
      </c>
    </row>
    <row r="2437" spans="39:81">
      <c r="AM2437" s="2"/>
      <c r="AN2437" s="2"/>
      <c r="AS2437">
        <v>11.3022664959697</v>
      </c>
      <c r="AT2437">
        <v>17.068733660726199</v>
      </c>
      <c r="CB2437">
        <v>11.3022664959697</v>
      </c>
      <c r="CC2437">
        <v>7.23345055742063</v>
      </c>
    </row>
    <row r="2438" spans="39:81">
      <c r="AM2438" s="2"/>
      <c r="AN2438" s="2"/>
      <c r="AS2438">
        <v>11.4435832771057</v>
      </c>
      <c r="AT2438">
        <v>15.9277673321817</v>
      </c>
      <c r="CB2438">
        <v>11.4435832771057</v>
      </c>
      <c r="CC2438">
        <v>7.3238932973476603</v>
      </c>
    </row>
    <row r="2439" spans="39:81">
      <c r="AM2439" s="2"/>
      <c r="AN2439" s="2"/>
      <c r="AS2439">
        <v>11.5130089932321</v>
      </c>
      <c r="AT2439">
        <v>14.680286341754099</v>
      </c>
      <c r="CB2439">
        <v>11.5130089932321</v>
      </c>
      <c r="CC2439">
        <v>7.36832575566857</v>
      </c>
    </row>
    <row r="2440" spans="39:81">
      <c r="AM2440" s="2"/>
      <c r="AN2440" s="2"/>
      <c r="AS2440">
        <v>11.615397153357099</v>
      </c>
      <c r="AT2440">
        <v>13.7406166548363</v>
      </c>
      <c r="CB2440">
        <v>11.615397153357099</v>
      </c>
      <c r="CC2440">
        <v>7.4338541781486001</v>
      </c>
    </row>
    <row r="2441" spans="39:81">
      <c r="AM2441" s="2"/>
      <c r="AN2441" s="2"/>
      <c r="AS2441">
        <v>11.6630120880546</v>
      </c>
      <c r="AT2441">
        <v>12.4702432206262</v>
      </c>
      <c r="CB2441">
        <v>11.6630120880546</v>
      </c>
      <c r="CC2441">
        <v>7.464327736355</v>
      </c>
    </row>
    <row r="2442" spans="39:81">
      <c r="AM2442" s="2"/>
      <c r="AN2442" s="2"/>
      <c r="AS2442">
        <v>11.692105229643801</v>
      </c>
      <c r="AT2442">
        <v>11.2587450237878</v>
      </c>
      <c r="CB2442">
        <v>11.692105229643801</v>
      </c>
      <c r="CC2442">
        <v>7.48294734697203</v>
      </c>
    </row>
    <row r="2443" spans="39:81">
      <c r="AM2443" s="2"/>
      <c r="AN2443" s="2"/>
      <c r="AS2443">
        <v>11.7587307657527</v>
      </c>
      <c r="AT2443">
        <v>9.9291820065960898</v>
      </c>
      <c r="CB2443">
        <v>11.7587307657527</v>
      </c>
      <c r="CC2443">
        <v>7.5255876900817196</v>
      </c>
    </row>
    <row r="2444" spans="39:81">
      <c r="AM2444" s="2"/>
      <c r="AN2444" s="2"/>
      <c r="AS2444">
        <v>11.7878510164917</v>
      </c>
      <c r="AT2444">
        <v>8.3038775821115909</v>
      </c>
      <c r="CB2444">
        <v>11.7878510164917</v>
      </c>
      <c r="CC2444">
        <v>7.5442246505546899</v>
      </c>
    </row>
    <row r="2445" spans="39:81">
      <c r="AM2445" s="2"/>
      <c r="AN2445" s="2"/>
      <c r="AS2445">
        <v>11.867208357480299</v>
      </c>
      <c r="AT2445">
        <v>7.0037502119021102</v>
      </c>
      <c r="CB2445">
        <v>11.867208357480299</v>
      </c>
      <c r="CC2445">
        <v>7.5950133487874298</v>
      </c>
    </row>
    <row r="2446" spans="39:81">
      <c r="AM2446" s="2"/>
      <c r="AN2446" s="2"/>
      <c r="AS2446">
        <v>11.9388575171093</v>
      </c>
      <c r="AT2446">
        <v>5.5535555276136899</v>
      </c>
      <c r="CB2446">
        <v>11.9388575171093</v>
      </c>
      <c r="CC2446">
        <v>7.6408688109499998</v>
      </c>
    </row>
    <row r="2447" spans="39:81">
      <c r="AM2447" s="2"/>
      <c r="AN2447" s="2"/>
      <c r="AS2447">
        <v>11.9593283207538</v>
      </c>
      <c r="AT2447">
        <v>4.3836823864545202</v>
      </c>
      <c r="CB2447">
        <v>11.9593283207538</v>
      </c>
      <c r="CC2447">
        <v>7.6539701252824299</v>
      </c>
    </row>
    <row r="2448" spans="39:81">
      <c r="AM2448" s="2"/>
      <c r="AN2448" s="2"/>
      <c r="AS2448">
        <v>11.979336579390701</v>
      </c>
      <c r="AT2448">
        <v>3.3338512606654498</v>
      </c>
      <c r="CB2448">
        <v>11.979336579390701</v>
      </c>
      <c r="CC2448">
        <v>7.6667754108100903</v>
      </c>
    </row>
    <row r="2449" spans="39:81">
      <c r="AM2449" s="2"/>
      <c r="AN2449" s="2"/>
      <c r="AS2449">
        <v>11.932750570096699</v>
      </c>
      <c r="AT2449">
        <v>2.1069961148988599</v>
      </c>
      <c r="CB2449">
        <v>11.932750570096699</v>
      </c>
      <c r="CC2449">
        <v>7.6369603648619204</v>
      </c>
    </row>
    <row r="2450" spans="39:81">
      <c r="AM2450" s="2"/>
      <c r="AN2450" s="2"/>
      <c r="AS2450">
        <v>11.8889771624053</v>
      </c>
      <c r="AT2450">
        <v>0.77384725514377795</v>
      </c>
      <c r="CB2450">
        <v>11.8889771624053</v>
      </c>
      <c r="CC2450">
        <v>7.6089453839394103</v>
      </c>
    </row>
    <row r="2451" spans="39:81">
      <c r="AM2451" s="2"/>
      <c r="AN2451" s="2"/>
      <c r="AS2451">
        <v>11.891229155651001</v>
      </c>
      <c r="AT2451">
        <v>-0.71588312476649196</v>
      </c>
      <c r="CB2451">
        <v>11.891229155651001</v>
      </c>
      <c r="CC2451">
        <v>7.6103866596166396</v>
      </c>
    </row>
    <row r="2452" spans="39:81">
      <c r="AM2452" s="2"/>
      <c r="AN2452" s="2"/>
      <c r="AS2452">
        <v>11.868187994769601</v>
      </c>
      <c r="AT2452">
        <v>-2.2979013812488298</v>
      </c>
      <c r="CB2452">
        <v>11.868187994769601</v>
      </c>
      <c r="CC2452">
        <v>7.5956403166525996</v>
      </c>
    </row>
    <row r="2453" spans="39:81">
      <c r="AM2453" s="2"/>
      <c r="AN2453" s="2"/>
      <c r="AS2453">
        <v>11.8720576669902</v>
      </c>
      <c r="AT2453">
        <v>-3.7246305421000101</v>
      </c>
      <c r="CB2453">
        <v>11.8720576669902</v>
      </c>
      <c r="CC2453">
        <v>7.5981169068737797</v>
      </c>
    </row>
    <row r="2454" spans="39:81">
      <c r="AM2454" s="2"/>
      <c r="AN2454" s="2"/>
      <c r="AS2454">
        <v>11.8458042892298</v>
      </c>
      <c r="AT2454">
        <v>-4.9096455641066603</v>
      </c>
      <c r="CB2454">
        <v>11.8458042892298</v>
      </c>
      <c r="CC2454">
        <v>7.5813147451070897</v>
      </c>
    </row>
    <row r="2455" spans="39:81">
      <c r="AM2455" s="2"/>
      <c r="AN2455" s="2"/>
      <c r="AS2455">
        <v>11.756112405610599</v>
      </c>
      <c r="AT2455">
        <v>-6.1397589572553803</v>
      </c>
      <c r="CB2455">
        <v>11.756112405610599</v>
      </c>
      <c r="CC2455">
        <v>7.5239119395907901</v>
      </c>
    </row>
    <row r="2456" spans="39:81">
      <c r="AM2456" s="2"/>
      <c r="AN2456" s="2"/>
      <c r="AS2456">
        <v>11.7019041805207</v>
      </c>
      <c r="AT2456">
        <v>-7.2055324135707304</v>
      </c>
      <c r="CB2456">
        <v>11.7019041805207</v>
      </c>
      <c r="CC2456">
        <v>7.4892186755332997</v>
      </c>
    </row>
    <row r="2457" spans="39:81">
      <c r="AM2457" s="2"/>
      <c r="AN2457" s="2"/>
      <c r="AS2457">
        <v>11.619520156590699</v>
      </c>
      <c r="AT2457">
        <v>-8.5591539597260091</v>
      </c>
      <c r="CB2457">
        <v>11.619520156590699</v>
      </c>
      <c r="CC2457">
        <v>7.4364929002180897</v>
      </c>
    </row>
    <row r="2458" spans="39:81">
      <c r="AM2458" s="2"/>
      <c r="AN2458" s="2"/>
      <c r="AS2458">
        <v>11.5513507958267</v>
      </c>
      <c r="AT2458">
        <v>-9.9294093094858393</v>
      </c>
      <c r="CB2458">
        <v>11.5513507958267</v>
      </c>
      <c r="CC2458">
        <v>7.3928645093291401</v>
      </c>
    </row>
    <row r="2459" spans="39:81">
      <c r="AM2459" s="2"/>
      <c r="AN2459" s="2"/>
      <c r="AS2459">
        <v>11.5135096947003</v>
      </c>
      <c r="AT2459">
        <v>-11.155578760621401</v>
      </c>
      <c r="CB2459">
        <v>11.5135096947003</v>
      </c>
      <c r="CC2459">
        <v>7.3686462046082104</v>
      </c>
    </row>
    <row r="2460" spans="39:81">
      <c r="AM2460" s="2"/>
      <c r="AN2460" s="2"/>
      <c r="AS2460">
        <v>11.420398301215901</v>
      </c>
      <c r="AT2460">
        <v>-12.605411405671701</v>
      </c>
      <c r="CB2460">
        <v>11.420398301215901</v>
      </c>
      <c r="CC2460">
        <v>7.3090549127781896</v>
      </c>
    </row>
    <row r="2461" spans="39:81">
      <c r="AM2461" s="2"/>
      <c r="AN2461" s="2"/>
      <c r="AS2461">
        <v>11.361832356049099</v>
      </c>
      <c r="AT2461">
        <v>-13.810245873448601</v>
      </c>
      <c r="CB2461">
        <v>11.361832356049099</v>
      </c>
      <c r="CC2461">
        <v>7.2715727078714698</v>
      </c>
    </row>
    <row r="2462" spans="39:81">
      <c r="AM2462" s="2"/>
      <c r="AN2462" s="2"/>
      <c r="AS2462">
        <v>11.269989332578399</v>
      </c>
      <c r="AT2462">
        <v>-15.0700842039896</v>
      </c>
      <c r="CB2462">
        <v>11.269989332578399</v>
      </c>
      <c r="CC2462">
        <v>7.2127931728501897</v>
      </c>
    </row>
    <row r="2463" spans="39:81">
      <c r="AM2463" s="2"/>
      <c r="AN2463" s="2"/>
      <c r="AS2463">
        <v>11.1534430658969</v>
      </c>
      <c r="AT2463">
        <v>-16.1528066342572</v>
      </c>
      <c r="CB2463">
        <v>11.1534430658969</v>
      </c>
      <c r="CC2463">
        <v>7.1382035621740503</v>
      </c>
    </row>
    <row r="2464" spans="39:81">
      <c r="AM2464" s="2"/>
      <c r="AN2464" s="2"/>
      <c r="AS2464">
        <v>11.0652323637888</v>
      </c>
      <c r="AT2464">
        <v>-17.220698808926802</v>
      </c>
      <c r="CB2464">
        <v>11.0652323637888</v>
      </c>
      <c r="CC2464">
        <v>7.0817487128248704</v>
      </c>
    </row>
    <row r="2465" spans="39:81">
      <c r="AM2465" s="2"/>
      <c r="AN2465" s="2"/>
      <c r="AS2465">
        <v>10.934234354051201</v>
      </c>
      <c r="AT2465">
        <v>-18.284326759691499</v>
      </c>
      <c r="CB2465">
        <v>10.934234354051201</v>
      </c>
      <c r="CC2465">
        <v>6.9979099865927701</v>
      </c>
    </row>
    <row r="2466" spans="39:81">
      <c r="AM2466" s="2"/>
      <c r="AN2466" s="2"/>
      <c r="AS2466">
        <v>10.828036797760401</v>
      </c>
      <c r="AT2466">
        <v>-19.423205764715899</v>
      </c>
      <c r="CB2466">
        <v>10.828036797760401</v>
      </c>
      <c r="CC2466">
        <v>6.9299435505666702</v>
      </c>
    </row>
    <row r="2467" spans="39:81">
      <c r="AM2467" s="2"/>
      <c r="AN2467" s="2"/>
      <c r="AS2467">
        <v>10.744243007172701</v>
      </c>
      <c r="AT2467">
        <v>-20.719872674021602</v>
      </c>
      <c r="CB2467">
        <v>10.744243007172701</v>
      </c>
      <c r="CC2467">
        <v>6.8763155245905301</v>
      </c>
    </row>
    <row r="2468" spans="39:81">
      <c r="AM2468" s="2"/>
      <c r="AN2468" s="2"/>
      <c r="AS2468">
        <v>10.6452064403117</v>
      </c>
      <c r="AT2468">
        <v>-21.9738458607487</v>
      </c>
      <c r="CB2468">
        <v>10.6452064403117</v>
      </c>
      <c r="CC2468">
        <v>6.8129321217995198</v>
      </c>
    </row>
    <row r="2469" spans="39:81">
      <c r="AM2469" s="2"/>
      <c r="AN2469" s="2"/>
      <c r="AS2469">
        <v>10.5735390594671</v>
      </c>
      <c r="AT2469">
        <v>-23.129628122774498</v>
      </c>
      <c r="CB2469">
        <v>10.5735390594671</v>
      </c>
      <c r="CC2469">
        <v>6.7670649980589799</v>
      </c>
    </row>
    <row r="2470" spans="39:81">
      <c r="AM2470" s="2"/>
      <c r="AN2470" s="2"/>
      <c r="AS2470">
        <v>10.461686935218401</v>
      </c>
      <c r="AT2470">
        <v>-24.206920801544999</v>
      </c>
      <c r="CB2470">
        <v>10.461686935218401</v>
      </c>
      <c r="CC2470">
        <v>6.6954796385398003</v>
      </c>
    </row>
    <row r="2471" spans="39:81">
      <c r="AM2471" s="2"/>
      <c r="AN2471" s="2"/>
      <c r="AS2471">
        <v>10.3323914455425</v>
      </c>
      <c r="AT2471">
        <v>-25.108554364201201</v>
      </c>
      <c r="CB2471">
        <v>10.3323914455425</v>
      </c>
      <c r="CC2471">
        <v>6.6127305251472501</v>
      </c>
    </row>
    <row r="2472" spans="39:81">
      <c r="AM2472" s="2"/>
      <c r="AN2472" s="2"/>
      <c r="AS2472">
        <v>10.216273416138799</v>
      </c>
      <c r="AT2472">
        <v>-26.140527569625501</v>
      </c>
      <c r="CB2472">
        <v>10.216273416138799</v>
      </c>
      <c r="CC2472">
        <v>6.5384149863288803</v>
      </c>
    </row>
    <row r="2473" spans="39:81">
      <c r="AM2473" s="2"/>
      <c r="AN2473" s="2"/>
      <c r="AS2473">
        <v>10.055802333928099</v>
      </c>
      <c r="AT2473">
        <v>-27.344570734805899</v>
      </c>
      <c r="CB2473">
        <v>10.055802333928099</v>
      </c>
      <c r="CC2473">
        <v>6.4357134937140001</v>
      </c>
    </row>
    <row r="2474" spans="39:81">
      <c r="AM2474" s="2"/>
      <c r="AN2474" s="2"/>
      <c r="AS2474">
        <v>9.9069723367332791</v>
      </c>
      <c r="AT2474">
        <v>-28.512795578282901</v>
      </c>
      <c r="CB2474">
        <v>9.9069723367332791</v>
      </c>
      <c r="CC2474">
        <v>6.3404622955093002</v>
      </c>
    </row>
    <row r="2475" spans="39:81">
      <c r="AM2475" s="2"/>
      <c r="AN2475" s="2"/>
      <c r="AS2475">
        <v>9.75485598296215</v>
      </c>
      <c r="AT2475">
        <v>-29.859389857269001</v>
      </c>
      <c r="CB2475">
        <v>9.75485598296215</v>
      </c>
      <c r="CC2475">
        <v>6.24310782909577</v>
      </c>
    </row>
    <row r="2476" spans="39:81">
      <c r="AM2476" s="2"/>
      <c r="AN2476" s="2"/>
      <c r="AS2476">
        <v>9.5753344466314907</v>
      </c>
      <c r="AT2476">
        <v>-31.012993483973201</v>
      </c>
      <c r="CB2476">
        <v>9.5753344466314907</v>
      </c>
      <c r="CC2476">
        <v>6.1282140458441496</v>
      </c>
    </row>
    <row r="2477" spans="39:81">
      <c r="AM2477" s="2"/>
      <c r="AN2477" s="2"/>
      <c r="AS2477">
        <v>9.4123610665383204</v>
      </c>
      <c r="AT2477">
        <v>-32.0432526399631</v>
      </c>
      <c r="CB2477">
        <v>9.4123610665383204</v>
      </c>
      <c r="CC2477">
        <v>6.0239110825845197</v>
      </c>
    </row>
    <row r="2478" spans="39:81">
      <c r="AM2478" s="2"/>
      <c r="AN2478" s="2"/>
      <c r="AS2478">
        <v>9.2562718714482592</v>
      </c>
      <c r="AT2478">
        <v>-33.015580092184003</v>
      </c>
      <c r="CB2478">
        <v>9.2562718714482592</v>
      </c>
      <c r="CC2478">
        <v>5.92401399772689</v>
      </c>
    </row>
    <row r="2479" spans="39:81">
      <c r="AM2479" s="2"/>
      <c r="AN2479" s="2"/>
      <c r="AS2479">
        <v>9.0739214884460004</v>
      </c>
      <c r="AT2479">
        <v>-33.898824165705499</v>
      </c>
      <c r="CB2479">
        <v>9.0739214884460004</v>
      </c>
      <c r="CC2479">
        <v>5.8073097526054402</v>
      </c>
    </row>
    <row r="2480" spans="39:81">
      <c r="AM2480" s="2"/>
      <c r="AN2480" s="2"/>
      <c r="AS2480">
        <v>8.9038389451246491</v>
      </c>
      <c r="AT2480">
        <v>-34.9312467458359</v>
      </c>
      <c r="CB2480">
        <v>8.9038389451246491</v>
      </c>
      <c r="CC2480">
        <v>5.6984569248797801</v>
      </c>
    </row>
    <row r="2481" spans="39:81">
      <c r="AM2481" s="2"/>
      <c r="AN2481" s="2"/>
      <c r="AS2481">
        <v>8.6980896727823804</v>
      </c>
      <c r="AT2481">
        <v>-35.879429941425101</v>
      </c>
      <c r="CB2481">
        <v>8.6980896727823804</v>
      </c>
      <c r="CC2481">
        <v>5.5667773905807199</v>
      </c>
    </row>
    <row r="2482" spans="39:81">
      <c r="AM2482" s="2"/>
      <c r="AN2482" s="2"/>
      <c r="AS2482">
        <v>8.4818258747100792</v>
      </c>
      <c r="AT2482">
        <v>-36.875210906275903</v>
      </c>
      <c r="CB2482">
        <v>8.4818258747100792</v>
      </c>
      <c r="CC2482">
        <v>5.4283685598144498</v>
      </c>
    </row>
    <row r="2483" spans="39:81">
      <c r="AM2483" s="2"/>
      <c r="AN2483" s="2"/>
      <c r="AS2483">
        <v>8.2883439198583595</v>
      </c>
      <c r="AT2483">
        <v>-37.978805235261603</v>
      </c>
      <c r="CB2483">
        <v>8.2883439198583595</v>
      </c>
      <c r="CC2483">
        <v>5.3045401087093502</v>
      </c>
    </row>
    <row r="2484" spans="39:81">
      <c r="AM2484" s="2"/>
      <c r="AN2484" s="2"/>
      <c r="AS2484">
        <v>8.0685795772459308</v>
      </c>
      <c r="AT2484">
        <v>-38.713014760974197</v>
      </c>
      <c r="CB2484">
        <v>8.0685795772459308</v>
      </c>
      <c r="CC2484">
        <v>5.1638909294373896</v>
      </c>
    </row>
    <row r="2485" spans="39:81">
      <c r="AM2485" s="2"/>
      <c r="AN2485" s="2"/>
      <c r="AS2485">
        <v>7.85167993984936</v>
      </c>
      <c r="AT2485">
        <v>-39.640199283332201</v>
      </c>
      <c r="CB2485">
        <v>7.85167993984936</v>
      </c>
      <c r="CC2485">
        <v>5.0250751615035902</v>
      </c>
    </row>
    <row r="2486" spans="39:81">
      <c r="AM2486" s="2"/>
      <c r="AN2486" s="2"/>
      <c r="AS2486">
        <v>7.6410863091771803</v>
      </c>
      <c r="AT2486">
        <v>-40.180194046992597</v>
      </c>
      <c r="CB2486">
        <v>7.6410863091771803</v>
      </c>
      <c r="CC2486">
        <v>4.8902952378733904</v>
      </c>
    </row>
    <row r="2487" spans="39:81">
      <c r="AM2487" s="2"/>
      <c r="AN2487" s="2"/>
      <c r="AS2487">
        <v>7.4152312866955397</v>
      </c>
      <c r="AT2487">
        <v>-40.714851996192102</v>
      </c>
      <c r="CB2487">
        <v>7.4152312866955397</v>
      </c>
      <c r="CC2487">
        <v>4.7457480234851399</v>
      </c>
    </row>
    <row r="2488" spans="39:81">
      <c r="AM2488" s="2"/>
      <c r="AN2488" s="2"/>
      <c r="AS2488">
        <v>7.2195432250343901</v>
      </c>
      <c r="AT2488">
        <v>-41.475786350929702</v>
      </c>
      <c r="CB2488">
        <v>7.2195432250343901</v>
      </c>
      <c r="CC2488">
        <v>4.6205076640220097</v>
      </c>
    </row>
    <row r="2489" spans="39:81">
      <c r="AM2489" s="2"/>
      <c r="AN2489" s="2"/>
      <c r="AS2489">
        <v>7.0229024487265699</v>
      </c>
      <c r="AT2489">
        <v>-42.095282168476899</v>
      </c>
      <c r="CB2489">
        <v>7.0229024487265699</v>
      </c>
      <c r="CC2489">
        <v>4.4946575671850004</v>
      </c>
    </row>
    <row r="2490" spans="39:81">
      <c r="AM2490" s="2"/>
      <c r="AN2490" s="2"/>
      <c r="AS2490">
        <v>6.8115958160578103</v>
      </c>
      <c r="AT2490">
        <v>-43.003104088290698</v>
      </c>
      <c r="CB2490">
        <v>6.8115958160578103</v>
      </c>
      <c r="CC2490">
        <v>4.359421322277</v>
      </c>
    </row>
    <row r="2491" spans="39:81">
      <c r="AM2491" s="2"/>
      <c r="AN2491" s="2"/>
      <c r="AS2491">
        <v>6.5967992145638901</v>
      </c>
      <c r="AT2491">
        <v>-43.8142439285661</v>
      </c>
      <c r="CB2491">
        <v>6.5967992145638901</v>
      </c>
      <c r="CC2491">
        <v>4.22195149732089</v>
      </c>
    </row>
    <row r="2492" spans="39:81">
      <c r="AM2492" s="2"/>
      <c r="AN2492" s="2"/>
      <c r="AS2492">
        <v>6.3455619904258098</v>
      </c>
      <c r="AT2492">
        <v>-44.427762998599697</v>
      </c>
      <c r="CB2492">
        <v>6.3455619904258098</v>
      </c>
      <c r="CC2492">
        <v>4.0611596738725204</v>
      </c>
    </row>
    <row r="2493" spans="39:81">
      <c r="AM2493" s="2"/>
      <c r="AN2493" s="2"/>
      <c r="AS2493">
        <v>6.1008078580968901</v>
      </c>
      <c r="AT2493">
        <v>-44.910451894783499</v>
      </c>
      <c r="CB2493">
        <v>6.1008078580968901</v>
      </c>
      <c r="CC2493">
        <v>3.9045170291820099</v>
      </c>
    </row>
    <row r="2494" spans="39:81">
      <c r="AM2494" s="2"/>
      <c r="AN2494" s="2"/>
      <c r="AS2494">
        <v>5.8644974083972201</v>
      </c>
      <c r="AT2494">
        <v>-45.282029334317599</v>
      </c>
      <c r="CB2494">
        <v>5.8644974083972201</v>
      </c>
      <c r="CC2494">
        <v>3.7532783413742199</v>
      </c>
    </row>
    <row r="2495" spans="39:81">
      <c r="AM2495" s="2"/>
      <c r="AN2495" s="2"/>
      <c r="AS2495">
        <v>5.6065892995497597</v>
      </c>
      <c r="AT2495">
        <v>-45.574513200671497</v>
      </c>
      <c r="CB2495">
        <v>5.6065892995497597</v>
      </c>
      <c r="CC2495">
        <v>3.5882171517118402</v>
      </c>
    </row>
    <row r="2496" spans="39:81">
      <c r="AM2496" s="2"/>
      <c r="AN2496" s="2"/>
      <c r="AS2496">
        <v>5.3655568302470096</v>
      </c>
      <c r="AT2496">
        <v>-46.110460167363897</v>
      </c>
      <c r="CB2496">
        <v>5.3655568302470096</v>
      </c>
      <c r="CC2496">
        <v>3.4339563713580801</v>
      </c>
    </row>
    <row r="2497" spans="39:81">
      <c r="AM2497" s="2"/>
      <c r="AN2497" s="2"/>
      <c r="AS2497">
        <v>5.0835173243492804</v>
      </c>
      <c r="AT2497">
        <v>-46.687827589817303</v>
      </c>
      <c r="CB2497">
        <v>5.0835173243492804</v>
      </c>
      <c r="CC2497">
        <v>3.2534510875835401</v>
      </c>
    </row>
    <row r="2498" spans="39:81">
      <c r="AM2498" s="2"/>
      <c r="AN2498" s="2"/>
      <c r="AS2498">
        <v>4.7774800607967602</v>
      </c>
      <c r="AT2498">
        <v>-47.1950157373171</v>
      </c>
      <c r="CB2498">
        <v>4.7774800607967602</v>
      </c>
      <c r="CC2498">
        <v>3.0575872389099299</v>
      </c>
    </row>
    <row r="2499" spans="39:81">
      <c r="AM2499" s="2"/>
      <c r="AN2499" s="2"/>
      <c r="AS2499">
        <v>4.4848914539335203</v>
      </c>
      <c r="AT2499">
        <v>-47.820821367960797</v>
      </c>
      <c r="CB2499">
        <v>4.4848914539335203</v>
      </c>
      <c r="CC2499">
        <v>2.87033053051745</v>
      </c>
    </row>
    <row r="2500" spans="39:81">
      <c r="AM2500" s="2"/>
      <c r="AN2500" s="2"/>
      <c r="AS2500">
        <v>4.16011859376228</v>
      </c>
      <c r="AT2500">
        <v>-47.9676481263798</v>
      </c>
      <c r="CB2500">
        <v>4.16011859376228</v>
      </c>
      <c r="CC2500">
        <v>2.6624759000078599</v>
      </c>
    </row>
    <row r="2501" spans="39:81">
      <c r="AM2501" s="2"/>
      <c r="AN2501" s="2"/>
      <c r="AS2501">
        <v>3.8639342856846102</v>
      </c>
      <c r="AT2501">
        <v>-48.279142947786802</v>
      </c>
      <c r="CB2501">
        <v>3.8639342856846102</v>
      </c>
      <c r="CC2501">
        <v>2.47291794283815</v>
      </c>
    </row>
    <row r="2502" spans="39:81">
      <c r="AM2502" s="2"/>
      <c r="AN2502" s="2"/>
      <c r="AS2502">
        <v>3.5666805867783702</v>
      </c>
      <c r="AT2502">
        <v>-48.541249883989899</v>
      </c>
      <c r="CB2502">
        <v>3.5666805867783702</v>
      </c>
      <c r="CC2502">
        <v>2.2826755755381498</v>
      </c>
    </row>
    <row r="2503" spans="39:81">
      <c r="AM2503" s="2"/>
      <c r="AN2503" s="2"/>
      <c r="AS2503">
        <v>3.2548620752407</v>
      </c>
      <c r="AT2503">
        <v>-48.683082482421597</v>
      </c>
      <c r="CB2503">
        <v>3.2548620752407</v>
      </c>
      <c r="CC2503">
        <v>2.0831117281540501</v>
      </c>
    </row>
    <row r="2504" spans="39:81">
      <c r="AM2504" s="2"/>
      <c r="AN2504" s="2"/>
      <c r="AS2504">
        <v>2.9564328930753798</v>
      </c>
      <c r="AT2504">
        <v>-49.117244803137197</v>
      </c>
      <c r="CB2504">
        <v>2.9564328930753798</v>
      </c>
      <c r="CC2504">
        <v>1.8921170515682399</v>
      </c>
    </row>
    <row r="2505" spans="39:81">
      <c r="AM2505" s="2"/>
      <c r="AN2505" s="2"/>
      <c r="AS2505">
        <v>2.6260776913774899</v>
      </c>
      <c r="AT2505">
        <v>-49.365321998640198</v>
      </c>
      <c r="CB2505">
        <v>2.6260776913774899</v>
      </c>
      <c r="CC2505">
        <v>1.68068972248159</v>
      </c>
    </row>
    <row r="2506" spans="39:81">
      <c r="AM2506" s="2"/>
      <c r="AN2506" s="2"/>
      <c r="AS2506">
        <v>2.3105738302644201</v>
      </c>
      <c r="AT2506">
        <v>-49.8087321929113</v>
      </c>
      <c r="CB2506">
        <v>2.3105738302644201</v>
      </c>
      <c r="CC2506">
        <v>1.47876725136922</v>
      </c>
    </row>
    <row r="2507" spans="39:81">
      <c r="AM2507" s="2"/>
      <c r="AN2507" s="2"/>
      <c r="AS2507">
        <v>1.9855257017186201</v>
      </c>
      <c r="AT2507">
        <v>-50.087676495866397</v>
      </c>
      <c r="CB2507">
        <v>1.9855257017186201</v>
      </c>
      <c r="CC2507">
        <v>1.27073644909991</v>
      </c>
    </row>
    <row r="2508" spans="39:81">
      <c r="AM2508" s="2"/>
      <c r="AN2508" s="2"/>
      <c r="AS2508">
        <v>1.6600074210278399</v>
      </c>
      <c r="AT2508">
        <v>-50.315769726276201</v>
      </c>
      <c r="CB2508">
        <v>1.6600074210278399</v>
      </c>
      <c r="CC2508">
        <v>1.0624047494578199</v>
      </c>
    </row>
    <row r="2509" spans="39:81">
      <c r="AM2509" s="2"/>
      <c r="AN2509" s="2"/>
      <c r="AS2509">
        <v>1.3624265347719</v>
      </c>
      <c r="AT2509">
        <v>-50.453228851568497</v>
      </c>
      <c r="CB2509">
        <v>1.3624265347719</v>
      </c>
      <c r="CC2509">
        <v>0.87195298225402196</v>
      </c>
    </row>
    <row r="2510" spans="39:81">
      <c r="AM2510" s="2"/>
      <c r="AN2510" s="2"/>
      <c r="AS2510">
        <v>1.0593779781720301</v>
      </c>
      <c r="AT2510">
        <v>-50.457991514788297</v>
      </c>
      <c r="CB2510">
        <v>1.0593779781720301</v>
      </c>
      <c r="CC2510">
        <v>0.67800190603010202</v>
      </c>
    </row>
    <row r="2511" spans="39:81">
      <c r="AM2511" s="2"/>
      <c r="AN2511" s="2"/>
      <c r="AS2511">
        <v>0.785478710344227</v>
      </c>
      <c r="AT2511">
        <v>-50.556046124618902</v>
      </c>
      <c r="CB2511">
        <v>0.785478710344227</v>
      </c>
      <c r="CC2511">
        <v>0.50270637462030499</v>
      </c>
    </row>
    <row r="2512" spans="39:81">
      <c r="AM2512" s="2"/>
      <c r="AN2512" s="2"/>
      <c r="AS2512">
        <v>0.51769325989590798</v>
      </c>
      <c r="AT2512">
        <v>-50.685343122369702</v>
      </c>
      <c r="CB2512">
        <v>0.51769325989590798</v>
      </c>
      <c r="CC2512">
        <v>0.331323686333381</v>
      </c>
    </row>
    <row r="2513" spans="39:81">
      <c r="AM2513" s="2"/>
      <c r="AN2513" s="2"/>
      <c r="AS2513">
        <v>0.211616638341867</v>
      </c>
      <c r="AT2513">
        <v>-50.853373844459298</v>
      </c>
      <c r="CB2513">
        <v>0.211616638341867</v>
      </c>
      <c r="CC2513">
        <v>0.135434648538795</v>
      </c>
    </row>
    <row r="2514" spans="39:81">
      <c r="AM2514" s="2"/>
      <c r="AN2514" s="2"/>
      <c r="AS2514">
        <v>-6.3755543732844006E-2</v>
      </c>
      <c r="AT2514">
        <v>-51.103705053771101</v>
      </c>
      <c r="CB2514">
        <v>-6.3755543732844006E-2</v>
      </c>
      <c r="CC2514">
        <v>-4.0803547989020202E-2</v>
      </c>
    </row>
    <row r="2515" spans="39:81">
      <c r="AM2515" s="2"/>
      <c r="AN2515" s="2"/>
      <c r="AS2515">
        <v>-0.37425071454229702</v>
      </c>
      <c r="AT2515">
        <v>-51.097084755491601</v>
      </c>
      <c r="CB2515">
        <v>-0.37425071454229702</v>
      </c>
      <c r="CC2515">
        <v>-0.23952045730707</v>
      </c>
    </row>
    <row r="2516" spans="39:81">
      <c r="AM2516" s="2"/>
      <c r="AN2516" s="2"/>
      <c r="AS2516">
        <v>-0.67680536494726495</v>
      </c>
      <c r="AT2516">
        <v>-50.963976594532603</v>
      </c>
      <c r="CB2516">
        <v>-0.67680536494726495</v>
      </c>
      <c r="CC2516">
        <v>-0.43315543356624903</v>
      </c>
    </row>
    <row r="2517" spans="39:81">
      <c r="AM2517" s="2"/>
      <c r="AN2517" s="2"/>
      <c r="AS2517">
        <v>-0.95386020504989499</v>
      </c>
      <c r="AT2517">
        <v>-50.8046739308448</v>
      </c>
      <c r="CB2517">
        <v>-0.95386020504989499</v>
      </c>
      <c r="CC2517">
        <v>-0.61047053123193296</v>
      </c>
    </row>
    <row r="2518" spans="39:81">
      <c r="AM2518" s="2"/>
      <c r="AN2518" s="2"/>
      <c r="AS2518">
        <v>-1.27825792808915</v>
      </c>
      <c r="AT2518">
        <v>-50.390865461973398</v>
      </c>
      <c r="CB2518">
        <v>-1.27825792808915</v>
      </c>
      <c r="CC2518">
        <v>-0.81808507397705599</v>
      </c>
    </row>
    <row r="2519" spans="39:81">
      <c r="AM2519" s="2"/>
      <c r="AN2519" s="2"/>
      <c r="AS2519">
        <v>-1.57631695772748</v>
      </c>
      <c r="AT2519">
        <v>-50.214259406256097</v>
      </c>
      <c r="CB2519">
        <v>-1.57631695772748</v>
      </c>
      <c r="CC2519">
        <v>-1.00884285294559</v>
      </c>
    </row>
    <row r="2520" spans="39:81">
      <c r="AM2520" s="2"/>
      <c r="AN2520" s="2"/>
      <c r="AS2520">
        <v>-1.89558906867574</v>
      </c>
      <c r="AT2520">
        <v>-50.024921368454599</v>
      </c>
      <c r="CB2520">
        <v>-1.89558906867574</v>
      </c>
      <c r="CC2520">
        <v>-1.2131770039524701</v>
      </c>
    </row>
    <row r="2521" spans="39:81">
      <c r="AM2521" s="2"/>
      <c r="AN2521" s="2"/>
      <c r="AS2521">
        <v>-2.2238842698841101</v>
      </c>
      <c r="AT2521">
        <v>-49.866983059491297</v>
      </c>
      <c r="CB2521">
        <v>-2.2238842698841101</v>
      </c>
      <c r="CC2521">
        <v>-1.42328593272583</v>
      </c>
    </row>
    <row r="2522" spans="39:81">
      <c r="AM2522" s="2"/>
      <c r="AN2522" s="2"/>
      <c r="AS2522">
        <v>-2.54016472098085</v>
      </c>
      <c r="AT2522">
        <v>-49.751782961939803</v>
      </c>
      <c r="CB2522">
        <v>-2.54016472098085</v>
      </c>
      <c r="CC2522">
        <v>-1.62570542142774</v>
      </c>
    </row>
    <row r="2523" spans="39:81">
      <c r="AM2523" s="2"/>
      <c r="AN2523" s="2"/>
      <c r="AS2523">
        <v>-2.88239890881878</v>
      </c>
      <c r="AT2523">
        <v>-49.392940868373501</v>
      </c>
      <c r="CB2523">
        <v>-2.88239890881878</v>
      </c>
      <c r="CC2523">
        <v>-1.84473530164402</v>
      </c>
    </row>
    <row r="2524" spans="39:81">
      <c r="AM2524" s="2"/>
      <c r="AN2524" s="2"/>
      <c r="AS2524">
        <v>-3.1949294543539399</v>
      </c>
      <c r="AT2524">
        <v>-49.1757369357681</v>
      </c>
      <c r="CB2524">
        <v>-3.1949294543539399</v>
      </c>
      <c r="CC2524">
        <v>-2.0447548507865201</v>
      </c>
    </row>
    <row r="2525" spans="39:81">
      <c r="AM2525" s="2"/>
      <c r="AN2525" s="2"/>
      <c r="AS2525">
        <v>-3.5098455073321602</v>
      </c>
      <c r="AT2525">
        <v>-48.595988353548798</v>
      </c>
      <c r="CB2525">
        <v>-3.5098455073321602</v>
      </c>
      <c r="CC2525">
        <v>-2.2463011246925801</v>
      </c>
    </row>
    <row r="2526" spans="39:81">
      <c r="AM2526" s="2"/>
      <c r="AN2526" s="2"/>
      <c r="AS2526">
        <v>-3.80488401815925</v>
      </c>
      <c r="AT2526">
        <v>-48.145611145803002</v>
      </c>
      <c r="CB2526">
        <v>-3.80488401815925</v>
      </c>
      <c r="CC2526">
        <v>-2.4351257716219199</v>
      </c>
    </row>
    <row r="2527" spans="39:81">
      <c r="AM2527" s="2"/>
      <c r="AN2527" s="2"/>
      <c r="AS2527">
        <v>-4.0631994500157598</v>
      </c>
      <c r="AT2527">
        <v>-47.853035438761196</v>
      </c>
      <c r="CB2527">
        <v>-4.0631994500157598</v>
      </c>
      <c r="CC2527">
        <v>-2.6004476480100802</v>
      </c>
    </row>
    <row r="2528" spans="39:81">
      <c r="AM2528" s="2"/>
      <c r="AN2528" s="2"/>
      <c r="AS2528">
        <v>-4.3490845156831597</v>
      </c>
      <c r="AT2528">
        <v>-47.411976142050797</v>
      </c>
      <c r="CB2528">
        <v>-4.3490845156831597</v>
      </c>
      <c r="CC2528">
        <v>-2.78341409003722</v>
      </c>
    </row>
    <row r="2529" spans="39:81">
      <c r="AM2529" s="2"/>
      <c r="AN2529" s="2"/>
      <c r="AS2529">
        <v>-4.6117300155808501</v>
      </c>
      <c r="AT2529">
        <v>-47.447786796957999</v>
      </c>
      <c r="CB2529">
        <v>-4.6117300155808501</v>
      </c>
      <c r="CC2529">
        <v>-2.9515072099717399</v>
      </c>
    </row>
    <row r="2530" spans="39:81">
      <c r="AM2530" s="2"/>
      <c r="AN2530" s="2"/>
      <c r="AS2530">
        <v>-4.8962817692302796</v>
      </c>
      <c r="AT2530">
        <v>-47.135179799895297</v>
      </c>
      <c r="CB2530">
        <v>-4.8962817692302796</v>
      </c>
      <c r="CC2530">
        <v>-3.1336203323073799</v>
      </c>
    </row>
    <row r="2531" spans="39:81">
      <c r="AM2531" s="2"/>
      <c r="AN2531" s="2"/>
      <c r="AS2531">
        <v>-5.1813362833673704</v>
      </c>
      <c r="AT2531">
        <v>-46.809467709359303</v>
      </c>
      <c r="CB2531">
        <v>-5.1813362833673704</v>
      </c>
      <c r="CC2531">
        <v>-3.3160552213551102</v>
      </c>
    </row>
    <row r="2532" spans="39:81">
      <c r="AM2532" s="2"/>
      <c r="AN2532" s="2"/>
      <c r="AS2532">
        <v>-5.4181476158193398</v>
      </c>
      <c r="AT2532">
        <v>-46.376270384657303</v>
      </c>
      <c r="CB2532">
        <v>-5.4181476158193398</v>
      </c>
      <c r="CC2532">
        <v>-3.46761447412438</v>
      </c>
    </row>
    <row r="2533" spans="39:81">
      <c r="AM2533" s="2"/>
      <c r="AN2533" s="2"/>
      <c r="AS2533">
        <v>-5.6524344697090996</v>
      </c>
      <c r="AT2533">
        <v>-45.5937695085223</v>
      </c>
      <c r="CB2533">
        <v>-5.6524344697090996</v>
      </c>
      <c r="CC2533">
        <v>-3.61755806061382</v>
      </c>
    </row>
    <row r="2534" spans="39:81">
      <c r="AM2534" s="2"/>
      <c r="AN2534" s="2"/>
      <c r="AS2534">
        <v>-5.8520076308704798</v>
      </c>
      <c r="AT2534">
        <v>-45.010475822764199</v>
      </c>
      <c r="CB2534">
        <v>-5.8520076308704798</v>
      </c>
      <c r="CC2534">
        <v>-3.7452848837570998</v>
      </c>
    </row>
    <row r="2535" spans="39:81">
      <c r="AM2535" s="2"/>
      <c r="AN2535" s="2"/>
      <c r="AS2535">
        <v>-6.0406685629129102</v>
      </c>
      <c r="AT2535">
        <v>-44.512095827028297</v>
      </c>
      <c r="CB2535">
        <v>-6.0406685629129102</v>
      </c>
      <c r="CC2535">
        <v>-3.86602788026426</v>
      </c>
    </row>
    <row r="2536" spans="39:81">
      <c r="AM2536" s="2"/>
      <c r="AN2536" s="2"/>
      <c r="AS2536">
        <v>-6.2594611523498296</v>
      </c>
      <c r="AT2536">
        <v>-44.1174785041974</v>
      </c>
      <c r="CB2536">
        <v>-6.2594611523498296</v>
      </c>
      <c r="CC2536">
        <v>-4.00605513750389</v>
      </c>
    </row>
    <row r="2537" spans="39:81">
      <c r="AM2537" s="2"/>
      <c r="AN2537" s="2"/>
      <c r="AS2537">
        <v>-6.4761889211892303</v>
      </c>
      <c r="AT2537">
        <v>-43.789392926443803</v>
      </c>
      <c r="CB2537">
        <v>-6.4761889211892303</v>
      </c>
      <c r="CC2537">
        <v>-4.1447609095611098</v>
      </c>
    </row>
    <row r="2538" spans="39:81">
      <c r="AM2538" s="2"/>
      <c r="AN2538" s="2"/>
      <c r="AS2538">
        <v>-6.7003576959376998</v>
      </c>
      <c r="AT2538">
        <v>-43.388154948245301</v>
      </c>
      <c r="CB2538">
        <v>-6.7003576959376998</v>
      </c>
      <c r="CC2538">
        <v>-4.28822892540013</v>
      </c>
    </row>
    <row r="2539" spans="39:81">
      <c r="AM2539" s="2"/>
      <c r="AN2539" s="2"/>
      <c r="AS2539">
        <v>-6.9187941853665897</v>
      </c>
      <c r="AT2539">
        <v>-42.687312231729102</v>
      </c>
      <c r="CB2539">
        <v>-6.9187941853665897</v>
      </c>
      <c r="CC2539">
        <v>-4.4280282786346197</v>
      </c>
    </row>
    <row r="2540" spans="39:81">
      <c r="AM2540" s="2"/>
      <c r="AN2540" s="2"/>
      <c r="AS2540">
        <v>-7.1077797145061998</v>
      </c>
      <c r="AT2540">
        <v>-41.978943720802199</v>
      </c>
      <c r="CB2540">
        <v>-7.1077797145061998</v>
      </c>
      <c r="CC2540">
        <v>-4.5489790172839699</v>
      </c>
    </row>
    <row r="2541" spans="39:81">
      <c r="AM2541" s="2"/>
      <c r="AN2541" s="2"/>
      <c r="AS2541">
        <v>-7.3123639487632799</v>
      </c>
      <c r="AT2541">
        <v>-41.174009725449601</v>
      </c>
      <c r="CB2541">
        <v>-7.3123639487632799</v>
      </c>
      <c r="CC2541">
        <v>-4.6799129272085001</v>
      </c>
    </row>
    <row r="2542" spans="39:81">
      <c r="AM2542" s="2"/>
      <c r="AN2542" s="2"/>
      <c r="AS2542">
        <v>-7.5267588279748301</v>
      </c>
      <c r="AT2542">
        <v>-40.339159330923998</v>
      </c>
      <c r="CB2542">
        <v>-7.5267588279748301</v>
      </c>
      <c r="CC2542">
        <v>-4.8171256499038897</v>
      </c>
    </row>
    <row r="2543" spans="39:81">
      <c r="AM2543" s="2"/>
      <c r="AN2543" s="2"/>
      <c r="AS2543">
        <v>-7.7365927242951402</v>
      </c>
      <c r="AT2543">
        <v>-39.77767885283</v>
      </c>
      <c r="CB2543">
        <v>-7.7365927242951402</v>
      </c>
      <c r="CC2543">
        <v>-4.9514193435488902</v>
      </c>
    </row>
    <row r="2544" spans="39:81">
      <c r="AM2544" s="2"/>
      <c r="AN2544" s="2"/>
      <c r="AS2544">
        <v>-7.9659171705078604</v>
      </c>
      <c r="AT2544">
        <v>-38.892796715408302</v>
      </c>
      <c r="CB2544">
        <v>-7.9659171705078604</v>
      </c>
      <c r="CC2544">
        <v>-5.09818698912503</v>
      </c>
    </row>
    <row r="2545" spans="39:81">
      <c r="AM2545" s="2"/>
      <c r="AN2545" s="2"/>
      <c r="AS2545">
        <v>-8.1668392303576898</v>
      </c>
      <c r="AT2545">
        <v>-38.227497047891497</v>
      </c>
      <c r="CB2545">
        <v>-8.1668392303576898</v>
      </c>
      <c r="CC2545">
        <v>-5.2267771074289202</v>
      </c>
    </row>
    <row r="2546" spans="39:81">
      <c r="AM2546" s="2"/>
      <c r="AN2546" s="2"/>
      <c r="AS2546">
        <v>-8.3673534040199993</v>
      </c>
      <c r="AT2546">
        <v>-37.472507663693399</v>
      </c>
      <c r="CB2546">
        <v>-8.3673534040199993</v>
      </c>
      <c r="CC2546">
        <v>-5.3551061785728002</v>
      </c>
    </row>
    <row r="2547" spans="39:81">
      <c r="AM2547" s="2"/>
      <c r="AN2547" s="2"/>
      <c r="AS2547">
        <v>-8.58090572375853</v>
      </c>
      <c r="AT2547">
        <v>-36.539247941260903</v>
      </c>
      <c r="CB2547">
        <v>-8.58090572375853</v>
      </c>
      <c r="CC2547">
        <v>-5.4917796632054596</v>
      </c>
    </row>
    <row r="2548" spans="39:81">
      <c r="AM2548" s="2"/>
      <c r="AN2548" s="2"/>
      <c r="AS2548">
        <v>-8.7603137316367796</v>
      </c>
      <c r="AT2548">
        <v>-35.630492562357297</v>
      </c>
      <c r="CB2548">
        <v>-8.7603137316367796</v>
      </c>
      <c r="CC2548">
        <v>-5.6066007882475404</v>
      </c>
    </row>
    <row r="2549" spans="39:81">
      <c r="AM2549" s="2"/>
      <c r="AN2549" s="2"/>
      <c r="AS2549">
        <v>-8.96401398170768</v>
      </c>
      <c r="AT2549">
        <v>-34.510081400007401</v>
      </c>
      <c r="CB2549">
        <v>-8.96401398170768</v>
      </c>
      <c r="CC2549">
        <v>-5.73696894829291</v>
      </c>
    </row>
    <row r="2550" spans="39:81">
      <c r="AM2550" s="2"/>
      <c r="AN2550" s="2"/>
      <c r="AS2550">
        <v>-9.1538827151854392</v>
      </c>
      <c r="AT2550">
        <v>-33.458201862919097</v>
      </c>
      <c r="CB2550">
        <v>-9.1538827151854392</v>
      </c>
      <c r="CC2550">
        <v>-5.8584849377186803</v>
      </c>
    </row>
    <row r="2551" spans="39:81">
      <c r="AM2551" s="2"/>
      <c r="AN2551" s="2"/>
      <c r="AS2551">
        <v>-9.3191764084492608</v>
      </c>
      <c r="AT2551">
        <v>-32.407250784516897</v>
      </c>
      <c r="CB2551">
        <v>-9.3191764084492608</v>
      </c>
      <c r="CC2551">
        <v>-5.9642729014075204</v>
      </c>
    </row>
    <row r="2552" spans="39:81">
      <c r="AM2552" s="2"/>
      <c r="AN2552" s="2"/>
      <c r="AS2552">
        <v>-9.5008971829048701</v>
      </c>
      <c r="AT2552">
        <v>-31.464350020494699</v>
      </c>
      <c r="CB2552">
        <v>-9.5008971829048701</v>
      </c>
      <c r="CC2552">
        <v>-6.0805741970591098</v>
      </c>
    </row>
    <row r="2553" spans="39:81">
      <c r="AM2553" s="2"/>
      <c r="AN2553" s="2"/>
      <c r="AS2553">
        <v>-9.6700072319914003</v>
      </c>
      <c r="AT2553">
        <v>-30.549321022828401</v>
      </c>
      <c r="CB2553">
        <v>-9.6700072319914003</v>
      </c>
      <c r="CC2553">
        <v>-6.1888046284744904</v>
      </c>
    </row>
    <row r="2554" spans="39:81">
      <c r="AM2554" s="2"/>
      <c r="AN2554" s="2"/>
      <c r="AS2554">
        <v>-9.8233987324440104</v>
      </c>
      <c r="AT2554">
        <v>-29.512757955127299</v>
      </c>
      <c r="CB2554">
        <v>-9.8233987324440104</v>
      </c>
      <c r="CC2554">
        <v>-6.2869751887641696</v>
      </c>
    </row>
    <row r="2555" spans="39:81">
      <c r="AM2555" s="2"/>
      <c r="AN2555" s="2"/>
      <c r="AS2555">
        <v>-9.9947792314058006</v>
      </c>
      <c r="AT2555">
        <v>-28.403160957264699</v>
      </c>
      <c r="CB2555">
        <v>-9.9947792314058006</v>
      </c>
      <c r="CC2555">
        <v>-6.3966587080997099</v>
      </c>
    </row>
    <row r="2556" spans="39:81">
      <c r="AM2556" s="2"/>
      <c r="AN2556" s="2"/>
      <c r="AS2556">
        <v>-10.1370904886329</v>
      </c>
      <c r="AT2556">
        <v>-27.123928773128299</v>
      </c>
      <c r="CB2556">
        <v>-10.1370904886329</v>
      </c>
      <c r="CC2556">
        <v>-6.4877379127250601</v>
      </c>
    </row>
    <row r="2557" spans="39:81">
      <c r="AM2557" s="2"/>
      <c r="AN2557" s="2"/>
      <c r="AS2557">
        <v>-10.2813448058626</v>
      </c>
      <c r="AT2557">
        <v>-25.856508147100101</v>
      </c>
      <c r="CB2557">
        <v>-10.2813448058626</v>
      </c>
      <c r="CC2557">
        <v>-6.5800606757520699</v>
      </c>
    </row>
    <row r="2558" spans="39:81">
      <c r="AM2558" s="2"/>
      <c r="AN2558" s="2"/>
      <c r="AS2558">
        <v>-10.435309707256399</v>
      </c>
      <c r="AT2558">
        <v>-24.7731565289175</v>
      </c>
      <c r="CB2558">
        <v>-10.435309707256399</v>
      </c>
      <c r="CC2558">
        <v>-6.6785982126441104</v>
      </c>
    </row>
    <row r="2559" spans="39:81">
      <c r="AM2559" s="2"/>
      <c r="AN2559" s="2"/>
      <c r="AS2559">
        <v>-10.538046474384201</v>
      </c>
      <c r="AT2559">
        <v>-23.743900866549598</v>
      </c>
      <c r="CB2559">
        <v>-10.538046474384201</v>
      </c>
      <c r="CC2559">
        <v>-6.7443497436058903</v>
      </c>
    </row>
    <row r="2560" spans="39:81">
      <c r="AM2560" s="2"/>
      <c r="AN2560" s="2"/>
      <c r="AS2560">
        <v>-10.664027905286799</v>
      </c>
      <c r="AT2560">
        <v>-22.809062270842499</v>
      </c>
      <c r="CB2560">
        <v>-10.664027905286799</v>
      </c>
      <c r="CC2560">
        <v>-6.8249778593836004</v>
      </c>
    </row>
    <row r="2561" spans="39:81">
      <c r="AM2561" s="2"/>
      <c r="AN2561" s="2"/>
      <c r="AS2561">
        <v>-10.782287632751601</v>
      </c>
      <c r="AT2561">
        <v>-21.902276079201801</v>
      </c>
      <c r="CB2561">
        <v>-10.782287632751601</v>
      </c>
      <c r="CC2561">
        <v>-6.9006640849610399</v>
      </c>
    </row>
    <row r="2562" spans="39:81">
      <c r="AM2562" s="2"/>
      <c r="AN2562" s="2"/>
      <c r="AS2562">
        <v>-10.8813109377488</v>
      </c>
      <c r="AT2562">
        <v>-20.741812126859202</v>
      </c>
      <c r="CB2562">
        <v>-10.8813109377488</v>
      </c>
      <c r="CC2562">
        <v>-6.9640390001592403</v>
      </c>
    </row>
    <row r="2563" spans="39:81">
      <c r="AM2563" s="2"/>
      <c r="AN2563" s="2"/>
      <c r="AS2563">
        <v>-11.034330900083599</v>
      </c>
      <c r="AT2563">
        <v>-19.549189158493899</v>
      </c>
      <c r="CB2563">
        <v>-11.034330900083599</v>
      </c>
      <c r="CC2563">
        <v>-7.0619717760535199</v>
      </c>
    </row>
  </sheetData>
  <mergeCells count="1">
    <mergeCell ref="G9:J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jw1</vt:lpstr>
      <vt:lpstr>jw2</vt:lpstr>
      <vt:lpstr>jw3</vt:lpstr>
      <vt:lpstr>過渡(V3+V6)</vt:lpstr>
      <vt:lpstr>過渡(V3+V6) (2)</vt:lpstr>
      <vt:lpstr>過渡(V3+V6)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kiki-2303-14</dc:creator>
  <cp:lastModifiedBy>藤川　陸丸</cp:lastModifiedBy>
  <dcterms:created xsi:type="dcterms:W3CDTF">2015-06-05T18:19:34Z</dcterms:created>
  <dcterms:modified xsi:type="dcterms:W3CDTF">2026-01-14T04:33:06Z</dcterms:modified>
</cp:coreProperties>
</file>